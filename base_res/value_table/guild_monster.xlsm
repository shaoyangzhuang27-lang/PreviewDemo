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3FD5AE5-39C1-43B7-8608-B99F33D5796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guild_monster" sheetId="1" r:id="rId1"/>
  </sheets>
  <definedNames>
    <definedName name="_xlnm._FilterDatabase" localSheetId="0" hidden="1">guild_monster!$A$2:$CT$903</definedName>
  </definedNames>
  <calcPr calcId="191029"/>
</workbook>
</file>

<file path=xl/calcChain.xml><?xml version="1.0" encoding="utf-8"?>
<calcChain xmlns="http://schemas.openxmlformats.org/spreadsheetml/2006/main">
  <c r="AW5" i="1" l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4" i="1"/>
  <c r="BG1" i="1"/>
  <c r="BF1" i="1"/>
  <c r="AS13" i="1" l="1"/>
  <c r="CM4" i="1" l="1"/>
  <c r="AS15" i="1" l="1"/>
  <c r="AS16" i="1"/>
  <c r="AS17" i="1"/>
  <c r="AS26" i="1" s="1"/>
  <c r="AS18" i="1"/>
  <c r="AS19" i="1"/>
  <c r="AS28" i="1" s="1"/>
  <c r="AS20" i="1"/>
  <c r="AS21" i="1"/>
  <c r="AS22" i="1"/>
  <c r="AS24" i="1"/>
  <c r="AS25" i="1"/>
  <c r="AS33" i="1"/>
  <c r="AS14" i="1"/>
  <c r="AS31" i="1" l="1"/>
  <c r="AS37" i="1"/>
  <c r="AS34" i="1"/>
  <c r="AS27" i="1"/>
  <c r="AS35" i="1"/>
  <c r="AS30" i="1"/>
  <c r="AS29" i="1"/>
  <c r="AS42" i="1"/>
  <c r="AS23" i="1"/>
  <c r="AG22" i="1"/>
  <c r="AG31" i="1"/>
  <c r="AG40" i="1"/>
  <c r="AG49" i="1"/>
  <c r="AG58" i="1"/>
  <c r="AG67" i="1"/>
  <c r="AG76" i="1"/>
  <c r="AG85" i="1"/>
  <c r="AG94" i="1"/>
  <c r="AG103" i="1"/>
  <c r="AG112" i="1"/>
  <c r="AG121" i="1"/>
  <c r="AG130" i="1"/>
  <c r="AG139" i="1"/>
  <c r="AG148" i="1"/>
  <c r="AG157" i="1"/>
  <c r="AG166" i="1"/>
  <c r="AG175" i="1"/>
  <c r="AG184" i="1"/>
  <c r="AG193" i="1"/>
  <c r="AG202" i="1"/>
  <c r="AG211" i="1"/>
  <c r="AG220" i="1"/>
  <c r="AG229" i="1"/>
  <c r="AG238" i="1"/>
  <c r="AG247" i="1"/>
  <c r="AG256" i="1"/>
  <c r="AG265" i="1"/>
  <c r="AG274" i="1"/>
  <c r="AG283" i="1"/>
  <c r="AG292" i="1"/>
  <c r="AG301" i="1"/>
  <c r="AG310" i="1"/>
  <c r="AG319" i="1"/>
  <c r="AG328" i="1"/>
  <c r="AG337" i="1"/>
  <c r="AG346" i="1"/>
  <c r="AG355" i="1"/>
  <c r="AG364" i="1"/>
  <c r="AG373" i="1"/>
  <c r="AG382" i="1"/>
  <c r="AG391" i="1"/>
  <c r="AG400" i="1"/>
  <c r="AG409" i="1"/>
  <c r="AG418" i="1"/>
  <c r="AG427" i="1"/>
  <c r="AG436" i="1"/>
  <c r="AG445" i="1"/>
  <c r="AG454" i="1"/>
  <c r="AG463" i="1"/>
  <c r="AG472" i="1"/>
  <c r="AG481" i="1"/>
  <c r="AG490" i="1"/>
  <c r="AG499" i="1"/>
  <c r="AG508" i="1"/>
  <c r="AG517" i="1"/>
  <c r="AG526" i="1"/>
  <c r="AG535" i="1"/>
  <c r="AG544" i="1"/>
  <c r="AG553" i="1"/>
  <c r="AG562" i="1"/>
  <c r="AG571" i="1"/>
  <c r="AG580" i="1"/>
  <c r="AG589" i="1"/>
  <c r="AG598" i="1"/>
  <c r="AG607" i="1"/>
  <c r="AG616" i="1"/>
  <c r="AG625" i="1"/>
  <c r="AG634" i="1"/>
  <c r="AG643" i="1"/>
  <c r="AG652" i="1"/>
  <c r="AG661" i="1"/>
  <c r="AG670" i="1"/>
  <c r="AG679" i="1"/>
  <c r="AG688" i="1"/>
  <c r="AG697" i="1"/>
  <c r="AG706" i="1"/>
  <c r="AG715" i="1"/>
  <c r="AG724" i="1"/>
  <c r="AG733" i="1"/>
  <c r="AG742" i="1"/>
  <c r="AG751" i="1"/>
  <c r="AG760" i="1"/>
  <c r="AG769" i="1"/>
  <c r="AG778" i="1"/>
  <c r="AG787" i="1"/>
  <c r="AG796" i="1"/>
  <c r="AG805" i="1"/>
  <c r="AG814" i="1"/>
  <c r="AG823" i="1"/>
  <c r="AG832" i="1"/>
  <c r="AG841" i="1"/>
  <c r="AG850" i="1"/>
  <c r="AG859" i="1"/>
  <c r="AG868" i="1"/>
  <c r="AG877" i="1"/>
  <c r="AG886" i="1"/>
  <c r="AG895" i="1"/>
  <c r="AG13" i="1"/>
  <c r="AG4" i="1"/>
  <c r="AS40" i="1" l="1"/>
  <c r="AS38" i="1"/>
  <c r="AS44" i="1"/>
  <c r="AS43" i="1"/>
  <c r="AS51" i="1"/>
  <c r="AS36" i="1"/>
  <c r="AS39" i="1"/>
  <c r="AS46" i="1"/>
  <c r="AS32" i="1"/>
  <c r="CN5" i="1"/>
  <c r="CO5" i="1"/>
  <c r="CP5" i="1"/>
  <c r="CQ5" i="1"/>
  <c r="CR5" i="1"/>
  <c r="CN6" i="1"/>
  <c r="CO6" i="1"/>
  <c r="CP6" i="1"/>
  <c r="CQ6" i="1"/>
  <c r="CR6" i="1"/>
  <c r="CN7" i="1"/>
  <c r="CO7" i="1"/>
  <c r="CP7" i="1"/>
  <c r="CQ7" i="1"/>
  <c r="CR7" i="1"/>
  <c r="CN8" i="1"/>
  <c r="CO8" i="1"/>
  <c r="CP8" i="1"/>
  <c r="CQ8" i="1"/>
  <c r="CR8" i="1"/>
  <c r="CN9" i="1"/>
  <c r="CO9" i="1"/>
  <c r="CP9" i="1"/>
  <c r="CQ9" i="1"/>
  <c r="CR9" i="1"/>
  <c r="CN10" i="1"/>
  <c r="CO10" i="1"/>
  <c r="CP10" i="1"/>
  <c r="CQ10" i="1"/>
  <c r="CR10" i="1"/>
  <c r="CN11" i="1"/>
  <c r="CO11" i="1"/>
  <c r="CP11" i="1"/>
  <c r="CQ11" i="1"/>
  <c r="CR11" i="1"/>
  <c r="CN12" i="1"/>
  <c r="CO12" i="1"/>
  <c r="CP12" i="1"/>
  <c r="CQ12" i="1"/>
  <c r="CR12" i="1"/>
  <c r="CM12" i="1"/>
  <c r="CM11" i="1"/>
  <c r="CM10" i="1"/>
  <c r="CM9" i="1"/>
  <c r="CM8" i="1"/>
  <c r="CM7" i="1"/>
  <c r="CM6" i="1"/>
  <c r="CM5" i="1"/>
  <c r="CO4" i="1"/>
  <c r="CP4" i="1"/>
  <c r="CQ4" i="1"/>
  <c r="CR4" i="1"/>
  <c r="CN4" i="1"/>
  <c r="AS49" i="1" l="1"/>
  <c r="AS48" i="1"/>
  <c r="AS52" i="1"/>
  <c r="AS60" i="1"/>
  <c r="AS53" i="1"/>
  <c r="AS55" i="1"/>
  <c r="AS45" i="1"/>
  <c r="AS47" i="1"/>
  <c r="AS41" i="1"/>
  <c r="AL29" i="1"/>
  <c r="AL38" i="1"/>
  <c r="AL74" i="1"/>
  <c r="AL110" i="1"/>
  <c r="AL146" i="1"/>
  <c r="AL182" i="1"/>
  <c r="AL218" i="1"/>
  <c r="AL254" i="1"/>
  <c r="AL83" i="1"/>
  <c r="AL119" i="1"/>
  <c r="AL155" i="1"/>
  <c r="AL191" i="1"/>
  <c r="AL227" i="1"/>
  <c r="AL263" i="1"/>
  <c r="AL47" i="1"/>
  <c r="AL56" i="1"/>
  <c r="AL92" i="1"/>
  <c r="AL128" i="1"/>
  <c r="AL164" i="1"/>
  <c r="AL200" i="1"/>
  <c r="AL236" i="1"/>
  <c r="AL272" i="1"/>
  <c r="AL65" i="1"/>
  <c r="AL101" i="1"/>
  <c r="AL137" i="1"/>
  <c r="AL173" i="1"/>
  <c r="AL209" i="1"/>
  <c r="AL245" i="1"/>
  <c r="AL281" i="1"/>
  <c r="AL308" i="1"/>
  <c r="AL344" i="1"/>
  <c r="AL380" i="1"/>
  <c r="AL416" i="1"/>
  <c r="AL452" i="1"/>
  <c r="AL488" i="1"/>
  <c r="AL524" i="1"/>
  <c r="AL560" i="1"/>
  <c r="AL596" i="1"/>
  <c r="AL632" i="1"/>
  <c r="AL668" i="1"/>
  <c r="AL704" i="1"/>
  <c r="AL740" i="1"/>
  <c r="AL317" i="1"/>
  <c r="AL353" i="1"/>
  <c r="AL389" i="1"/>
  <c r="AL425" i="1"/>
  <c r="AL461" i="1"/>
  <c r="AL497" i="1"/>
  <c r="AL533" i="1"/>
  <c r="AL569" i="1"/>
  <c r="AL605" i="1"/>
  <c r="AL641" i="1"/>
  <c r="AL677" i="1"/>
  <c r="AL713" i="1"/>
  <c r="AL749" i="1"/>
  <c r="AL290" i="1"/>
  <c r="AL326" i="1"/>
  <c r="AL362" i="1"/>
  <c r="AL398" i="1"/>
  <c r="AL434" i="1"/>
  <c r="AL470" i="1"/>
  <c r="AL506" i="1"/>
  <c r="AL542" i="1"/>
  <c r="AL578" i="1"/>
  <c r="AL614" i="1"/>
  <c r="AL650" i="1"/>
  <c r="AL686" i="1"/>
  <c r="AL722" i="1"/>
  <c r="AL299" i="1"/>
  <c r="AL335" i="1"/>
  <c r="AL371" i="1"/>
  <c r="AL407" i="1"/>
  <c r="AL443" i="1"/>
  <c r="AL479" i="1"/>
  <c r="AL515" i="1"/>
  <c r="AL551" i="1"/>
  <c r="AL587" i="1"/>
  <c r="AL623" i="1"/>
  <c r="AL659" i="1"/>
  <c r="AL695" i="1"/>
  <c r="AL731" i="1"/>
  <c r="AL794" i="1"/>
  <c r="AL830" i="1"/>
  <c r="AL866" i="1"/>
  <c r="AL902" i="1"/>
  <c r="AL785" i="1"/>
  <c r="AL821" i="1"/>
  <c r="AL758" i="1"/>
  <c r="AL767" i="1"/>
  <c r="AL803" i="1"/>
  <c r="AL839" i="1"/>
  <c r="AL875" i="1"/>
  <c r="AL20" i="1"/>
  <c r="AL893" i="1"/>
  <c r="AL776" i="1"/>
  <c r="AL812" i="1"/>
  <c r="AL848" i="1"/>
  <c r="AL884" i="1"/>
  <c r="AL11" i="1"/>
  <c r="AL857" i="1"/>
  <c r="AI28" i="1"/>
  <c r="AI37" i="1"/>
  <c r="AI46" i="1"/>
  <c r="AI82" i="1"/>
  <c r="AI118" i="1"/>
  <c r="AI154" i="1"/>
  <c r="AI190" i="1"/>
  <c r="AI226" i="1"/>
  <c r="AI262" i="1"/>
  <c r="AI55" i="1"/>
  <c r="AI91" i="1"/>
  <c r="AI127" i="1"/>
  <c r="AI163" i="1"/>
  <c r="AI199" i="1"/>
  <c r="AI235" i="1"/>
  <c r="AI271" i="1"/>
  <c r="AI64" i="1"/>
  <c r="AI100" i="1"/>
  <c r="AI136" i="1"/>
  <c r="AI172" i="1"/>
  <c r="AI208" i="1"/>
  <c r="AI244" i="1"/>
  <c r="AI280" i="1"/>
  <c r="AI73" i="1"/>
  <c r="AI109" i="1"/>
  <c r="AI316" i="1"/>
  <c r="AI352" i="1"/>
  <c r="AI388" i="1"/>
  <c r="AI424" i="1"/>
  <c r="AI460" i="1"/>
  <c r="AI496" i="1"/>
  <c r="AI532" i="1"/>
  <c r="AI568" i="1"/>
  <c r="AI604" i="1"/>
  <c r="AI640" i="1"/>
  <c r="AI676" i="1"/>
  <c r="AI712" i="1"/>
  <c r="AI748" i="1"/>
  <c r="AI289" i="1"/>
  <c r="AI325" i="1"/>
  <c r="AI361" i="1"/>
  <c r="AI397" i="1"/>
  <c r="AI433" i="1"/>
  <c r="AI469" i="1"/>
  <c r="AI505" i="1"/>
  <c r="AI541" i="1"/>
  <c r="AI577" i="1"/>
  <c r="AI613" i="1"/>
  <c r="AI649" i="1"/>
  <c r="AI685" i="1"/>
  <c r="AI721" i="1"/>
  <c r="AI757" i="1"/>
  <c r="AI298" i="1"/>
  <c r="AI334" i="1"/>
  <c r="AI370" i="1"/>
  <c r="AI406" i="1"/>
  <c r="AI442" i="1"/>
  <c r="AI478" i="1"/>
  <c r="AI514" i="1"/>
  <c r="AI550" i="1"/>
  <c r="AI586" i="1"/>
  <c r="AI622" i="1"/>
  <c r="AI658" i="1"/>
  <c r="AI694" i="1"/>
  <c r="AI730" i="1"/>
  <c r="AI145" i="1"/>
  <c r="AI181" i="1"/>
  <c r="AI217" i="1"/>
  <c r="AI253" i="1"/>
  <c r="AI307" i="1"/>
  <c r="AI343" i="1"/>
  <c r="AI379" i="1"/>
  <c r="AI415" i="1"/>
  <c r="AI451" i="1"/>
  <c r="AI487" i="1"/>
  <c r="AI523" i="1"/>
  <c r="AI559" i="1"/>
  <c r="AI595" i="1"/>
  <c r="AI631" i="1"/>
  <c r="AI667" i="1"/>
  <c r="AI703" i="1"/>
  <c r="AI739" i="1"/>
  <c r="AI766" i="1"/>
  <c r="AI802" i="1"/>
  <c r="AI838" i="1"/>
  <c r="AI874" i="1"/>
  <c r="AI19" i="1"/>
  <c r="AI901" i="1"/>
  <c r="AI775" i="1"/>
  <c r="AI811" i="1"/>
  <c r="AI847" i="1"/>
  <c r="AI883" i="1"/>
  <c r="AI793" i="1"/>
  <c r="AI829" i="1"/>
  <c r="AI865" i="1"/>
  <c r="AI784" i="1"/>
  <c r="AI820" i="1"/>
  <c r="AI856" i="1"/>
  <c r="AI892" i="1"/>
  <c r="AI10" i="1"/>
  <c r="AJ36" i="1"/>
  <c r="AJ45" i="1"/>
  <c r="AJ54" i="1"/>
  <c r="AJ90" i="1"/>
  <c r="AJ126" i="1"/>
  <c r="AJ162" i="1"/>
  <c r="AJ198" i="1"/>
  <c r="AJ234" i="1"/>
  <c r="AJ270" i="1"/>
  <c r="AJ27" i="1"/>
  <c r="AJ63" i="1"/>
  <c r="AJ99" i="1"/>
  <c r="AJ135" i="1"/>
  <c r="AJ171" i="1"/>
  <c r="AJ207" i="1"/>
  <c r="AJ243" i="1"/>
  <c r="AJ279" i="1"/>
  <c r="AJ72" i="1"/>
  <c r="AJ108" i="1"/>
  <c r="AJ144" i="1"/>
  <c r="AJ180" i="1"/>
  <c r="AJ216" i="1"/>
  <c r="AJ252" i="1"/>
  <c r="AJ81" i="1"/>
  <c r="AJ117" i="1"/>
  <c r="AJ288" i="1"/>
  <c r="AJ324" i="1"/>
  <c r="AJ360" i="1"/>
  <c r="AJ396" i="1"/>
  <c r="AJ432" i="1"/>
  <c r="AJ468" i="1"/>
  <c r="AJ504" i="1"/>
  <c r="AJ540" i="1"/>
  <c r="AJ576" i="1"/>
  <c r="AJ612" i="1"/>
  <c r="AJ648" i="1"/>
  <c r="AJ684" i="1"/>
  <c r="AJ720" i="1"/>
  <c r="AJ756" i="1"/>
  <c r="AJ297" i="1"/>
  <c r="AJ333" i="1"/>
  <c r="AJ369" i="1"/>
  <c r="AJ405" i="1"/>
  <c r="AJ441" i="1"/>
  <c r="AJ477" i="1"/>
  <c r="AJ513" i="1"/>
  <c r="AJ549" i="1"/>
  <c r="AJ585" i="1"/>
  <c r="AJ621" i="1"/>
  <c r="AJ657" i="1"/>
  <c r="AJ693" i="1"/>
  <c r="AJ729" i="1"/>
  <c r="AJ153" i="1"/>
  <c r="AJ189" i="1"/>
  <c r="AJ225" i="1"/>
  <c r="AJ261" i="1"/>
  <c r="AJ306" i="1"/>
  <c r="AJ342" i="1"/>
  <c r="AJ378" i="1"/>
  <c r="AJ414" i="1"/>
  <c r="AJ450" i="1"/>
  <c r="AJ486" i="1"/>
  <c r="AJ522" i="1"/>
  <c r="AJ558" i="1"/>
  <c r="AJ594" i="1"/>
  <c r="AJ630" i="1"/>
  <c r="AJ666" i="1"/>
  <c r="AJ702" i="1"/>
  <c r="AJ738" i="1"/>
  <c r="AJ315" i="1"/>
  <c r="AJ351" i="1"/>
  <c r="AJ387" i="1"/>
  <c r="AJ423" i="1"/>
  <c r="AJ459" i="1"/>
  <c r="AJ495" i="1"/>
  <c r="AJ531" i="1"/>
  <c r="AJ567" i="1"/>
  <c r="AJ603" i="1"/>
  <c r="AJ639" i="1"/>
  <c r="AJ675" i="1"/>
  <c r="AJ711" i="1"/>
  <c r="AJ747" i="1"/>
  <c r="AJ774" i="1"/>
  <c r="AJ810" i="1"/>
  <c r="AJ846" i="1"/>
  <c r="AJ882" i="1"/>
  <c r="AJ765" i="1"/>
  <c r="AJ837" i="1"/>
  <c r="AJ18" i="1"/>
  <c r="AJ783" i="1"/>
  <c r="AJ819" i="1"/>
  <c r="AJ855" i="1"/>
  <c r="AJ891" i="1"/>
  <c r="AJ792" i="1"/>
  <c r="AJ828" i="1"/>
  <c r="AJ864" i="1"/>
  <c r="AJ900" i="1"/>
  <c r="AJ9" i="1"/>
  <c r="AJ801" i="1"/>
  <c r="AJ873" i="1"/>
  <c r="AK26" i="1"/>
  <c r="AK44" i="1"/>
  <c r="AK62" i="1"/>
  <c r="AK98" i="1"/>
  <c r="AK134" i="1"/>
  <c r="AK170" i="1"/>
  <c r="AK206" i="1"/>
  <c r="AK242" i="1"/>
  <c r="AK278" i="1"/>
  <c r="AK35" i="1"/>
  <c r="AK71" i="1"/>
  <c r="AK107" i="1"/>
  <c r="AK143" i="1"/>
  <c r="AK179" i="1"/>
  <c r="AK215" i="1"/>
  <c r="AK251" i="1"/>
  <c r="AK80" i="1"/>
  <c r="AK116" i="1"/>
  <c r="AK152" i="1"/>
  <c r="AK188" i="1"/>
  <c r="AK224" i="1"/>
  <c r="AK260" i="1"/>
  <c r="AK53" i="1"/>
  <c r="AK89" i="1"/>
  <c r="AK125" i="1"/>
  <c r="AK296" i="1"/>
  <c r="AK332" i="1"/>
  <c r="AK368" i="1"/>
  <c r="AK404" i="1"/>
  <c r="AK440" i="1"/>
  <c r="AK476" i="1"/>
  <c r="AK512" i="1"/>
  <c r="AK548" i="1"/>
  <c r="AK584" i="1"/>
  <c r="AK620" i="1"/>
  <c r="AK656" i="1"/>
  <c r="AK692" i="1"/>
  <c r="AK728" i="1"/>
  <c r="AK305" i="1"/>
  <c r="AK341" i="1"/>
  <c r="AK377" i="1"/>
  <c r="AK413" i="1"/>
  <c r="AK449" i="1"/>
  <c r="AK485" i="1"/>
  <c r="AK521" i="1"/>
  <c r="AK557" i="1"/>
  <c r="AK593" i="1"/>
  <c r="AK629" i="1"/>
  <c r="AK665" i="1"/>
  <c r="AK701" i="1"/>
  <c r="AK737" i="1"/>
  <c r="AK161" i="1"/>
  <c r="AK197" i="1"/>
  <c r="AK233" i="1"/>
  <c r="AK269" i="1"/>
  <c r="AK314" i="1"/>
  <c r="AK350" i="1"/>
  <c r="AK386" i="1"/>
  <c r="AK422" i="1"/>
  <c r="AK458" i="1"/>
  <c r="AK494" i="1"/>
  <c r="AK530" i="1"/>
  <c r="AK566" i="1"/>
  <c r="AK602" i="1"/>
  <c r="AK638" i="1"/>
  <c r="AK674" i="1"/>
  <c r="AK710" i="1"/>
  <c r="AK746" i="1"/>
  <c r="AK287" i="1"/>
  <c r="AK323" i="1"/>
  <c r="AK359" i="1"/>
  <c r="AK395" i="1"/>
  <c r="AK431" i="1"/>
  <c r="AK467" i="1"/>
  <c r="AK503" i="1"/>
  <c r="AK539" i="1"/>
  <c r="AK575" i="1"/>
  <c r="AK611" i="1"/>
  <c r="AK647" i="1"/>
  <c r="AK683" i="1"/>
  <c r="AK719" i="1"/>
  <c r="AK755" i="1"/>
  <c r="AK782" i="1"/>
  <c r="AK818" i="1"/>
  <c r="AK854" i="1"/>
  <c r="AK890" i="1"/>
  <c r="AK791" i="1"/>
  <c r="AK827" i="1"/>
  <c r="AK863" i="1"/>
  <c r="AK899" i="1"/>
  <c r="AK881" i="1"/>
  <c r="AK764" i="1"/>
  <c r="AK800" i="1"/>
  <c r="AK836" i="1"/>
  <c r="AK872" i="1"/>
  <c r="AK17" i="1"/>
  <c r="AK8" i="1"/>
  <c r="AK773" i="1"/>
  <c r="AK809" i="1"/>
  <c r="AK845" i="1"/>
  <c r="AL25" i="1"/>
  <c r="AL34" i="1"/>
  <c r="AL70" i="1"/>
  <c r="AL106" i="1"/>
  <c r="AL142" i="1"/>
  <c r="AL178" i="1"/>
  <c r="AL214" i="1"/>
  <c r="AL250" i="1"/>
  <c r="AL43" i="1"/>
  <c r="AL79" i="1"/>
  <c r="AL115" i="1"/>
  <c r="AL151" i="1"/>
  <c r="AL187" i="1"/>
  <c r="AL223" i="1"/>
  <c r="AL259" i="1"/>
  <c r="AL52" i="1"/>
  <c r="AL88" i="1"/>
  <c r="AL124" i="1"/>
  <c r="AL160" i="1"/>
  <c r="AL196" i="1"/>
  <c r="AL232" i="1"/>
  <c r="AL268" i="1"/>
  <c r="AL61" i="1"/>
  <c r="AL97" i="1"/>
  <c r="AL133" i="1"/>
  <c r="AL304" i="1"/>
  <c r="AL340" i="1"/>
  <c r="AL376" i="1"/>
  <c r="AL412" i="1"/>
  <c r="AL448" i="1"/>
  <c r="AL484" i="1"/>
  <c r="AL520" i="1"/>
  <c r="AL556" i="1"/>
  <c r="AL592" i="1"/>
  <c r="AL628" i="1"/>
  <c r="AL664" i="1"/>
  <c r="AL700" i="1"/>
  <c r="AL736" i="1"/>
  <c r="AL313" i="1"/>
  <c r="AL349" i="1"/>
  <c r="AL385" i="1"/>
  <c r="AL421" i="1"/>
  <c r="AL457" i="1"/>
  <c r="AL493" i="1"/>
  <c r="AL529" i="1"/>
  <c r="AL565" i="1"/>
  <c r="AL601" i="1"/>
  <c r="AL637" i="1"/>
  <c r="AL673" i="1"/>
  <c r="AL709" i="1"/>
  <c r="AL745" i="1"/>
  <c r="AL169" i="1"/>
  <c r="AL205" i="1"/>
  <c r="AL241" i="1"/>
  <c r="AL277" i="1"/>
  <c r="AL286" i="1"/>
  <c r="AL322" i="1"/>
  <c r="AL358" i="1"/>
  <c r="AL394" i="1"/>
  <c r="AL430" i="1"/>
  <c r="AL466" i="1"/>
  <c r="AL502" i="1"/>
  <c r="AL538" i="1"/>
  <c r="AL574" i="1"/>
  <c r="AL610" i="1"/>
  <c r="AL646" i="1"/>
  <c r="AL682" i="1"/>
  <c r="AL718" i="1"/>
  <c r="AL754" i="1"/>
  <c r="AL295" i="1"/>
  <c r="AL331" i="1"/>
  <c r="AL367" i="1"/>
  <c r="AL403" i="1"/>
  <c r="AL439" i="1"/>
  <c r="AL475" i="1"/>
  <c r="AL511" i="1"/>
  <c r="AL547" i="1"/>
  <c r="AL583" i="1"/>
  <c r="AL619" i="1"/>
  <c r="AL655" i="1"/>
  <c r="AL691" i="1"/>
  <c r="AL727" i="1"/>
  <c r="AL790" i="1"/>
  <c r="AL826" i="1"/>
  <c r="AL862" i="1"/>
  <c r="AL898" i="1"/>
  <c r="AL781" i="1"/>
  <c r="AL763" i="1"/>
  <c r="AL799" i="1"/>
  <c r="AL835" i="1"/>
  <c r="AL871" i="1"/>
  <c r="AL16" i="1"/>
  <c r="AL853" i="1"/>
  <c r="AL889" i="1"/>
  <c r="AL772" i="1"/>
  <c r="AL808" i="1"/>
  <c r="AL844" i="1"/>
  <c r="AL880" i="1"/>
  <c r="AL7" i="1"/>
  <c r="AL817" i="1"/>
  <c r="AH25" i="1"/>
  <c r="AH34" i="1"/>
  <c r="AH43" i="1"/>
  <c r="AH70" i="1"/>
  <c r="AH106" i="1"/>
  <c r="AH142" i="1"/>
  <c r="AH178" i="1"/>
  <c r="AH214" i="1"/>
  <c r="AH250" i="1"/>
  <c r="AH79" i="1"/>
  <c r="AH115" i="1"/>
  <c r="AH151" i="1"/>
  <c r="AH187" i="1"/>
  <c r="AH223" i="1"/>
  <c r="AH259" i="1"/>
  <c r="AH52" i="1"/>
  <c r="AH88" i="1"/>
  <c r="AH124" i="1"/>
  <c r="AH160" i="1"/>
  <c r="AH196" i="1"/>
  <c r="AH232" i="1"/>
  <c r="AH268" i="1"/>
  <c r="AH61" i="1"/>
  <c r="AH97" i="1"/>
  <c r="AH133" i="1"/>
  <c r="AH304" i="1"/>
  <c r="AH340" i="1"/>
  <c r="AH376" i="1"/>
  <c r="AH412" i="1"/>
  <c r="AH448" i="1"/>
  <c r="AH484" i="1"/>
  <c r="AH520" i="1"/>
  <c r="AH556" i="1"/>
  <c r="AH592" i="1"/>
  <c r="AH628" i="1"/>
  <c r="AH664" i="1"/>
  <c r="AH700" i="1"/>
  <c r="AH736" i="1"/>
  <c r="AH169" i="1"/>
  <c r="AH205" i="1"/>
  <c r="AH241" i="1"/>
  <c r="AH277" i="1"/>
  <c r="AH313" i="1"/>
  <c r="AH349" i="1"/>
  <c r="AH385" i="1"/>
  <c r="AH421" i="1"/>
  <c r="AH457" i="1"/>
  <c r="AH493" i="1"/>
  <c r="AH529" i="1"/>
  <c r="AH565" i="1"/>
  <c r="AH601" i="1"/>
  <c r="AH637" i="1"/>
  <c r="AH673" i="1"/>
  <c r="AH709" i="1"/>
  <c r="AH745" i="1"/>
  <c r="AH286" i="1"/>
  <c r="AH322" i="1"/>
  <c r="AH358" i="1"/>
  <c r="AH394" i="1"/>
  <c r="AH430" i="1"/>
  <c r="AH466" i="1"/>
  <c r="AH502" i="1"/>
  <c r="AH538" i="1"/>
  <c r="AH574" i="1"/>
  <c r="AH610" i="1"/>
  <c r="AH646" i="1"/>
  <c r="AH682" i="1"/>
  <c r="AH718" i="1"/>
  <c r="AH754" i="1"/>
  <c r="AH295" i="1"/>
  <c r="AH331" i="1"/>
  <c r="AH367" i="1"/>
  <c r="AH403" i="1"/>
  <c r="AH439" i="1"/>
  <c r="AH475" i="1"/>
  <c r="AH511" i="1"/>
  <c r="AH547" i="1"/>
  <c r="AH583" i="1"/>
  <c r="AH619" i="1"/>
  <c r="AH655" i="1"/>
  <c r="AH691" i="1"/>
  <c r="AH727" i="1"/>
  <c r="AH790" i="1"/>
  <c r="AH826" i="1"/>
  <c r="AH862" i="1"/>
  <c r="AH898" i="1"/>
  <c r="AH763" i="1"/>
  <c r="AH799" i="1"/>
  <c r="AH835" i="1"/>
  <c r="AH871" i="1"/>
  <c r="AH16" i="1"/>
  <c r="AH817" i="1"/>
  <c r="AH772" i="1"/>
  <c r="AH808" i="1"/>
  <c r="AH844" i="1"/>
  <c r="AH880" i="1"/>
  <c r="AH7" i="1"/>
  <c r="AH781" i="1"/>
  <c r="AH853" i="1"/>
  <c r="AH889" i="1"/>
  <c r="AI24" i="1"/>
  <c r="AI33" i="1"/>
  <c r="AI42" i="1"/>
  <c r="AI78" i="1"/>
  <c r="AI114" i="1"/>
  <c r="AI150" i="1"/>
  <c r="AI186" i="1"/>
  <c r="AI222" i="1"/>
  <c r="AI258" i="1"/>
  <c r="AI51" i="1"/>
  <c r="AI87" i="1"/>
  <c r="AI123" i="1"/>
  <c r="AI159" i="1"/>
  <c r="AI195" i="1"/>
  <c r="AI231" i="1"/>
  <c r="AI267" i="1"/>
  <c r="AI60" i="1"/>
  <c r="AI96" i="1"/>
  <c r="AI132" i="1"/>
  <c r="AI168" i="1"/>
  <c r="AI204" i="1"/>
  <c r="AI240" i="1"/>
  <c r="AI276" i="1"/>
  <c r="AI69" i="1"/>
  <c r="AI105" i="1"/>
  <c r="AI141" i="1"/>
  <c r="AI312" i="1"/>
  <c r="AI348" i="1"/>
  <c r="AI384" i="1"/>
  <c r="AI420" i="1"/>
  <c r="AI456" i="1"/>
  <c r="AI492" i="1"/>
  <c r="AI528" i="1"/>
  <c r="AI564" i="1"/>
  <c r="AI600" i="1"/>
  <c r="AI636" i="1"/>
  <c r="AI672" i="1"/>
  <c r="AI708" i="1"/>
  <c r="AI744" i="1"/>
  <c r="AI177" i="1"/>
  <c r="AI213" i="1"/>
  <c r="AI249" i="1"/>
  <c r="AI285" i="1"/>
  <c r="AI321" i="1"/>
  <c r="AI357" i="1"/>
  <c r="AI393" i="1"/>
  <c r="AI429" i="1"/>
  <c r="AI465" i="1"/>
  <c r="AI501" i="1"/>
  <c r="AI537" i="1"/>
  <c r="AI573" i="1"/>
  <c r="AI609" i="1"/>
  <c r="AI645" i="1"/>
  <c r="AI681" i="1"/>
  <c r="AI717" i="1"/>
  <c r="AI753" i="1"/>
  <c r="AI294" i="1"/>
  <c r="AI330" i="1"/>
  <c r="AI366" i="1"/>
  <c r="AI402" i="1"/>
  <c r="AI438" i="1"/>
  <c r="AI474" i="1"/>
  <c r="AI510" i="1"/>
  <c r="AI546" i="1"/>
  <c r="AI582" i="1"/>
  <c r="AI618" i="1"/>
  <c r="AI654" i="1"/>
  <c r="AI690" i="1"/>
  <c r="AI726" i="1"/>
  <c r="AI303" i="1"/>
  <c r="AI339" i="1"/>
  <c r="AI375" i="1"/>
  <c r="AI411" i="1"/>
  <c r="AI447" i="1"/>
  <c r="AI483" i="1"/>
  <c r="AI519" i="1"/>
  <c r="AI555" i="1"/>
  <c r="AI591" i="1"/>
  <c r="AI627" i="1"/>
  <c r="AI663" i="1"/>
  <c r="AI699" i="1"/>
  <c r="AI735" i="1"/>
  <c r="AI762" i="1"/>
  <c r="AI798" i="1"/>
  <c r="AI834" i="1"/>
  <c r="AI870" i="1"/>
  <c r="AI15" i="1"/>
  <c r="AI861" i="1"/>
  <c r="AI771" i="1"/>
  <c r="AI807" i="1"/>
  <c r="AI843" i="1"/>
  <c r="AI879" i="1"/>
  <c r="AI789" i="1"/>
  <c r="AI825" i="1"/>
  <c r="AI897" i="1"/>
  <c r="AI780" i="1"/>
  <c r="AI816" i="1"/>
  <c r="AI852" i="1"/>
  <c r="AI888" i="1"/>
  <c r="AI6" i="1"/>
  <c r="AJ32" i="1"/>
  <c r="AJ41" i="1"/>
  <c r="AJ50" i="1"/>
  <c r="AJ86" i="1"/>
  <c r="AJ122" i="1"/>
  <c r="AJ158" i="1"/>
  <c r="AJ194" i="1"/>
  <c r="AJ230" i="1"/>
  <c r="AJ266" i="1"/>
  <c r="AJ59" i="1"/>
  <c r="AJ95" i="1"/>
  <c r="AJ131" i="1"/>
  <c r="AJ167" i="1"/>
  <c r="AJ203" i="1"/>
  <c r="AJ239" i="1"/>
  <c r="AJ275" i="1"/>
  <c r="AJ68" i="1"/>
  <c r="AJ104" i="1"/>
  <c r="AJ140" i="1"/>
  <c r="AJ176" i="1"/>
  <c r="AJ212" i="1"/>
  <c r="AJ248" i="1"/>
  <c r="AJ23" i="1"/>
  <c r="AJ77" i="1"/>
  <c r="AJ113" i="1"/>
  <c r="AJ149" i="1"/>
  <c r="AJ185" i="1"/>
  <c r="AJ221" i="1"/>
  <c r="AJ257" i="1"/>
  <c r="AJ284" i="1"/>
  <c r="AJ320" i="1"/>
  <c r="AJ356" i="1"/>
  <c r="AJ392" i="1"/>
  <c r="AJ428" i="1"/>
  <c r="AJ464" i="1"/>
  <c r="AJ500" i="1"/>
  <c r="AJ536" i="1"/>
  <c r="AJ572" i="1"/>
  <c r="AJ608" i="1"/>
  <c r="AJ644" i="1"/>
  <c r="AJ680" i="1"/>
  <c r="AJ716" i="1"/>
  <c r="AJ752" i="1"/>
  <c r="AJ293" i="1"/>
  <c r="AJ329" i="1"/>
  <c r="AJ365" i="1"/>
  <c r="AJ401" i="1"/>
  <c r="AJ437" i="1"/>
  <c r="AJ473" i="1"/>
  <c r="AJ509" i="1"/>
  <c r="AJ545" i="1"/>
  <c r="AJ581" i="1"/>
  <c r="AJ617" i="1"/>
  <c r="AJ653" i="1"/>
  <c r="AJ689" i="1"/>
  <c r="AJ725" i="1"/>
  <c r="AJ302" i="1"/>
  <c r="AJ338" i="1"/>
  <c r="AJ374" i="1"/>
  <c r="AJ410" i="1"/>
  <c r="AJ446" i="1"/>
  <c r="AJ482" i="1"/>
  <c r="AJ518" i="1"/>
  <c r="AJ554" i="1"/>
  <c r="AJ590" i="1"/>
  <c r="AJ626" i="1"/>
  <c r="AJ662" i="1"/>
  <c r="AJ698" i="1"/>
  <c r="AJ734" i="1"/>
  <c r="AJ311" i="1"/>
  <c r="AJ347" i="1"/>
  <c r="AJ383" i="1"/>
  <c r="AJ419" i="1"/>
  <c r="AJ455" i="1"/>
  <c r="AJ491" i="1"/>
  <c r="AJ527" i="1"/>
  <c r="AJ563" i="1"/>
  <c r="AJ599" i="1"/>
  <c r="AJ635" i="1"/>
  <c r="AJ671" i="1"/>
  <c r="AJ707" i="1"/>
  <c r="AJ743" i="1"/>
  <c r="AJ770" i="1"/>
  <c r="AJ806" i="1"/>
  <c r="AJ842" i="1"/>
  <c r="AJ878" i="1"/>
  <c r="AJ779" i="1"/>
  <c r="AJ815" i="1"/>
  <c r="AJ851" i="1"/>
  <c r="AJ887" i="1"/>
  <c r="AJ761" i="1"/>
  <c r="AJ833" i="1"/>
  <c r="AJ869" i="1"/>
  <c r="AJ14" i="1"/>
  <c r="AJ788" i="1"/>
  <c r="AJ824" i="1"/>
  <c r="AJ860" i="1"/>
  <c r="AJ896" i="1"/>
  <c r="AJ5" i="1"/>
  <c r="AJ797" i="1"/>
  <c r="AG28" i="1"/>
  <c r="AG64" i="1"/>
  <c r="AG100" i="1"/>
  <c r="AG136" i="1"/>
  <c r="AG172" i="1"/>
  <c r="AG208" i="1"/>
  <c r="AG244" i="1"/>
  <c r="AG280" i="1"/>
  <c r="AG73" i="1"/>
  <c r="AG109" i="1"/>
  <c r="AG145" i="1"/>
  <c r="AG181" i="1"/>
  <c r="AG217" i="1"/>
  <c r="AG253" i="1"/>
  <c r="AG46" i="1"/>
  <c r="AG82" i="1"/>
  <c r="AG118" i="1"/>
  <c r="AG154" i="1"/>
  <c r="AG190" i="1"/>
  <c r="AG226" i="1"/>
  <c r="AG262" i="1"/>
  <c r="AG37" i="1"/>
  <c r="AG55" i="1"/>
  <c r="AG91" i="1"/>
  <c r="AG127" i="1"/>
  <c r="AG163" i="1"/>
  <c r="AG199" i="1"/>
  <c r="AG235" i="1"/>
  <c r="AG271" i="1"/>
  <c r="AG298" i="1"/>
  <c r="AG334" i="1"/>
  <c r="AG370" i="1"/>
  <c r="AG406" i="1"/>
  <c r="AG442" i="1"/>
  <c r="AG478" i="1"/>
  <c r="AG514" i="1"/>
  <c r="AG550" i="1"/>
  <c r="AG586" i="1"/>
  <c r="AG622" i="1"/>
  <c r="AG658" i="1"/>
  <c r="AG694" i="1"/>
  <c r="AG730" i="1"/>
  <c r="AG307" i="1"/>
  <c r="AG343" i="1"/>
  <c r="AG379" i="1"/>
  <c r="AG415" i="1"/>
  <c r="AG451" i="1"/>
  <c r="AG487" i="1"/>
  <c r="AG523" i="1"/>
  <c r="AG559" i="1"/>
  <c r="AG595" i="1"/>
  <c r="AG631" i="1"/>
  <c r="AG667" i="1"/>
  <c r="AG703" i="1"/>
  <c r="AG739" i="1"/>
  <c r="AG316" i="1"/>
  <c r="AG352" i="1"/>
  <c r="AG388" i="1"/>
  <c r="AG424" i="1"/>
  <c r="AG460" i="1"/>
  <c r="AG496" i="1"/>
  <c r="AG532" i="1"/>
  <c r="AG568" i="1"/>
  <c r="AG604" i="1"/>
  <c r="AG640" i="1"/>
  <c r="AG676" i="1"/>
  <c r="AG712" i="1"/>
  <c r="AG748" i="1"/>
  <c r="AG289" i="1"/>
  <c r="AG325" i="1"/>
  <c r="AG361" i="1"/>
  <c r="AG397" i="1"/>
  <c r="AG433" i="1"/>
  <c r="AG469" i="1"/>
  <c r="AG505" i="1"/>
  <c r="AG541" i="1"/>
  <c r="AG577" i="1"/>
  <c r="AG613" i="1"/>
  <c r="AG649" i="1"/>
  <c r="AG685" i="1"/>
  <c r="AG721" i="1"/>
  <c r="AG784" i="1"/>
  <c r="AG820" i="1"/>
  <c r="AG856" i="1"/>
  <c r="AG892" i="1"/>
  <c r="AG811" i="1"/>
  <c r="AG883" i="1"/>
  <c r="AG793" i="1"/>
  <c r="AG829" i="1"/>
  <c r="AG865" i="1"/>
  <c r="AG901" i="1"/>
  <c r="AG757" i="1"/>
  <c r="AG766" i="1"/>
  <c r="AG802" i="1"/>
  <c r="AG838" i="1"/>
  <c r="AG874" i="1"/>
  <c r="AG19" i="1"/>
  <c r="AG10" i="1"/>
  <c r="AG775" i="1"/>
  <c r="AG847" i="1"/>
  <c r="AG25" i="1"/>
  <c r="AG34" i="1"/>
  <c r="AG43" i="1"/>
  <c r="AG79" i="1"/>
  <c r="AG115" i="1"/>
  <c r="AG151" i="1"/>
  <c r="AG187" i="1"/>
  <c r="AG223" i="1"/>
  <c r="AG259" i="1"/>
  <c r="AG52" i="1"/>
  <c r="AG88" i="1"/>
  <c r="AG124" i="1"/>
  <c r="AG160" i="1"/>
  <c r="AG196" i="1"/>
  <c r="AG232" i="1"/>
  <c r="AG268" i="1"/>
  <c r="AG61" i="1"/>
  <c r="AG97" i="1"/>
  <c r="AG133" i="1"/>
  <c r="AG169" i="1"/>
  <c r="AG205" i="1"/>
  <c r="AG241" i="1"/>
  <c r="AG277" i="1"/>
  <c r="AG70" i="1"/>
  <c r="AG106" i="1"/>
  <c r="AG142" i="1"/>
  <c r="AG313" i="1"/>
  <c r="AG349" i="1"/>
  <c r="AG385" i="1"/>
  <c r="AG421" i="1"/>
  <c r="AG457" i="1"/>
  <c r="AG493" i="1"/>
  <c r="AG529" i="1"/>
  <c r="AG565" i="1"/>
  <c r="AG601" i="1"/>
  <c r="AG637" i="1"/>
  <c r="AG673" i="1"/>
  <c r="AG709" i="1"/>
  <c r="AG745" i="1"/>
  <c r="AG286" i="1"/>
  <c r="AG322" i="1"/>
  <c r="AG358" i="1"/>
  <c r="AG394" i="1"/>
  <c r="AG430" i="1"/>
  <c r="AG466" i="1"/>
  <c r="AG502" i="1"/>
  <c r="AG538" i="1"/>
  <c r="AG574" i="1"/>
  <c r="AG610" i="1"/>
  <c r="AG646" i="1"/>
  <c r="AG682" i="1"/>
  <c r="AG718" i="1"/>
  <c r="AG754" i="1"/>
  <c r="AG178" i="1"/>
  <c r="AG214" i="1"/>
  <c r="AG250" i="1"/>
  <c r="AG295" i="1"/>
  <c r="AG331" i="1"/>
  <c r="AG367" i="1"/>
  <c r="AG403" i="1"/>
  <c r="AG439" i="1"/>
  <c r="AG475" i="1"/>
  <c r="AG511" i="1"/>
  <c r="AG547" i="1"/>
  <c r="AG583" i="1"/>
  <c r="AG619" i="1"/>
  <c r="AG655" i="1"/>
  <c r="AG691" i="1"/>
  <c r="AG727" i="1"/>
  <c r="AG304" i="1"/>
  <c r="AG340" i="1"/>
  <c r="AG376" i="1"/>
  <c r="AG412" i="1"/>
  <c r="AG448" i="1"/>
  <c r="AG484" i="1"/>
  <c r="AG520" i="1"/>
  <c r="AG556" i="1"/>
  <c r="AG592" i="1"/>
  <c r="AG628" i="1"/>
  <c r="AG664" i="1"/>
  <c r="AG700" i="1"/>
  <c r="AG736" i="1"/>
  <c r="AG763" i="1"/>
  <c r="AG799" i="1"/>
  <c r="AG835" i="1"/>
  <c r="AG871" i="1"/>
  <c r="AG16" i="1"/>
  <c r="AG790" i="1"/>
  <c r="AG898" i="1"/>
  <c r="AG772" i="1"/>
  <c r="AG808" i="1"/>
  <c r="AG844" i="1"/>
  <c r="AG880" i="1"/>
  <c r="AG7" i="1"/>
  <c r="AG862" i="1"/>
  <c r="AG781" i="1"/>
  <c r="AG817" i="1"/>
  <c r="AG853" i="1"/>
  <c r="AG889" i="1"/>
  <c r="AG826" i="1"/>
  <c r="AG29" i="1"/>
  <c r="AG38" i="1"/>
  <c r="AG47" i="1"/>
  <c r="AG83" i="1"/>
  <c r="AG119" i="1"/>
  <c r="AG155" i="1"/>
  <c r="AG191" i="1"/>
  <c r="AG227" i="1"/>
  <c r="AG263" i="1"/>
  <c r="AG56" i="1"/>
  <c r="AG92" i="1"/>
  <c r="AG128" i="1"/>
  <c r="AG164" i="1"/>
  <c r="AG200" i="1"/>
  <c r="AG236" i="1"/>
  <c r="AG272" i="1"/>
  <c r="AG65" i="1"/>
  <c r="AG101" i="1"/>
  <c r="AG137" i="1"/>
  <c r="AG173" i="1"/>
  <c r="AG209" i="1"/>
  <c r="AG245" i="1"/>
  <c r="AG281" i="1"/>
  <c r="AG74" i="1"/>
  <c r="AG110" i="1"/>
  <c r="AG146" i="1"/>
  <c r="AG182" i="1"/>
  <c r="AG218" i="1"/>
  <c r="AG254" i="1"/>
  <c r="AG317" i="1"/>
  <c r="AG353" i="1"/>
  <c r="AG389" i="1"/>
  <c r="AG425" i="1"/>
  <c r="AG461" i="1"/>
  <c r="AG497" i="1"/>
  <c r="AG533" i="1"/>
  <c r="AG569" i="1"/>
  <c r="AG605" i="1"/>
  <c r="AG641" i="1"/>
  <c r="AG677" i="1"/>
  <c r="AG713" i="1"/>
  <c r="AG749" i="1"/>
  <c r="AG290" i="1"/>
  <c r="AG326" i="1"/>
  <c r="AG362" i="1"/>
  <c r="AG398" i="1"/>
  <c r="AG434" i="1"/>
  <c r="AG470" i="1"/>
  <c r="AG506" i="1"/>
  <c r="AG542" i="1"/>
  <c r="AG578" i="1"/>
  <c r="AG614" i="1"/>
  <c r="AG650" i="1"/>
  <c r="AG686" i="1"/>
  <c r="AG722" i="1"/>
  <c r="AG758" i="1"/>
  <c r="AG299" i="1"/>
  <c r="AG335" i="1"/>
  <c r="AG371" i="1"/>
  <c r="AG407" i="1"/>
  <c r="AG443" i="1"/>
  <c r="AG479" i="1"/>
  <c r="AG515" i="1"/>
  <c r="AG551" i="1"/>
  <c r="AG587" i="1"/>
  <c r="AG623" i="1"/>
  <c r="AG659" i="1"/>
  <c r="AG695" i="1"/>
  <c r="AG731" i="1"/>
  <c r="AG308" i="1"/>
  <c r="AG344" i="1"/>
  <c r="AG380" i="1"/>
  <c r="AG416" i="1"/>
  <c r="AG452" i="1"/>
  <c r="AG488" i="1"/>
  <c r="AG524" i="1"/>
  <c r="AG560" i="1"/>
  <c r="AG596" i="1"/>
  <c r="AG632" i="1"/>
  <c r="AG668" i="1"/>
  <c r="AG704" i="1"/>
  <c r="AG740" i="1"/>
  <c r="AG767" i="1"/>
  <c r="AG803" i="1"/>
  <c r="AG839" i="1"/>
  <c r="AG875" i="1"/>
  <c r="AG20" i="1"/>
  <c r="AG866" i="1"/>
  <c r="AG776" i="1"/>
  <c r="AG812" i="1"/>
  <c r="AG848" i="1"/>
  <c r="AG884" i="1"/>
  <c r="AG11" i="1"/>
  <c r="AG902" i="1"/>
  <c r="AG785" i="1"/>
  <c r="AG821" i="1"/>
  <c r="AG857" i="1"/>
  <c r="AG893" i="1"/>
  <c r="AG794" i="1"/>
  <c r="AG830" i="1"/>
  <c r="AJ30" i="1"/>
  <c r="AJ39" i="1"/>
  <c r="AJ75" i="1"/>
  <c r="AJ111" i="1"/>
  <c r="AJ147" i="1"/>
  <c r="AJ183" i="1"/>
  <c r="AJ219" i="1"/>
  <c r="AJ255" i="1"/>
  <c r="AJ48" i="1"/>
  <c r="AJ84" i="1"/>
  <c r="AJ120" i="1"/>
  <c r="AJ156" i="1"/>
  <c r="AJ192" i="1"/>
  <c r="AJ228" i="1"/>
  <c r="AJ264" i="1"/>
  <c r="AJ57" i="1"/>
  <c r="AJ93" i="1"/>
  <c r="AJ129" i="1"/>
  <c r="AJ165" i="1"/>
  <c r="AJ201" i="1"/>
  <c r="AJ237" i="1"/>
  <c r="AJ273" i="1"/>
  <c r="AJ66" i="1"/>
  <c r="AJ102" i="1"/>
  <c r="AJ138" i="1"/>
  <c r="AJ309" i="1"/>
  <c r="AJ345" i="1"/>
  <c r="AJ381" i="1"/>
  <c r="AJ417" i="1"/>
  <c r="AJ453" i="1"/>
  <c r="AJ489" i="1"/>
  <c r="AJ525" i="1"/>
  <c r="AJ561" i="1"/>
  <c r="AJ597" i="1"/>
  <c r="AJ633" i="1"/>
  <c r="AJ669" i="1"/>
  <c r="AJ705" i="1"/>
  <c r="AJ741" i="1"/>
  <c r="AJ174" i="1"/>
  <c r="AJ210" i="1"/>
  <c r="AJ246" i="1"/>
  <c r="AJ318" i="1"/>
  <c r="AJ354" i="1"/>
  <c r="AJ390" i="1"/>
  <c r="AJ426" i="1"/>
  <c r="AJ462" i="1"/>
  <c r="AJ498" i="1"/>
  <c r="AJ534" i="1"/>
  <c r="AJ570" i="1"/>
  <c r="AJ606" i="1"/>
  <c r="AJ642" i="1"/>
  <c r="AJ678" i="1"/>
  <c r="AJ714" i="1"/>
  <c r="AJ750" i="1"/>
  <c r="AJ282" i="1"/>
  <c r="AJ291" i="1"/>
  <c r="AJ327" i="1"/>
  <c r="AJ363" i="1"/>
  <c r="AJ399" i="1"/>
  <c r="AJ435" i="1"/>
  <c r="AJ471" i="1"/>
  <c r="AJ507" i="1"/>
  <c r="AJ543" i="1"/>
  <c r="AJ579" i="1"/>
  <c r="AJ615" i="1"/>
  <c r="AJ651" i="1"/>
  <c r="AJ687" i="1"/>
  <c r="AJ723" i="1"/>
  <c r="AJ300" i="1"/>
  <c r="AJ336" i="1"/>
  <c r="AJ372" i="1"/>
  <c r="AJ408" i="1"/>
  <c r="AJ444" i="1"/>
  <c r="AJ480" i="1"/>
  <c r="AJ516" i="1"/>
  <c r="AJ552" i="1"/>
  <c r="AJ588" i="1"/>
  <c r="AJ624" i="1"/>
  <c r="AJ660" i="1"/>
  <c r="AJ696" i="1"/>
  <c r="AJ732" i="1"/>
  <c r="AJ759" i="1"/>
  <c r="AJ795" i="1"/>
  <c r="AJ831" i="1"/>
  <c r="AJ867" i="1"/>
  <c r="AJ903" i="1"/>
  <c r="AJ858" i="1"/>
  <c r="AJ894" i="1"/>
  <c r="AJ768" i="1"/>
  <c r="AJ804" i="1"/>
  <c r="AJ840" i="1"/>
  <c r="AJ876" i="1"/>
  <c r="AJ21" i="1"/>
  <c r="AJ12" i="1"/>
  <c r="AJ786" i="1"/>
  <c r="AJ822" i="1"/>
  <c r="AJ777" i="1"/>
  <c r="AJ813" i="1"/>
  <c r="AJ849" i="1"/>
  <c r="AJ885" i="1"/>
  <c r="AK29" i="1"/>
  <c r="AK38" i="1"/>
  <c r="AK47" i="1"/>
  <c r="AK83" i="1"/>
  <c r="AK119" i="1"/>
  <c r="AK155" i="1"/>
  <c r="AK191" i="1"/>
  <c r="AK227" i="1"/>
  <c r="AK263" i="1"/>
  <c r="AK56" i="1"/>
  <c r="AK92" i="1"/>
  <c r="AK128" i="1"/>
  <c r="AK164" i="1"/>
  <c r="AK200" i="1"/>
  <c r="AK236" i="1"/>
  <c r="AK272" i="1"/>
  <c r="AK65" i="1"/>
  <c r="AK101" i="1"/>
  <c r="AK137" i="1"/>
  <c r="AK173" i="1"/>
  <c r="AK209" i="1"/>
  <c r="AK245" i="1"/>
  <c r="AK281" i="1"/>
  <c r="AK74" i="1"/>
  <c r="AK110" i="1"/>
  <c r="AK317" i="1"/>
  <c r="AK353" i="1"/>
  <c r="AK389" i="1"/>
  <c r="AK425" i="1"/>
  <c r="AK461" i="1"/>
  <c r="AK497" i="1"/>
  <c r="AK533" i="1"/>
  <c r="AK569" i="1"/>
  <c r="AK605" i="1"/>
  <c r="AK641" i="1"/>
  <c r="AK677" i="1"/>
  <c r="AK713" i="1"/>
  <c r="AK749" i="1"/>
  <c r="AK146" i="1"/>
  <c r="AK182" i="1"/>
  <c r="AK218" i="1"/>
  <c r="AK254" i="1"/>
  <c r="AK290" i="1"/>
  <c r="AK326" i="1"/>
  <c r="AK362" i="1"/>
  <c r="AK398" i="1"/>
  <c r="AK434" i="1"/>
  <c r="AK470" i="1"/>
  <c r="AK506" i="1"/>
  <c r="AK542" i="1"/>
  <c r="AK578" i="1"/>
  <c r="AK614" i="1"/>
  <c r="AK650" i="1"/>
  <c r="AK686" i="1"/>
  <c r="AK722" i="1"/>
  <c r="AK758" i="1"/>
  <c r="AK299" i="1"/>
  <c r="AK335" i="1"/>
  <c r="AK371" i="1"/>
  <c r="AK407" i="1"/>
  <c r="AK443" i="1"/>
  <c r="AK479" i="1"/>
  <c r="AK515" i="1"/>
  <c r="AK551" i="1"/>
  <c r="AK587" i="1"/>
  <c r="AK623" i="1"/>
  <c r="AK659" i="1"/>
  <c r="AK695" i="1"/>
  <c r="AK731" i="1"/>
  <c r="AK308" i="1"/>
  <c r="AK344" i="1"/>
  <c r="AK380" i="1"/>
  <c r="AK416" i="1"/>
  <c r="AK452" i="1"/>
  <c r="AK488" i="1"/>
  <c r="AK524" i="1"/>
  <c r="AK560" i="1"/>
  <c r="AK596" i="1"/>
  <c r="AK632" i="1"/>
  <c r="AK668" i="1"/>
  <c r="AK704" i="1"/>
  <c r="AK740" i="1"/>
  <c r="AK767" i="1"/>
  <c r="AK803" i="1"/>
  <c r="AK839" i="1"/>
  <c r="AK875" i="1"/>
  <c r="AK20" i="1"/>
  <c r="AK794" i="1"/>
  <c r="AK830" i="1"/>
  <c r="AK776" i="1"/>
  <c r="AK812" i="1"/>
  <c r="AK848" i="1"/>
  <c r="AK884" i="1"/>
  <c r="AK11" i="1"/>
  <c r="AK866" i="1"/>
  <c r="AK785" i="1"/>
  <c r="AK821" i="1"/>
  <c r="AK857" i="1"/>
  <c r="AK893" i="1"/>
  <c r="AK902" i="1"/>
  <c r="AL37" i="1"/>
  <c r="AL55" i="1"/>
  <c r="AL91" i="1"/>
  <c r="AL127" i="1"/>
  <c r="AL163" i="1"/>
  <c r="AL199" i="1"/>
  <c r="AL235" i="1"/>
  <c r="AL271" i="1"/>
  <c r="AL64" i="1"/>
  <c r="AL100" i="1"/>
  <c r="AL136" i="1"/>
  <c r="AL172" i="1"/>
  <c r="AL208" i="1"/>
  <c r="AL244" i="1"/>
  <c r="AL280" i="1"/>
  <c r="AL46" i="1"/>
  <c r="AL73" i="1"/>
  <c r="AL109" i="1"/>
  <c r="AL145" i="1"/>
  <c r="AL181" i="1"/>
  <c r="AL217" i="1"/>
  <c r="AL253" i="1"/>
  <c r="AL28" i="1"/>
  <c r="AL82" i="1"/>
  <c r="AL118" i="1"/>
  <c r="AL154" i="1"/>
  <c r="AL190" i="1"/>
  <c r="AL226" i="1"/>
  <c r="AL262" i="1"/>
  <c r="AL289" i="1"/>
  <c r="AL325" i="1"/>
  <c r="AL361" i="1"/>
  <c r="AL397" i="1"/>
  <c r="AL433" i="1"/>
  <c r="AL469" i="1"/>
  <c r="AL505" i="1"/>
  <c r="AL541" i="1"/>
  <c r="AL577" i="1"/>
  <c r="AL613" i="1"/>
  <c r="AL649" i="1"/>
  <c r="AL685" i="1"/>
  <c r="AL721" i="1"/>
  <c r="AL298" i="1"/>
  <c r="AL334" i="1"/>
  <c r="AL370" i="1"/>
  <c r="AL406" i="1"/>
  <c r="AL442" i="1"/>
  <c r="AL478" i="1"/>
  <c r="AL514" i="1"/>
  <c r="AL550" i="1"/>
  <c r="AL586" i="1"/>
  <c r="AL622" i="1"/>
  <c r="AL658" i="1"/>
  <c r="AL694" i="1"/>
  <c r="AL730" i="1"/>
  <c r="AL307" i="1"/>
  <c r="AL343" i="1"/>
  <c r="AL379" i="1"/>
  <c r="AL415" i="1"/>
  <c r="AL451" i="1"/>
  <c r="AL487" i="1"/>
  <c r="AL523" i="1"/>
  <c r="AL559" i="1"/>
  <c r="AL595" i="1"/>
  <c r="AL631" i="1"/>
  <c r="AL667" i="1"/>
  <c r="AL703" i="1"/>
  <c r="AL739" i="1"/>
  <c r="AL316" i="1"/>
  <c r="AL352" i="1"/>
  <c r="AL388" i="1"/>
  <c r="AL424" i="1"/>
  <c r="AL460" i="1"/>
  <c r="AL496" i="1"/>
  <c r="AL532" i="1"/>
  <c r="AL568" i="1"/>
  <c r="AL604" i="1"/>
  <c r="AL640" i="1"/>
  <c r="AL676" i="1"/>
  <c r="AL712" i="1"/>
  <c r="AL748" i="1"/>
  <c r="AL775" i="1"/>
  <c r="AL811" i="1"/>
  <c r="AL847" i="1"/>
  <c r="AL883" i="1"/>
  <c r="AL874" i="1"/>
  <c r="AL757" i="1"/>
  <c r="AL784" i="1"/>
  <c r="AL820" i="1"/>
  <c r="AL856" i="1"/>
  <c r="AL892" i="1"/>
  <c r="AL10" i="1"/>
  <c r="AL802" i="1"/>
  <c r="AL793" i="1"/>
  <c r="AL829" i="1"/>
  <c r="AL865" i="1"/>
  <c r="AL901" i="1"/>
  <c r="AL766" i="1"/>
  <c r="AL838" i="1"/>
  <c r="AL19" i="1"/>
  <c r="AH37" i="1"/>
  <c r="AH55" i="1"/>
  <c r="AH91" i="1"/>
  <c r="AH127" i="1"/>
  <c r="AH163" i="1"/>
  <c r="AH199" i="1"/>
  <c r="AH235" i="1"/>
  <c r="AH271" i="1"/>
  <c r="AH64" i="1"/>
  <c r="AH100" i="1"/>
  <c r="AH136" i="1"/>
  <c r="AH172" i="1"/>
  <c r="AH208" i="1"/>
  <c r="AH244" i="1"/>
  <c r="AH280" i="1"/>
  <c r="AH28" i="1"/>
  <c r="AH73" i="1"/>
  <c r="AH109" i="1"/>
  <c r="AH145" i="1"/>
  <c r="AH181" i="1"/>
  <c r="AH217" i="1"/>
  <c r="AH253" i="1"/>
  <c r="AH46" i="1"/>
  <c r="AH82" i="1"/>
  <c r="AH118" i="1"/>
  <c r="AH289" i="1"/>
  <c r="AH325" i="1"/>
  <c r="AH361" i="1"/>
  <c r="AH397" i="1"/>
  <c r="AH433" i="1"/>
  <c r="AH469" i="1"/>
  <c r="AH505" i="1"/>
  <c r="AH541" i="1"/>
  <c r="AH577" i="1"/>
  <c r="AH613" i="1"/>
  <c r="AH649" i="1"/>
  <c r="AH685" i="1"/>
  <c r="AH721" i="1"/>
  <c r="AH757" i="1"/>
  <c r="AH298" i="1"/>
  <c r="AH334" i="1"/>
  <c r="AH370" i="1"/>
  <c r="AH406" i="1"/>
  <c r="AH442" i="1"/>
  <c r="AH478" i="1"/>
  <c r="AH514" i="1"/>
  <c r="AH550" i="1"/>
  <c r="AH586" i="1"/>
  <c r="AH622" i="1"/>
  <c r="AH658" i="1"/>
  <c r="AH694" i="1"/>
  <c r="AH730" i="1"/>
  <c r="AH307" i="1"/>
  <c r="AH343" i="1"/>
  <c r="AH379" i="1"/>
  <c r="AH415" i="1"/>
  <c r="AH451" i="1"/>
  <c r="AH487" i="1"/>
  <c r="AH523" i="1"/>
  <c r="AH559" i="1"/>
  <c r="AH595" i="1"/>
  <c r="AH631" i="1"/>
  <c r="AH667" i="1"/>
  <c r="AH703" i="1"/>
  <c r="AH739" i="1"/>
  <c r="AH154" i="1"/>
  <c r="AH190" i="1"/>
  <c r="AH226" i="1"/>
  <c r="AH262" i="1"/>
  <c r="AH316" i="1"/>
  <c r="AH352" i="1"/>
  <c r="AH388" i="1"/>
  <c r="AH424" i="1"/>
  <c r="AH460" i="1"/>
  <c r="AH496" i="1"/>
  <c r="AH532" i="1"/>
  <c r="AH568" i="1"/>
  <c r="AH604" i="1"/>
  <c r="AH640" i="1"/>
  <c r="AH676" i="1"/>
  <c r="AH712" i="1"/>
  <c r="AH748" i="1"/>
  <c r="AH775" i="1"/>
  <c r="AH811" i="1"/>
  <c r="AH847" i="1"/>
  <c r="AH883" i="1"/>
  <c r="AH802" i="1"/>
  <c r="AH784" i="1"/>
  <c r="AH820" i="1"/>
  <c r="AH856" i="1"/>
  <c r="AH892" i="1"/>
  <c r="AH10" i="1"/>
  <c r="AH766" i="1"/>
  <c r="AH838" i="1"/>
  <c r="AH874" i="1"/>
  <c r="AH19" i="1"/>
  <c r="AH793" i="1"/>
  <c r="AH829" i="1"/>
  <c r="AH865" i="1"/>
  <c r="AH901" i="1"/>
  <c r="AI27" i="1"/>
  <c r="AI63" i="1"/>
  <c r="AI99" i="1"/>
  <c r="AI135" i="1"/>
  <c r="AI171" i="1"/>
  <c r="AI207" i="1"/>
  <c r="AI243" i="1"/>
  <c r="AI279" i="1"/>
  <c r="AI72" i="1"/>
  <c r="AI108" i="1"/>
  <c r="AI144" i="1"/>
  <c r="AI180" i="1"/>
  <c r="AI216" i="1"/>
  <c r="AI252" i="1"/>
  <c r="AI36" i="1"/>
  <c r="AI81" i="1"/>
  <c r="AI117" i="1"/>
  <c r="AI153" i="1"/>
  <c r="AI189" i="1"/>
  <c r="AI225" i="1"/>
  <c r="AI261" i="1"/>
  <c r="AI45" i="1"/>
  <c r="AI54" i="1"/>
  <c r="AI90" i="1"/>
  <c r="AI126" i="1"/>
  <c r="AI297" i="1"/>
  <c r="AI333" i="1"/>
  <c r="AI369" i="1"/>
  <c r="AI405" i="1"/>
  <c r="AI441" i="1"/>
  <c r="AI477" i="1"/>
  <c r="AI513" i="1"/>
  <c r="AI549" i="1"/>
  <c r="AI585" i="1"/>
  <c r="AI621" i="1"/>
  <c r="AI657" i="1"/>
  <c r="AI693" i="1"/>
  <c r="AI729" i="1"/>
  <c r="AI306" i="1"/>
  <c r="AI342" i="1"/>
  <c r="AI378" i="1"/>
  <c r="AI414" i="1"/>
  <c r="AI450" i="1"/>
  <c r="AI486" i="1"/>
  <c r="AI522" i="1"/>
  <c r="AI558" i="1"/>
  <c r="AI594" i="1"/>
  <c r="AI630" i="1"/>
  <c r="AI666" i="1"/>
  <c r="AI702" i="1"/>
  <c r="AI738" i="1"/>
  <c r="AI315" i="1"/>
  <c r="AI351" i="1"/>
  <c r="AI387" i="1"/>
  <c r="AI423" i="1"/>
  <c r="AI459" i="1"/>
  <c r="AI495" i="1"/>
  <c r="AI531" i="1"/>
  <c r="AI567" i="1"/>
  <c r="AI603" i="1"/>
  <c r="AI639" i="1"/>
  <c r="AI675" i="1"/>
  <c r="AI711" i="1"/>
  <c r="AI747" i="1"/>
  <c r="AI162" i="1"/>
  <c r="AI198" i="1"/>
  <c r="AI234" i="1"/>
  <c r="AI270" i="1"/>
  <c r="AI288" i="1"/>
  <c r="AI324" i="1"/>
  <c r="AI360" i="1"/>
  <c r="AI396" i="1"/>
  <c r="AI432" i="1"/>
  <c r="AI468" i="1"/>
  <c r="AI504" i="1"/>
  <c r="AI540" i="1"/>
  <c r="AI576" i="1"/>
  <c r="AI612" i="1"/>
  <c r="AI648" i="1"/>
  <c r="AI684" i="1"/>
  <c r="AI720" i="1"/>
  <c r="AI756" i="1"/>
  <c r="AI783" i="1"/>
  <c r="AI819" i="1"/>
  <c r="AI855" i="1"/>
  <c r="AI891" i="1"/>
  <c r="AI792" i="1"/>
  <c r="AI828" i="1"/>
  <c r="AI864" i="1"/>
  <c r="AI900" i="1"/>
  <c r="AI9" i="1"/>
  <c r="AI774" i="1"/>
  <c r="AI810" i="1"/>
  <c r="AI846" i="1"/>
  <c r="AI765" i="1"/>
  <c r="AI801" i="1"/>
  <c r="AI837" i="1"/>
  <c r="AI873" i="1"/>
  <c r="AI18" i="1"/>
  <c r="AI882" i="1"/>
  <c r="AJ26" i="1"/>
  <c r="AJ35" i="1"/>
  <c r="AJ71" i="1"/>
  <c r="AJ107" i="1"/>
  <c r="AJ143" i="1"/>
  <c r="AJ179" i="1"/>
  <c r="AJ215" i="1"/>
  <c r="AJ251" i="1"/>
  <c r="AJ80" i="1"/>
  <c r="AJ116" i="1"/>
  <c r="AJ152" i="1"/>
  <c r="AJ188" i="1"/>
  <c r="AJ224" i="1"/>
  <c r="AJ260" i="1"/>
  <c r="AJ53" i="1"/>
  <c r="AJ89" i="1"/>
  <c r="AJ125" i="1"/>
  <c r="AJ161" i="1"/>
  <c r="AJ197" i="1"/>
  <c r="AJ233" i="1"/>
  <c r="AJ269" i="1"/>
  <c r="AJ44" i="1"/>
  <c r="AJ62" i="1"/>
  <c r="AJ98" i="1"/>
  <c r="AJ134" i="1"/>
  <c r="AJ305" i="1"/>
  <c r="AJ341" i="1"/>
  <c r="AJ377" i="1"/>
  <c r="AJ413" i="1"/>
  <c r="AJ449" i="1"/>
  <c r="AJ485" i="1"/>
  <c r="AJ521" i="1"/>
  <c r="AJ557" i="1"/>
  <c r="AJ593" i="1"/>
  <c r="AJ629" i="1"/>
  <c r="AJ665" i="1"/>
  <c r="AJ701" i="1"/>
  <c r="AJ737" i="1"/>
  <c r="AJ314" i="1"/>
  <c r="AJ350" i="1"/>
  <c r="AJ386" i="1"/>
  <c r="AJ422" i="1"/>
  <c r="AJ458" i="1"/>
  <c r="AJ494" i="1"/>
  <c r="AJ530" i="1"/>
  <c r="AJ566" i="1"/>
  <c r="AJ602" i="1"/>
  <c r="AJ638" i="1"/>
  <c r="AJ674" i="1"/>
  <c r="AJ710" i="1"/>
  <c r="AJ746" i="1"/>
  <c r="AJ287" i="1"/>
  <c r="AJ323" i="1"/>
  <c r="AJ359" i="1"/>
  <c r="AJ395" i="1"/>
  <c r="AJ431" i="1"/>
  <c r="AJ467" i="1"/>
  <c r="AJ503" i="1"/>
  <c r="AJ539" i="1"/>
  <c r="AJ575" i="1"/>
  <c r="AJ611" i="1"/>
  <c r="AJ647" i="1"/>
  <c r="AJ683" i="1"/>
  <c r="AJ719" i="1"/>
  <c r="AJ755" i="1"/>
  <c r="AJ170" i="1"/>
  <c r="AJ206" i="1"/>
  <c r="AJ242" i="1"/>
  <c r="AJ278" i="1"/>
  <c r="AJ296" i="1"/>
  <c r="AJ332" i="1"/>
  <c r="AJ368" i="1"/>
  <c r="AJ404" i="1"/>
  <c r="AJ440" i="1"/>
  <c r="AJ476" i="1"/>
  <c r="AJ512" i="1"/>
  <c r="AJ548" i="1"/>
  <c r="AJ584" i="1"/>
  <c r="AJ620" i="1"/>
  <c r="AJ656" i="1"/>
  <c r="AJ692" i="1"/>
  <c r="AJ728" i="1"/>
  <c r="AJ791" i="1"/>
  <c r="AJ827" i="1"/>
  <c r="AJ863" i="1"/>
  <c r="AJ899" i="1"/>
  <c r="AJ818" i="1"/>
  <c r="AJ854" i="1"/>
  <c r="AJ890" i="1"/>
  <c r="AJ764" i="1"/>
  <c r="AJ800" i="1"/>
  <c r="AJ836" i="1"/>
  <c r="AJ872" i="1"/>
  <c r="AJ17" i="1"/>
  <c r="AJ8" i="1"/>
  <c r="AJ782" i="1"/>
  <c r="AJ773" i="1"/>
  <c r="AJ809" i="1"/>
  <c r="AJ845" i="1"/>
  <c r="AJ881" i="1"/>
  <c r="AK25" i="1"/>
  <c r="AK34" i="1"/>
  <c r="AK43" i="1"/>
  <c r="AK79" i="1"/>
  <c r="AK115" i="1"/>
  <c r="AK151" i="1"/>
  <c r="AK187" i="1"/>
  <c r="AK223" i="1"/>
  <c r="AK259" i="1"/>
  <c r="AK52" i="1"/>
  <c r="AK88" i="1"/>
  <c r="AK124" i="1"/>
  <c r="AK160" i="1"/>
  <c r="AK196" i="1"/>
  <c r="AK232" i="1"/>
  <c r="AK268" i="1"/>
  <c r="AK61" i="1"/>
  <c r="AK97" i="1"/>
  <c r="AK133" i="1"/>
  <c r="AK169" i="1"/>
  <c r="AK205" i="1"/>
  <c r="AK241" i="1"/>
  <c r="AK277" i="1"/>
  <c r="AK70" i="1"/>
  <c r="AK106" i="1"/>
  <c r="AK142" i="1"/>
  <c r="AK313" i="1"/>
  <c r="AK349" i="1"/>
  <c r="AK385" i="1"/>
  <c r="AK421" i="1"/>
  <c r="AK457" i="1"/>
  <c r="AK493" i="1"/>
  <c r="AK529" i="1"/>
  <c r="AK565" i="1"/>
  <c r="AK601" i="1"/>
  <c r="AK637" i="1"/>
  <c r="AK673" i="1"/>
  <c r="AK709" i="1"/>
  <c r="AK745" i="1"/>
  <c r="AK286" i="1"/>
  <c r="AK322" i="1"/>
  <c r="AK358" i="1"/>
  <c r="AK394" i="1"/>
  <c r="AK430" i="1"/>
  <c r="AK466" i="1"/>
  <c r="AK502" i="1"/>
  <c r="AK538" i="1"/>
  <c r="AK574" i="1"/>
  <c r="AK610" i="1"/>
  <c r="AK646" i="1"/>
  <c r="AK682" i="1"/>
  <c r="AK718" i="1"/>
  <c r="AK754" i="1"/>
  <c r="AK295" i="1"/>
  <c r="AK331" i="1"/>
  <c r="AK367" i="1"/>
  <c r="AK403" i="1"/>
  <c r="AK439" i="1"/>
  <c r="AK475" i="1"/>
  <c r="AK511" i="1"/>
  <c r="AK547" i="1"/>
  <c r="AK583" i="1"/>
  <c r="AK619" i="1"/>
  <c r="AK655" i="1"/>
  <c r="AK691" i="1"/>
  <c r="AK727" i="1"/>
  <c r="AK178" i="1"/>
  <c r="AK214" i="1"/>
  <c r="AK250" i="1"/>
  <c r="AK304" i="1"/>
  <c r="AK340" i="1"/>
  <c r="AK376" i="1"/>
  <c r="AK412" i="1"/>
  <c r="AK448" i="1"/>
  <c r="AK484" i="1"/>
  <c r="AK520" i="1"/>
  <c r="AK556" i="1"/>
  <c r="AK592" i="1"/>
  <c r="AK628" i="1"/>
  <c r="AK664" i="1"/>
  <c r="AK700" i="1"/>
  <c r="AK736" i="1"/>
  <c r="AK763" i="1"/>
  <c r="AK799" i="1"/>
  <c r="AK835" i="1"/>
  <c r="AK871" i="1"/>
  <c r="AK16" i="1"/>
  <c r="AK826" i="1"/>
  <c r="AK772" i="1"/>
  <c r="AK808" i="1"/>
  <c r="AK844" i="1"/>
  <c r="AK880" i="1"/>
  <c r="AK7" i="1"/>
  <c r="AK781" i="1"/>
  <c r="AK817" i="1"/>
  <c r="AK853" i="1"/>
  <c r="AK889" i="1"/>
  <c r="AK790" i="1"/>
  <c r="AK862" i="1"/>
  <c r="AK898" i="1"/>
  <c r="AL33" i="1"/>
  <c r="AL42" i="1"/>
  <c r="AL51" i="1"/>
  <c r="AL87" i="1"/>
  <c r="AL123" i="1"/>
  <c r="AL159" i="1"/>
  <c r="AL195" i="1"/>
  <c r="AL231" i="1"/>
  <c r="AL267" i="1"/>
  <c r="AL24" i="1"/>
  <c r="AL60" i="1"/>
  <c r="AL96" i="1"/>
  <c r="AL132" i="1"/>
  <c r="AL168" i="1"/>
  <c r="AL204" i="1"/>
  <c r="AL240" i="1"/>
  <c r="AL276" i="1"/>
  <c r="AL69" i="1"/>
  <c r="AL105" i="1"/>
  <c r="AL141" i="1"/>
  <c r="AL177" i="1"/>
  <c r="AL213" i="1"/>
  <c r="AL249" i="1"/>
  <c r="AL78" i="1"/>
  <c r="AL114" i="1"/>
  <c r="AL285" i="1"/>
  <c r="AL321" i="1"/>
  <c r="AL357" i="1"/>
  <c r="AL393" i="1"/>
  <c r="AL429" i="1"/>
  <c r="AL465" i="1"/>
  <c r="AL501" i="1"/>
  <c r="AL537" i="1"/>
  <c r="AL573" i="1"/>
  <c r="AL609" i="1"/>
  <c r="AL645" i="1"/>
  <c r="AL681" i="1"/>
  <c r="AL717" i="1"/>
  <c r="AL753" i="1"/>
  <c r="AL294" i="1"/>
  <c r="AL330" i="1"/>
  <c r="AL366" i="1"/>
  <c r="AL402" i="1"/>
  <c r="AL438" i="1"/>
  <c r="AL474" i="1"/>
  <c r="AL510" i="1"/>
  <c r="AL546" i="1"/>
  <c r="AL582" i="1"/>
  <c r="AL618" i="1"/>
  <c r="AL654" i="1"/>
  <c r="AL690" i="1"/>
  <c r="AL726" i="1"/>
  <c r="AL150" i="1"/>
  <c r="AL186" i="1"/>
  <c r="AL222" i="1"/>
  <c r="AL258" i="1"/>
  <c r="AL303" i="1"/>
  <c r="AL339" i="1"/>
  <c r="AL375" i="1"/>
  <c r="AL411" i="1"/>
  <c r="AL447" i="1"/>
  <c r="AL483" i="1"/>
  <c r="AL519" i="1"/>
  <c r="AL555" i="1"/>
  <c r="AL591" i="1"/>
  <c r="AL627" i="1"/>
  <c r="AL663" i="1"/>
  <c r="AL699" i="1"/>
  <c r="AL735" i="1"/>
  <c r="AL312" i="1"/>
  <c r="AL348" i="1"/>
  <c r="AL384" i="1"/>
  <c r="AL420" i="1"/>
  <c r="AL456" i="1"/>
  <c r="AL492" i="1"/>
  <c r="AL528" i="1"/>
  <c r="AL564" i="1"/>
  <c r="AL600" i="1"/>
  <c r="AL636" i="1"/>
  <c r="AL672" i="1"/>
  <c r="AL708" i="1"/>
  <c r="AL744" i="1"/>
  <c r="AL771" i="1"/>
  <c r="AL807" i="1"/>
  <c r="AL843" i="1"/>
  <c r="AL879" i="1"/>
  <c r="AL15" i="1"/>
  <c r="AL780" i="1"/>
  <c r="AL816" i="1"/>
  <c r="AL852" i="1"/>
  <c r="AL888" i="1"/>
  <c r="AL6" i="1"/>
  <c r="AL834" i="1"/>
  <c r="AL870" i="1"/>
  <c r="AL789" i="1"/>
  <c r="AL825" i="1"/>
  <c r="AL861" i="1"/>
  <c r="AL897" i="1"/>
  <c r="AL762" i="1"/>
  <c r="AL798" i="1"/>
  <c r="AH33" i="1"/>
  <c r="AH42" i="1"/>
  <c r="AH24" i="1"/>
  <c r="AH51" i="1"/>
  <c r="AH87" i="1"/>
  <c r="AH123" i="1"/>
  <c r="AH159" i="1"/>
  <c r="AH195" i="1"/>
  <c r="AH231" i="1"/>
  <c r="AH267" i="1"/>
  <c r="AH60" i="1"/>
  <c r="AH96" i="1"/>
  <c r="AH132" i="1"/>
  <c r="AH168" i="1"/>
  <c r="AH204" i="1"/>
  <c r="AH240" i="1"/>
  <c r="AH276" i="1"/>
  <c r="AH69" i="1"/>
  <c r="AH105" i="1"/>
  <c r="AH141" i="1"/>
  <c r="AH177" i="1"/>
  <c r="AH213" i="1"/>
  <c r="AH249" i="1"/>
  <c r="AH78" i="1"/>
  <c r="AH114" i="1"/>
  <c r="AH285" i="1"/>
  <c r="AH321" i="1"/>
  <c r="AH357" i="1"/>
  <c r="AH393" i="1"/>
  <c r="AH429" i="1"/>
  <c r="AH465" i="1"/>
  <c r="AH501" i="1"/>
  <c r="AH537" i="1"/>
  <c r="AH573" i="1"/>
  <c r="AH609" i="1"/>
  <c r="AH645" i="1"/>
  <c r="AH681" i="1"/>
  <c r="AH717" i="1"/>
  <c r="AH753" i="1"/>
  <c r="AH150" i="1"/>
  <c r="AH186" i="1"/>
  <c r="AH222" i="1"/>
  <c r="AH258" i="1"/>
  <c r="AH294" i="1"/>
  <c r="AH330" i="1"/>
  <c r="AH366" i="1"/>
  <c r="AH402" i="1"/>
  <c r="AH438" i="1"/>
  <c r="AH474" i="1"/>
  <c r="AH510" i="1"/>
  <c r="AH546" i="1"/>
  <c r="AH582" i="1"/>
  <c r="AH618" i="1"/>
  <c r="AH654" i="1"/>
  <c r="AH690" i="1"/>
  <c r="AH726" i="1"/>
  <c r="AH303" i="1"/>
  <c r="AH339" i="1"/>
  <c r="AH375" i="1"/>
  <c r="AH411" i="1"/>
  <c r="AH447" i="1"/>
  <c r="AH483" i="1"/>
  <c r="AH519" i="1"/>
  <c r="AH555" i="1"/>
  <c r="AH591" i="1"/>
  <c r="AH627" i="1"/>
  <c r="AH663" i="1"/>
  <c r="AH699" i="1"/>
  <c r="AH735" i="1"/>
  <c r="AH312" i="1"/>
  <c r="AH348" i="1"/>
  <c r="AH384" i="1"/>
  <c r="AH420" i="1"/>
  <c r="AH456" i="1"/>
  <c r="AH492" i="1"/>
  <c r="AH528" i="1"/>
  <c r="AH564" i="1"/>
  <c r="AH600" i="1"/>
  <c r="AH636" i="1"/>
  <c r="AH672" i="1"/>
  <c r="AH708" i="1"/>
  <c r="AH744" i="1"/>
  <c r="AH771" i="1"/>
  <c r="AH807" i="1"/>
  <c r="AH843" i="1"/>
  <c r="AH879" i="1"/>
  <c r="AH762" i="1"/>
  <c r="AH834" i="1"/>
  <c r="AH780" i="1"/>
  <c r="AH816" i="1"/>
  <c r="AH852" i="1"/>
  <c r="AH888" i="1"/>
  <c r="AH6" i="1"/>
  <c r="AH798" i="1"/>
  <c r="AH15" i="1"/>
  <c r="AH789" i="1"/>
  <c r="AH825" i="1"/>
  <c r="AH861" i="1"/>
  <c r="AH897" i="1"/>
  <c r="AH870" i="1"/>
  <c r="AI41" i="1"/>
  <c r="AI23" i="1"/>
  <c r="AI32" i="1"/>
  <c r="AI59" i="1"/>
  <c r="AI95" i="1"/>
  <c r="AI131" i="1"/>
  <c r="AI167" i="1"/>
  <c r="AI203" i="1"/>
  <c r="AI239" i="1"/>
  <c r="AI275" i="1"/>
  <c r="AI68" i="1"/>
  <c r="AI104" i="1"/>
  <c r="AI140" i="1"/>
  <c r="AI176" i="1"/>
  <c r="AI212" i="1"/>
  <c r="AI248" i="1"/>
  <c r="AI77" i="1"/>
  <c r="AI113" i="1"/>
  <c r="AI149" i="1"/>
  <c r="AI185" i="1"/>
  <c r="AI221" i="1"/>
  <c r="AI257" i="1"/>
  <c r="AI50" i="1"/>
  <c r="AI86" i="1"/>
  <c r="AI122" i="1"/>
  <c r="AI293" i="1"/>
  <c r="AI329" i="1"/>
  <c r="AI365" i="1"/>
  <c r="AI401" i="1"/>
  <c r="AI437" i="1"/>
  <c r="AI473" i="1"/>
  <c r="AI509" i="1"/>
  <c r="AI545" i="1"/>
  <c r="AI581" i="1"/>
  <c r="AI617" i="1"/>
  <c r="AI653" i="1"/>
  <c r="AI689" i="1"/>
  <c r="AI725" i="1"/>
  <c r="AI158" i="1"/>
  <c r="AI194" i="1"/>
  <c r="AI230" i="1"/>
  <c r="AI266" i="1"/>
  <c r="AI302" i="1"/>
  <c r="AI338" i="1"/>
  <c r="AI374" i="1"/>
  <c r="AI410" i="1"/>
  <c r="AI446" i="1"/>
  <c r="AI482" i="1"/>
  <c r="AI518" i="1"/>
  <c r="AI554" i="1"/>
  <c r="AI590" i="1"/>
  <c r="AI626" i="1"/>
  <c r="AI662" i="1"/>
  <c r="AI698" i="1"/>
  <c r="AI734" i="1"/>
  <c r="AI311" i="1"/>
  <c r="AI347" i="1"/>
  <c r="AI383" i="1"/>
  <c r="AI419" i="1"/>
  <c r="AI455" i="1"/>
  <c r="AI491" i="1"/>
  <c r="AI527" i="1"/>
  <c r="AI563" i="1"/>
  <c r="AI599" i="1"/>
  <c r="AI635" i="1"/>
  <c r="AI671" i="1"/>
  <c r="AI707" i="1"/>
  <c r="AI743" i="1"/>
  <c r="AI284" i="1"/>
  <c r="AI320" i="1"/>
  <c r="AI356" i="1"/>
  <c r="AI392" i="1"/>
  <c r="AI428" i="1"/>
  <c r="AI464" i="1"/>
  <c r="AI500" i="1"/>
  <c r="AI536" i="1"/>
  <c r="AI572" i="1"/>
  <c r="AI608" i="1"/>
  <c r="AI644" i="1"/>
  <c r="AI680" i="1"/>
  <c r="AI716" i="1"/>
  <c r="AI752" i="1"/>
  <c r="AI779" i="1"/>
  <c r="AI815" i="1"/>
  <c r="AI851" i="1"/>
  <c r="AI887" i="1"/>
  <c r="AI770" i="1"/>
  <c r="AI878" i="1"/>
  <c r="AI788" i="1"/>
  <c r="AI824" i="1"/>
  <c r="AI860" i="1"/>
  <c r="AI896" i="1"/>
  <c r="AI5" i="1"/>
  <c r="AI761" i="1"/>
  <c r="AI797" i="1"/>
  <c r="AI833" i="1"/>
  <c r="AI869" i="1"/>
  <c r="AI14" i="1"/>
  <c r="AI806" i="1"/>
  <c r="AI842" i="1"/>
  <c r="AK30" i="1"/>
  <c r="AK66" i="1"/>
  <c r="AK102" i="1"/>
  <c r="AK138" i="1"/>
  <c r="AK174" i="1"/>
  <c r="AK210" i="1"/>
  <c r="AK246" i="1"/>
  <c r="AK282" i="1"/>
  <c r="AK75" i="1"/>
  <c r="AK111" i="1"/>
  <c r="AK147" i="1"/>
  <c r="AK183" i="1"/>
  <c r="AK219" i="1"/>
  <c r="AK255" i="1"/>
  <c r="AK48" i="1"/>
  <c r="AK84" i="1"/>
  <c r="AK120" i="1"/>
  <c r="AK156" i="1"/>
  <c r="AK192" i="1"/>
  <c r="AK228" i="1"/>
  <c r="AK264" i="1"/>
  <c r="AK39" i="1"/>
  <c r="AK57" i="1"/>
  <c r="AK93" i="1"/>
  <c r="AK129" i="1"/>
  <c r="AK165" i="1"/>
  <c r="AK201" i="1"/>
  <c r="AK237" i="1"/>
  <c r="AK273" i="1"/>
  <c r="AK300" i="1"/>
  <c r="AK336" i="1"/>
  <c r="AK372" i="1"/>
  <c r="AK408" i="1"/>
  <c r="AK444" i="1"/>
  <c r="AK480" i="1"/>
  <c r="AK516" i="1"/>
  <c r="AK552" i="1"/>
  <c r="AK588" i="1"/>
  <c r="AK624" i="1"/>
  <c r="AK660" i="1"/>
  <c r="AK696" i="1"/>
  <c r="AK732" i="1"/>
  <c r="AK309" i="1"/>
  <c r="AK345" i="1"/>
  <c r="AK381" i="1"/>
  <c r="AK417" i="1"/>
  <c r="AK453" i="1"/>
  <c r="AK489" i="1"/>
  <c r="AK525" i="1"/>
  <c r="AK561" i="1"/>
  <c r="AK597" i="1"/>
  <c r="AK633" i="1"/>
  <c r="AK669" i="1"/>
  <c r="AK705" i="1"/>
  <c r="AK741" i="1"/>
  <c r="AK318" i="1"/>
  <c r="AK354" i="1"/>
  <c r="AK390" i="1"/>
  <c r="AK426" i="1"/>
  <c r="AK462" i="1"/>
  <c r="AK498" i="1"/>
  <c r="AK534" i="1"/>
  <c r="AK570" i="1"/>
  <c r="AK606" i="1"/>
  <c r="AK642" i="1"/>
  <c r="AK678" i="1"/>
  <c r="AK714" i="1"/>
  <c r="AK750" i="1"/>
  <c r="AK291" i="1"/>
  <c r="AK327" i="1"/>
  <c r="AK363" i="1"/>
  <c r="AK399" i="1"/>
  <c r="AK435" i="1"/>
  <c r="AK471" i="1"/>
  <c r="AK507" i="1"/>
  <c r="AK543" i="1"/>
  <c r="AK579" i="1"/>
  <c r="AK615" i="1"/>
  <c r="AK651" i="1"/>
  <c r="AK687" i="1"/>
  <c r="AK723" i="1"/>
  <c r="AK786" i="1"/>
  <c r="AK822" i="1"/>
  <c r="AK858" i="1"/>
  <c r="AK894" i="1"/>
  <c r="AK777" i="1"/>
  <c r="AK849" i="1"/>
  <c r="AK759" i="1"/>
  <c r="AK795" i="1"/>
  <c r="AK831" i="1"/>
  <c r="AK867" i="1"/>
  <c r="AK903" i="1"/>
  <c r="AK813" i="1"/>
  <c r="AK885" i="1"/>
  <c r="AK768" i="1"/>
  <c r="AK804" i="1"/>
  <c r="AK840" i="1"/>
  <c r="AK876" i="1"/>
  <c r="AK21" i="1"/>
  <c r="AK12" i="1"/>
  <c r="AG44" i="1"/>
  <c r="AG26" i="1"/>
  <c r="AG35" i="1"/>
  <c r="AG62" i="1"/>
  <c r="AG98" i="1"/>
  <c r="AG134" i="1"/>
  <c r="AG170" i="1"/>
  <c r="AG206" i="1"/>
  <c r="AG242" i="1"/>
  <c r="AG278" i="1"/>
  <c r="AG71" i="1"/>
  <c r="AG107" i="1"/>
  <c r="AG143" i="1"/>
  <c r="AG179" i="1"/>
  <c r="AG215" i="1"/>
  <c r="AG251" i="1"/>
  <c r="AG80" i="1"/>
  <c r="AG116" i="1"/>
  <c r="AG152" i="1"/>
  <c r="AG188" i="1"/>
  <c r="AG224" i="1"/>
  <c r="AG260" i="1"/>
  <c r="AG53" i="1"/>
  <c r="AG89" i="1"/>
  <c r="AG125" i="1"/>
  <c r="AG296" i="1"/>
  <c r="AG332" i="1"/>
  <c r="AG368" i="1"/>
  <c r="AG404" i="1"/>
  <c r="AG440" i="1"/>
  <c r="AG476" i="1"/>
  <c r="AG512" i="1"/>
  <c r="AG548" i="1"/>
  <c r="AG584" i="1"/>
  <c r="AG620" i="1"/>
  <c r="AG656" i="1"/>
  <c r="AG692" i="1"/>
  <c r="AG728" i="1"/>
  <c r="AG161" i="1"/>
  <c r="AG197" i="1"/>
  <c r="AG233" i="1"/>
  <c r="AG269" i="1"/>
  <c r="AG305" i="1"/>
  <c r="AG341" i="1"/>
  <c r="AG377" i="1"/>
  <c r="AG413" i="1"/>
  <c r="AG449" i="1"/>
  <c r="AG485" i="1"/>
  <c r="AG521" i="1"/>
  <c r="AG557" i="1"/>
  <c r="AG593" i="1"/>
  <c r="AG629" i="1"/>
  <c r="AG665" i="1"/>
  <c r="AG701" i="1"/>
  <c r="AG737" i="1"/>
  <c r="AG314" i="1"/>
  <c r="AG350" i="1"/>
  <c r="AG386" i="1"/>
  <c r="AG422" i="1"/>
  <c r="AG458" i="1"/>
  <c r="AG494" i="1"/>
  <c r="AG530" i="1"/>
  <c r="AG566" i="1"/>
  <c r="AG602" i="1"/>
  <c r="AG638" i="1"/>
  <c r="AG674" i="1"/>
  <c r="AG710" i="1"/>
  <c r="AG746" i="1"/>
  <c r="AG287" i="1"/>
  <c r="AG323" i="1"/>
  <c r="AG359" i="1"/>
  <c r="AG395" i="1"/>
  <c r="AG431" i="1"/>
  <c r="AG467" i="1"/>
  <c r="AG503" i="1"/>
  <c r="AG539" i="1"/>
  <c r="AG575" i="1"/>
  <c r="AG611" i="1"/>
  <c r="AG647" i="1"/>
  <c r="AG683" i="1"/>
  <c r="AG719" i="1"/>
  <c r="AG755" i="1"/>
  <c r="AG782" i="1"/>
  <c r="AG818" i="1"/>
  <c r="AG854" i="1"/>
  <c r="AG890" i="1"/>
  <c r="AG8" i="1"/>
  <c r="AG773" i="1"/>
  <c r="AG809" i="1"/>
  <c r="AG845" i="1"/>
  <c r="AG791" i="1"/>
  <c r="AG827" i="1"/>
  <c r="AG863" i="1"/>
  <c r="AG899" i="1"/>
  <c r="AG764" i="1"/>
  <c r="AG800" i="1"/>
  <c r="AG836" i="1"/>
  <c r="AG872" i="1"/>
  <c r="AG17" i="1"/>
  <c r="AG881" i="1"/>
  <c r="AG30" i="1"/>
  <c r="AG66" i="1"/>
  <c r="AG102" i="1"/>
  <c r="AG138" i="1"/>
  <c r="AG174" i="1"/>
  <c r="AG210" i="1"/>
  <c r="AG246" i="1"/>
  <c r="AG282" i="1"/>
  <c r="AG75" i="1"/>
  <c r="AG111" i="1"/>
  <c r="AG147" i="1"/>
  <c r="AG183" i="1"/>
  <c r="AG219" i="1"/>
  <c r="AG255" i="1"/>
  <c r="AG39" i="1"/>
  <c r="AG84" i="1"/>
  <c r="AG120" i="1"/>
  <c r="AG156" i="1"/>
  <c r="AG192" i="1"/>
  <c r="AG228" i="1"/>
  <c r="AG264" i="1"/>
  <c r="AG48" i="1"/>
  <c r="AG57" i="1"/>
  <c r="AG93" i="1"/>
  <c r="AG129" i="1"/>
  <c r="AG300" i="1"/>
  <c r="AG336" i="1"/>
  <c r="AG372" i="1"/>
  <c r="AG408" i="1"/>
  <c r="AG444" i="1"/>
  <c r="AG480" i="1"/>
  <c r="AG516" i="1"/>
  <c r="AG552" i="1"/>
  <c r="AG588" i="1"/>
  <c r="AG624" i="1"/>
  <c r="AG660" i="1"/>
  <c r="AG696" i="1"/>
  <c r="AG732" i="1"/>
  <c r="AG309" i="1"/>
  <c r="AG345" i="1"/>
  <c r="AG381" i="1"/>
  <c r="AG417" i="1"/>
  <c r="AG453" i="1"/>
  <c r="AG489" i="1"/>
  <c r="AG525" i="1"/>
  <c r="AG561" i="1"/>
  <c r="AG597" i="1"/>
  <c r="AG633" i="1"/>
  <c r="AG669" i="1"/>
  <c r="AG705" i="1"/>
  <c r="AG741" i="1"/>
  <c r="AG318" i="1"/>
  <c r="AG354" i="1"/>
  <c r="AG390" i="1"/>
  <c r="AG426" i="1"/>
  <c r="AG462" i="1"/>
  <c r="AG498" i="1"/>
  <c r="AG534" i="1"/>
  <c r="AG570" i="1"/>
  <c r="AG606" i="1"/>
  <c r="AG642" i="1"/>
  <c r="AG678" i="1"/>
  <c r="AG714" i="1"/>
  <c r="AG750" i="1"/>
  <c r="AG165" i="1"/>
  <c r="AG201" i="1"/>
  <c r="AG237" i="1"/>
  <c r="AG273" i="1"/>
  <c r="AG291" i="1"/>
  <c r="AG327" i="1"/>
  <c r="AG363" i="1"/>
  <c r="AG399" i="1"/>
  <c r="AG435" i="1"/>
  <c r="AG471" i="1"/>
  <c r="AG507" i="1"/>
  <c r="AG543" i="1"/>
  <c r="AG579" i="1"/>
  <c r="AG615" i="1"/>
  <c r="AG651" i="1"/>
  <c r="AG687" i="1"/>
  <c r="AG723" i="1"/>
  <c r="AG786" i="1"/>
  <c r="AG822" i="1"/>
  <c r="AG858" i="1"/>
  <c r="AG894" i="1"/>
  <c r="AG12" i="1"/>
  <c r="AG813" i="1"/>
  <c r="AG885" i="1"/>
  <c r="AG795" i="1"/>
  <c r="AG831" i="1"/>
  <c r="AG867" i="1"/>
  <c r="AG903" i="1"/>
  <c r="AG759" i="1"/>
  <c r="AG768" i="1"/>
  <c r="AG804" i="1"/>
  <c r="AG840" i="1"/>
  <c r="AG876" i="1"/>
  <c r="AG21" i="1"/>
  <c r="AG777" i="1"/>
  <c r="AG849" i="1"/>
  <c r="AI30" i="1"/>
  <c r="AI39" i="1"/>
  <c r="AI48" i="1"/>
  <c r="AI84" i="1"/>
  <c r="AI120" i="1"/>
  <c r="AI156" i="1"/>
  <c r="AI192" i="1"/>
  <c r="AI228" i="1"/>
  <c r="AI264" i="1"/>
  <c r="AI57" i="1"/>
  <c r="AI93" i="1"/>
  <c r="AI129" i="1"/>
  <c r="AI165" i="1"/>
  <c r="AI201" i="1"/>
  <c r="AI237" i="1"/>
  <c r="AI273" i="1"/>
  <c r="AI66" i="1"/>
  <c r="AI102" i="1"/>
  <c r="AI138" i="1"/>
  <c r="AI174" i="1"/>
  <c r="AI210" i="1"/>
  <c r="AI246" i="1"/>
  <c r="AI75" i="1"/>
  <c r="AI111" i="1"/>
  <c r="AI318" i="1"/>
  <c r="AI354" i="1"/>
  <c r="AI390" i="1"/>
  <c r="AI426" i="1"/>
  <c r="AI462" i="1"/>
  <c r="AI498" i="1"/>
  <c r="AI534" i="1"/>
  <c r="AI570" i="1"/>
  <c r="AI606" i="1"/>
  <c r="AI642" i="1"/>
  <c r="AI678" i="1"/>
  <c r="AI714" i="1"/>
  <c r="AI750" i="1"/>
  <c r="AI282" i="1"/>
  <c r="AI291" i="1"/>
  <c r="AI327" i="1"/>
  <c r="AI363" i="1"/>
  <c r="AI399" i="1"/>
  <c r="AI435" i="1"/>
  <c r="AI471" i="1"/>
  <c r="AI507" i="1"/>
  <c r="AI543" i="1"/>
  <c r="AI579" i="1"/>
  <c r="AI615" i="1"/>
  <c r="AI651" i="1"/>
  <c r="AI687" i="1"/>
  <c r="AI723" i="1"/>
  <c r="AI759" i="1"/>
  <c r="AI147" i="1"/>
  <c r="AI183" i="1"/>
  <c r="AI219" i="1"/>
  <c r="AI255" i="1"/>
  <c r="AI300" i="1"/>
  <c r="AI336" i="1"/>
  <c r="AI372" i="1"/>
  <c r="AI408" i="1"/>
  <c r="AI444" i="1"/>
  <c r="AI480" i="1"/>
  <c r="AI516" i="1"/>
  <c r="AI552" i="1"/>
  <c r="AI588" i="1"/>
  <c r="AI624" i="1"/>
  <c r="AI660" i="1"/>
  <c r="AI696" i="1"/>
  <c r="AI732" i="1"/>
  <c r="AI309" i="1"/>
  <c r="AI345" i="1"/>
  <c r="AI381" i="1"/>
  <c r="AI417" i="1"/>
  <c r="AI453" i="1"/>
  <c r="AI489" i="1"/>
  <c r="AI525" i="1"/>
  <c r="AI561" i="1"/>
  <c r="AI597" i="1"/>
  <c r="AI633" i="1"/>
  <c r="AI669" i="1"/>
  <c r="AI705" i="1"/>
  <c r="AI741" i="1"/>
  <c r="AI768" i="1"/>
  <c r="AI804" i="1"/>
  <c r="AI840" i="1"/>
  <c r="AI876" i="1"/>
  <c r="AI21" i="1"/>
  <c r="AI12" i="1"/>
  <c r="AI831" i="1"/>
  <c r="AI903" i="1"/>
  <c r="AI777" i="1"/>
  <c r="AI813" i="1"/>
  <c r="AI849" i="1"/>
  <c r="AI885" i="1"/>
  <c r="AI795" i="1"/>
  <c r="AI786" i="1"/>
  <c r="AI822" i="1"/>
  <c r="AI858" i="1"/>
  <c r="AI894" i="1"/>
  <c r="AI867" i="1"/>
  <c r="AJ38" i="1"/>
  <c r="AJ29" i="1"/>
  <c r="AJ56" i="1"/>
  <c r="AJ92" i="1"/>
  <c r="AJ128" i="1"/>
  <c r="AJ164" i="1"/>
  <c r="AJ200" i="1"/>
  <c r="AJ236" i="1"/>
  <c r="AJ272" i="1"/>
  <c r="AJ47" i="1"/>
  <c r="AJ65" i="1"/>
  <c r="AJ101" i="1"/>
  <c r="AJ137" i="1"/>
  <c r="AJ173" i="1"/>
  <c r="AJ209" i="1"/>
  <c r="AJ245" i="1"/>
  <c r="AJ281" i="1"/>
  <c r="AJ74" i="1"/>
  <c r="AJ110" i="1"/>
  <c r="AJ146" i="1"/>
  <c r="AJ182" i="1"/>
  <c r="AJ218" i="1"/>
  <c r="AJ254" i="1"/>
  <c r="AJ83" i="1"/>
  <c r="AJ119" i="1"/>
  <c r="AJ290" i="1"/>
  <c r="AJ326" i="1"/>
  <c r="AJ362" i="1"/>
  <c r="AJ398" i="1"/>
  <c r="AJ434" i="1"/>
  <c r="AJ470" i="1"/>
  <c r="AJ506" i="1"/>
  <c r="AJ542" i="1"/>
  <c r="AJ578" i="1"/>
  <c r="AJ614" i="1"/>
  <c r="AJ650" i="1"/>
  <c r="AJ686" i="1"/>
  <c r="AJ722" i="1"/>
  <c r="AJ155" i="1"/>
  <c r="AJ191" i="1"/>
  <c r="AJ227" i="1"/>
  <c r="AJ263" i="1"/>
  <c r="AJ299" i="1"/>
  <c r="AJ335" i="1"/>
  <c r="AJ371" i="1"/>
  <c r="AJ407" i="1"/>
  <c r="AJ443" i="1"/>
  <c r="AJ479" i="1"/>
  <c r="AJ515" i="1"/>
  <c r="AJ551" i="1"/>
  <c r="AJ587" i="1"/>
  <c r="AJ623" i="1"/>
  <c r="AJ659" i="1"/>
  <c r="AJ695" i="1"/>
  <c r="AJ731" i="1"/>
  <c r="AJ308" i="1"/>
  <c r="AJ344" i="1"/>
  <c r="AJ380" i="1"/>
  <c r="AJ416" i="1"/>
  <c r="AJ452" i="1"/>
  <c r="AJ488" i="1"/>
  <c r="AJ524" i="1"/>
  <c r="AJ560" i="1"/>
  <c r="AJ596" i="1"/>
  <c r="AJ632" i="1"/>
  <c r="AJ668" i="1"/>
  <c r="AJ704" i="1"/>
  <c r="AJ740" i="1"/>
  <c r="AJ317" i="1"/>
  <c r="AJ353" i="1"/>
  <c r="AJ389" i="1"/>
  <c r="AJ425" i="1"/>
  <c r="AJ461" i="1"/>
  <c r="AJ497" i="1"/>
  <c r="AJ533" i="1"/>
  <c r="AJ569" i="1"/>
  <c r="AJ605" i="1"/>
  <c r="AJ641" i="1"/>
  <c r="AJ677" i="1"/>
  <c r="AJ713" i="1"/>
  <c r="AJ749" i="1"/>
  <c r="AJ758" i="1"/>
  <c r="AJ776" i="1"/>
  <c r="AJ812" i="1"/>
  <c r="AJ848" i="1"/>
  <c r="AJ884" i="1"/>
  <c r="AJ11" i="1"/>
  <c r="AJ767" i="1"/>
  <c r="AJ839" i="1"/>
  <c r="AJ20" i="1"/>
  <c r="AJ785" i="1"/>
  <c r="AJ821" i="1"/>
  <c r="AJ857" i="1"/>
  <c r="AJ893" i="1"/>
  <c r="AJ875" i="1"/>
  <c r="AJ794" i="1"/>
  <c r="AJ830" i="1"/>
  <c r="AJ866" i="1"/>
  <c r="AJ902" i="1"/>
  <c r="AJ803" i="1"/>
  <c r="AK28" i="1"/>
  <c r="AK37" i="1"/>
  <c r="AK64" i="1"/>
  <c r="AK100" i="1"/>
  <c r="AK136" i="1"/>
  <c r="AK172" i="1"/>
  <c r="AK208" i="1"/>
  <c r="AK244" i="1"/>
  <c r="AK280" i="1"/>
  <c r="AK46" i="1"/>
  <c r="AK73" i="1"/>
  <c r="AK109" i="1"/>
  <c r="AK145" i="1"/>
  <c r="AK181" i="1"/>
  <c r="AK217" i="1"/>
  <c r="AK253" i="1"/>
  <c r="AK82" i="1"/>
  <c r="AK118" i="1"/>
  <c r="AK154" i="1"/>
  <c r="AK190" i="1"/>
  <c r="AK226" i="1"/>
  <c r="AK262" i="1"/>
  <c r="AK55" i="1"/>
  <c r="AK91" i="1"/>
  <c r="AK127" i="1"/>
  <c r="AK298" i="1"/>
  <c r="AK334" i="1"/>
  <c r="AK370" i="1"/>
  <c r="AK406" i="1"/>
  <c r="AK442" i="1"/>
  <c r="AK478" i="1"/>
  <c r="AK514" i="1"/>
  <c r="AK550" i="1"/>
  <c r="AK586" i="1"/>
  <c r="AK622" i="1"/>
  <c r="AK658" i="1"/>
  <c r="AK694" i="1"/>
  <c r="AK730" i="1"/>
  <c r="AK163" i="1"/>
  <c r="AK199" i="1"/>
  <c r="AK235" i="1"/>
  <c r="AK271" i="1"/>
  <c r="AK307" i="1"/>
  <c r="AK343" i="1"/>
  <c r="AK379" i="1"/>
  <c r="AK415" i="1"/>
  <c r="AK451" i="1"/>
  <c r="AK487" i="1"/>
  <c r="AK523" i="1"/>
  <c r="AK559" i="1"/>
  <c r="AK595" i="1"/>
  <c r="AK631" i="1"/>
  <c r="AK667" i="1"/>
  <c r="AK703" i="1"/>
  <c r="AK739" i="1"/>
  <c r="AK316" i="1"/>
  <c r="AK352" i="1"/>
  <c r="AK388" i="1"/>
  <c r="AK424" i="1"/>
  <c r="AK460" i="1"/>
  <c r="AK496" i="1"/>
  <c r="AK532" i="1"/>
  <c r="AK568" i="1"/>
  <c r="AK604" i="1"/>
  <c r="AK640" i="1"/>
  <c r="AK676" i="1"/>
  <c r="AK712" i="1"/>
  <c r="AK748" i="1"/>
  <c r="AK289" i="1"/>
  <c r="AK325" i="1"/>
  <c r="AK361" i="1"/>
  <c r="AK397" i="1"/>
  <c r="AK433" i="1"/>
  <c r="AK469" i="1"/>
  <c r="AK505" i="1"/>
  <c r="AK541" i="1"/>
  <c r="AK577" i="1"/>
  <c r="AK613" i="1"/>
  <c r="AK649" i="1"/>
  <c r="AK685" i="1"/>
  <c r="AK721" i="1"/>
  <c r="AK757" i="1"/>
  <c r="AK784" i="1"/>
  <c r="AK820" i="1"/>
  <c r="AK856" i="1"/>
  <c r="AK892" i="1"/>
  <c r="AK10" i="1"/>
  <c r="AK775" i="1"/>
  <c r="AK847" i="1"/>
  <c r="AK793" i="1"/>
  <c r="AK829" i="1"/>
  <c r="AK865" i="1"/>
  <c r="AK901" i="1"/>
  <c r="AK883" i="1"/>
  <c r="AK766" i="1"/>
  <c r="AK802" i="1"/>
  <c r="AK838" i="1"/>
  <c r="AK874" i="1"/>
  <c r="AK19" i="1"/>
  <c r="AK811" i="1"/>
  <c r="AL27" i="1"/>
  <c r="AL36" i="1"/>
  <c r="AL72" i="1"/>
  <c r="AL108" i="1"/>
  <c r="AL144" i="1"/>
  <c r="AL180" i="1"/>
  <c r="AL216" i="1"/>
  <c r="AL252" i="1"/>
  <c r="AL45" i="1"/>
  <c r="AL81" i="1"/>
  <c r="AL117" i="1"/>
  <c r="AL153" i="1"/>
  <c r="AL189" i="1"/>
  <c r="AL225" i="1"/>
  <c r="AL261" i="1"/>
  <c r="AL54" i="1"/>
  <c r="AL90" i="1"/>
  <c r="AL126" i="1"/>
  <c r="AL162" i="1"/>
  <c r="AL198" i="1"/>
  <c r="AL234" i="1"/>
  <c r="AL270" i="1"/>
  <c r="AL63" i="1"/>
  <c r="AL99" i="1"/>
  <c r="AL135" i="1"/>
  <c r="AL306" i="1"/>
  <c r="AL342" i="1"/>
  <c r="AL378" i="1"/>
  <c r="AL414" i="1"/>
  <c r="AL450" i="1"/>
  <c r="AL486" i="1"/>
  <c r="AL522" i="1"/>
  <c r="AL558" i="1"/>
  <c r="AL594" i="1"/>
  <c r="AL630" i="1"/>
  <c r="AL666" i="1"/>
  <c r="AL702" i="1"/>
  <c r="AL738" i="1"/>
  <c r="AL171" i="1"/>
  <c r="AL207" i="1"/>
  <c r="AL243" i="1"/>
  <c r="AL279" i="1"/>
  <c r="AL315" i="1"/>
  <c r="AL351" i="1"/>
  <c r="AL387" i="1"/>
  <c r="AL423" i="1"/>
  <c r="AL459" i="1"/>
  <c r="AL495" i="1"/>
  <c r="AL531" i="1"/>
  <c r="AL567" i="1"/>
  <c r="AL603" i="1"/>
  <c r="AL639" i="1"/>
  <c r="AL675" i="1"/>
  <c r="AL711" i="1"/>
  <c r="AL747" i="1"/>
  <c r="AL288" i="1"/>
  <c r="AL324" i="1"/>
  <c r="AL360" i="1"/>
  <c r="AL396" i="1"/>
  <c r="AL432" i="1"/>
  <c r="AL468" i="1"/>
  <c r="AL504" i="1"/>
  <c r="AL540" i="1"/>
  <c r="AL576" i="1"/>
  <c r="AL612" i="1"/>
  <c r="AL648" i="1"/>
  <c r="AL684" i="1"/>
  <c r="AL720" i="1"/>
  <c r="AL756" i="1"/>
  <c r="AL297" i="1"/>
  <c r="AL333" i="1"/>
  <c r="AL369" i="1"/>
  <c r="AL405" i="1"/>
  <c r="AL441" i="1"/>
  <c r="AL477" i="1"/>
  <c r="AL513" i="1"/>
  <c r="AL549" i="1"/>
  <c r="AL585" i="1"/>
  <c r="AL621" i="1"/>
  <c r="AL657" i="1"/>
  <c r="AL693" i="1"/>
  <c r="AL729" i="1"/>
  <c r="AL792" i="1"/>
  <c r="AL828" i="1"/>
  <c r="AL864" i="1"/>
  <c r="AL900" i="1"/>
  <c r="AL9" i="1"/>
  <c r="AL783" i="1"/>
  <c r="AL819" i="1"/>
  <c r="AL765" i="1"/>
  <c r="AL801" i="1"/>
  <c r="AL837" i="1"/>
  <c r="AL873" i="1"/>
  <c r="AL18" i="1"/>
  <c r="AL855" i="1"/>
  <c r="AL891" i="1"/>
  <c r="AL774" i="1"/>
  <c r="AL810" i="1"/>
  <c r="AL846" i="1"/>
  <c r="AL882" i="1"/>
  <c r="AH27" i="1"/>
  <c r="AH36" i="1"/>
  <c r="AH72" i="1"/>
  <c r="AH108" i="1"/>
  <c r="AH144" i="1"/>
  <c r="AH180" i="1"/>
  <c r="AH216" i="1"/>
  <c r="AH252" i="1"/>
  <c r="AH81" i="1"/>
  <c r="AH117" i="1"/>
  <c r="AH153" i="1"/>
  <c r="AH189" i="1"/>
  <c r="AH225" i="1"/>
  <c r="AH261" i="1"/>
  <c r="AH45" i="1"/>
  <c r="AH54" i="1"/>
  <c r="AH90" i="1"/>
  <c r="AH126" i="1"/>
  <c r="AH162" i="1"/>
  <c r="AH198" i="1"/>
  <c r="AH234" i="1"/>
  <c r="AH270" i="1"/>
  <c r="AH63" i="1"/>
  <c r="AH99" i="1"/>
  <c r="AH135" i="1"/>
  <c r="AH171" i="1"/>
  <c r="AH207" i="1"/>
  <c r="AH243" i="1"/>
  <c r="AH279" i="1"/>
  <c r="AH306" i="1"/>
  <c r="AH342" i="1"/>
  <c r="AH378" i="1"/>
  <c r="AH414" i="1"/>
  <c r="AH450" i="1"/>
  <c r="AH486" i="1"/>
  <c r="AH522" i="1"/>
  <c r="AH558" i="1"/>
  <c r="AH594" i="1"/>
  <c r="AH630" i="1"/>
  <c r="AH666" i="1"/>
  <c r="AH702" i="1"/>
  <c r="AH738" i="1"/>
  <c r="AH315" i="1"/>
  <c r="AH351" i="1"/>
  <c r="AH387" i="1"/>
  <c r="AH423" i="1"/>
  <c r="AH459" i="1"/>
  <c r="AH495" i="1"/>
  <c r="AH531" i="1"/>
  <c r="AH567" i="1"/>
  <c r="AH603" i="1"/>
  <c r="AH639" i="1"/>
  <c r="AH675" i="1"/>
  <c r="AH711" i="1"/>
  <c r="AH747" i="1"/>
  <c r="AH288" i="1"/>
  <c r="AH324" i="1"/>
  <c r="AH360" i="1"/>
  <c r="AH396" i="1"/>
  <c r="AH432" i="1"/>
  <c r="AH468" i="1"/>
  <c r="AH504" i="1"/>
  <c r="AH540" i="1"/>
  <c r="AH576" i="1"/>
  <c r="AH612" i="1"/>
  <c r="AH648" i="1"/>
  <c r="AH684" i="1"/>
  <c r="AH720" i="1"/>
  <c r="AH756" i="1"/>
  <c r="AH297" i="1"/>
  <c r="AH333" i="1"/>
  <c r="AH369" i="1"/>
  <c r="AH405" i="1"/>
  <c r="AH441" i="1"/>
  <c r="AH477" i="1"/>
  <c r="AH513" i="1"/>
  <c r="AH549" i="1"/>
  <c r="AH585" i="1"/>
  <c r="AH621" i="1"/>
  <c r="AH657" i="1"/>
  <c r="AH693" i="1"/>
  <c r="AH729" i="1"/>
  <c r="AH792" i="1"/>
  <c r="AH828" i="1"/>
  <c r="AH864" i="1"/>
  <c r="AH900" i="1"/>
  <c r="AH9" i="1"/>
  <c r="AH765" i="1"/>
  <c r="AH801" i="1"/>
  <c r="AH837" i="1"/>
  <c r="AH873" i="1"/>
  <c r="AH18" i="1"/>
  <c r="AH819" i="1"/>
  <c r="AH774" i="1"/>
  <c r="AH810" i="1"/>
  <c r="AH846" i="1"/>
  <c r="AH882" i="1"/>
  <c r="AH783" i="1"/>
  <c r="AH855" i="1"/>
  <c r="AH891" i="1"/>
  <c r="AI26" i="1"/>
  <c r="AI35" i="1"/>
  <c r="AI44" i="1"/>
  <c r="AI80" i="1"/>
  <c r="AI116" i="1"/>
  <c r="AI152" i="1"/>
  <c r="AI188" i="1"/>
  <c r="AI224" i="1"/>
  <c r="AI260" i="1"/>
  <c r="AI53" i="1"/>
  <c r="AI89" i="1"/>
  <c r="AI125" i="1"/>
  <c r="AI161" i="1"/>
  <c r="AI197" i="1"/>
  <c r="AI233" i="1"/>
  <c r="AI269" i="1"/>
  <c r="AI62" i="1"/>
  <c r="AI98" i="1"/>
  <c r="AI134" i="1"/>
  <c r="AI170" i="1"/>
  <c r="AI206" i="1"/>
  <c r="AI242" i="1"/>
  <c r="AI278" i="1"/>
  <c r="AI71" i="1"/>
  <c r="AI107" i="1"/>
  <c r="AI143" i="1"/>
  <c r="AI179" i="1"/>
  <c r="AI215" i="1"/>
  <c r="AI251" i="1"/>
  <c r="AI314" i="1"/>
  <c r="AI350" i="1"/>
  <c r="AI386" i="1"/>
  <c r="AI422" i="1"/>
  <c r="AI458" i="1"/>
  <c r="AI494" i="1"/>
  <c r="AI530" i="1"/>
  <c r="AI566" i="1"/>
  <c r="AI602" i="1"/>
  <c r="AI638" i="1"/>
  <c r="AI674" i="1"/>
  <c r="AI710" i="1"/>
  <c r="AI746" i="1"/>
  <c r="AI287" i="1"/>
  <c r="AI323" i="1"/>
  <c r="AI359" i="1"/>
  <c r="AI395" i="1"/>
  <c r="AI431" i="1"/>
  <c r="AI467" i="1"/>
  <c r="AI503" i="1"/>
  <c r="AI539" i="1"/>
  <c r="AI575" i="1"/>
  <c r="AI611" i="1"/>
  <c r="AI647" i="1"/>
  <c r="AI683" i="1"/>
  <c r="AI719" i="1"/>
  <c r="AI755" i="1"/>
  <c r="AI296" i="1"/>
  <c r="AI332" i="1"/>
  <c r="AI368" i="1"/>
  <c r="AI404" i="1"/>
  <c r="AI440" i="1"/>
  <c r="AI476" i="1"/>
  <c r="AI512" i="1"/>
  <c r="AI548" i="1"/>
  <c r="AI584" i="1"/>
  <c r="AI620" i="1"/>
  <c r="AI656" i="1"/>
  <c r="AI692" i="1"/>
  <c r="AI728" i="1"/>
  <c r="AI305" i="1"/>
  <c r="AI341" i="1"/>
  <c r="AI377" i="1"/>
  <c r="AI413" i="1"/>
  <c r="AI449" i="1"/>
  <c r="AI485" i="1"/>
  <c r="AI521" i="1"/>
  <c r="AI557" i="1"/>
  <c r="AI593" i="1"/>
  <c r="AI629" i="1"/>
  <c r="AI665" i="1"/>
  <c r="AI701" i="1"/>
  <c r="AI737" i="1"/>
  <c r="AI764" i="1"/>
  <c r="AI800" i="1"/>
  <c r="AI836" i="1"/>
  <c r="AI872" i="1"/>
  <c r="AI17" i="1"/>
  <c r="AI8" i="1"/>
  <c r="AI899" i="1"/>
  <c r="AI773" i="1"/>
  <c r="AI809" i="1"/>
  <c r="AI845" i="1"/>
  <c r="AI881" i="1"/>
  <c r="AI791" i="1"/>
  <c r="AI827" i="1"/>
  <c r="AI863" i="1"/>
  <c r="AI782" i="1"/>
  <c r="AI818" i="1"/>
  <c r="AI854" i="1"/>
  <c r="AI890" i="1"/>
  <c r="AJ34" i="1"/>
  <c r="AJ43" i="1"/>
  <c r="AJ52" i="1"/>
  <c r="AJ88" i="1"/>
  <c r="AJ124" i="1"/>
  <c r="AJ160" i="1"/>
  <c r="AJ196" i="1"/>
  <c r="AJ232" i="1"/>
  <c r="AJ268" i="1"/>
  <c r="AJ61" i="1"/>
  <c r="AJ97" i="1"/>
  <c r="AJ133" i="1"/>
  <c r="AJ169" i="1"/>
  <c r="AJ205" i="1"/>
  <c r="AJ241" i="1"/>
  <c r="AJ277" i="1"/>
  <c r="AJ25" i="1"/>
  <c r="AJ70" i="1"/>
  <c r="AJ106" i="1"/>
  <c r="AJ142" i="1"/>
  <c r="AJ178" i="1"/>
  <c r="AJ214" i="1"/>
  <c r="AJ250" i="1"/>
  <c r="AJ79" i="1"/>
  <c r="AJ115" i="1"/>
  <c r="AJ286" i="1"/>
  <c r="AJ322" i="1"/>
  <c r="AJ358" i="1"/>
  <c r="AJ394" i="1"/>
  <c r="AJ430" i="1"/>
  <c r="AJ466" i="1"/>
  <c r="AJ502" i="1"/>
  <c r="AJ538" i="1"/>
  <c r="AJ574" i="1"/>
  <c r="AJ610" i="1"/>
  <c r="AJ646" i="1"/>
  <c r="AJ682" i="1"/>
  <c r="AJ718" i="1"/>
  <c r="AJ754" i="1"/>
  <c r="AJ295" i="1"/>
  <c r="AJ331" i="1"/>
  <c r="AJ367" i="1"/>
  <c r="AJ403" i="1"/>
  <c r="AJ439" i="1"/>
  <c r="AJ475" i="1"/>
  <c r="AJ511" i="1"/>
  <c r="AJ547" i="1"/>
  <c r="AJ583" i="1"/>
  <c r="AJ619" i="1"/>
  <c r="AJ655" i="1"/>
  <c r="AJ691" i="1"/>
  <c r="AJ727" i="1"/>
  <c r="AJ304" i="1"/>
  <c r="AJ340" i="1"/>
  <c r="AJ376" i="1"/>
  <c r="AJ412" i="1"/>
  <c r="AJ448" i="1"/>
  <c r="AJ484" i="1"/>
  <c r="AJ520" i="1"/>
  <c r="AJ556" i="1"/>
  <c r="AJ592" i="1"/>
  <c r="AJ628" i="1"/>
  <c r="AJ664" i="1"/>
  <c r="AJ700" i="1"/>
  <c r="AJ736" i="1"/>
  <c r="AJ151" i="1"/>
  <c r="AJ187" i="1"/>
  <c r="AJ223" i="1"/>
  <c r="AJ259" i="1"/>
  <c r="AJ313" i="1"/>
  <c r="AJ349" i="1"/>
  <c r="AJ385" i="1"/>
  <c r="AJ421" i="1"/>
  <c r="AJ457" i="1"/>
  <c r="AJ493" i="1"/>
  <c r="AJ529" i="1"/>
  <c r="AJ565" i="1"/>
  <c r="AJ601" i="1"/>
  <c r="AJ637" i="1"/>
  <c r="AJ673" i="1"/>
  <c r="AJ709" i="1"/>
  <c r="AJ745" i="1"/>
  <c r="AJ772" i="1"/>
  <c r="AJ808" i="1"/>
  <c r="AJ844" i="1"/>
  <c r="AJ880" i="1"/>
  <c r="AJ7" i="1"/>
  <c r="AJ835" i="1"/>
  <c r="AJ781" i="1"/>
  <c r="AJ817" i="1"/>
  <c r="AJ853" i="1"/>
  <c r="AJ889" i="1"/>
  <c r="AJ763" i="1"/>
  <c r="AJ799" i="1"/>
  <c r="AJ16" i="1"/>
  <c r="AJ790" i="1"/>
  <c r="AJ826" i="1"/>
  <c r="AJ862" i="1"/>
  <c r="AJ898" i="1"/>
  <c r="AJ871" i="1"/>
  <c r="AK42" i="1"/>
  <c r="AK24" i="1"/>
  <c r="AK60" i="1"/>
  <c r="AK96" i="1"/>
  <c r="AK132" i="1"/>
  <c r="AK168" i="1"/>
  <c r="AK204" i="1"/>
  <c r="AK240" i="1"/>
  <c r="AK276" i="1"/>
  <c r="AK69" i="1"/>
  <c r="AK105" i="1"/>
  <c r="AK141" i="1"/>
  <c r="AK177" i="1"/>
  <c r="AK213" i="1"/>
  <c r="AK249" i="1"/>
  <c r="AK33" i="1"/>
  <c r="AK78" i="1"/>
  <c r="AK114" i="1"/>
  <c r="AK150" i="1"/>
  <c r="AK186" i="1"/>
  <c r="AK222" i="1"/>
  <c r="AK258" i="1"/>
  <c r="AK51" i="1"/>
  <c r="AK87" i="1"/>
  <c r="AK123" i="1"/>
  <c r="AK294" i="1"/>
  <c r="AK330" i="1"/>
  <c r="AK366" i="1"/>
  <c r="AK402" i="1"/>
  <c r="AK438" i="1"/>
  <c r="AK474" i="1"/>
  <c r="AK510" i="1"/>
  <c r="AK546" i="1"/>
  <c r="AK582" i="1"/>
  <c r="AK618" i="1"/>
  <c r="AK654" i="1"/>
  <c r="AK690" i="1"/>
  <c r="AK726" i="1"/>
  <c r="AK303" i="1"/>
  <c r="AK339" i="1"/>
  <c r="AK375" i="1"/>
  <c r="AK411" i="1"/>
  <c r="AK447" i="1"/>
  <c r="AK483" i="1"/>
  <c r="AK519" i="1"/>
  <c r="AK555" i="1"/>
  <c r="AK591" i="1"/>
  <c r="AK627" i="1"/>
  <c r="AK663" i="1"/>
  <c r="AK699" i="1"/>
  <c r="AK735" i="1"/>
  <c r="AK312" i="1"/>
  <c r="AK348" i="1"/>
  <c r="AK384" i="1"/>
  <c r="AK420" i="1"/>
  <c r="AK456" i="1"/>
  <c r="AK492" i="1"/>
  <c r="AK528" i="1"/>
  <c r="AK564" i="1"/>
  <c r="AK600" i="1"/>
  <c r="AK636" i="1"/>
  <c r="AK672" i="1"/>
  <c r="AK708" i="1"/>
  <c r="AK744" i="1"/>
  <c r="AK159" i="1"/>
  <c r="AK195" i="1"/>
  <c r="AK231" i="1"/>
  <c r="AK267" i="1"/>
  <c r="AK285" i="1"/>
  <c r="AK321" i="1"/>
  <c r="AK357" i="1"/>
  <c r="AK393" i="1"/>
  <c r="AK429" i="1"/>
  <c r="AK465" i="1"/>
  <c r="AK501" i="1"/>
  <c r="AK537" i="1"/>
  <c r="AK573" i="1"/>
  <c r="AK609" i="1"/>
  <c r="AK645" i="1"/>
  <c r="AK681" i="1"/>
  <c r="AK717" i="1"/>
  <c r="AK753" i="1"/>
  <c r="AK780" i="1"/>
  <c r="AK816" i="1"/>
  <c r="AK852" i="1"/>
  <c r="AK888" i="1"/>
  <c r="AK6" i="1"/>
  <c r="AK789" i="1"/>
  <c r="AK825" i="1"/>
  <c r="AK861" i="1"/>
  <c r="AK897" i="1"/>
  <c r="AK879" i="1"/>
  <c r="AK762" i="1"/>
  <c r="AK798" i="1"/>
  <c r="AK834" i="1"/>
  <c r="AK870" i="1"/>
  <c r="AK15" i="1"/>
  <c r="AK771" i="1"/>
  <c r="AK807" i="1"/>
  <c r="AK843" i="1"/>
  <c r="AL23" i="1"/>
  <c r="AL32" i="1"/>
  <c r="AL68" i="1"/>
  <c r="AL104" i="1"/>
  <c r="AL140" i="1"/>
  <c r="AL176" i="1"/>
  <c r="AL212" i="1"/>
  <c r="AL248" i="1"/>
  <c r="AL77" i="1"/>
  <c r="AL113" i="1"/>
  <c r="AL149" i="1"/>
  <c r="AL185" i="1"/>
  <c r="AL221" i="1"/>
  <c r="AL257" i="1"/>
  <c r="AL41" i="1"/>
  <c r="AL50" i="1"/>
  <c r="AL86" i="1"/>
  <c r="AL122" i="1"/>
  <c r="AL158" i="1"/>
  <c r="AL194" i="1"/>
  <c r="AL230" i="1"/>
  <c r="AL266" i="1"/>
  <c r="AL59" i="1"/>
  <c r="AL95" i="1"/>
  <c r="AL131" i="1"/>
  <c r="AL302" i="1"/>
  <c r="AL338" i="1"/>
  <c r="AL374" i="1"/>
  <c r="AL410" i="1"/>
  <c r="AL446" i="1"/>
  <c r="AL482" i="1"/>
  <c r="AL518" i="1"/>
  <c r="AL554" i="1"/>
  <c r="AL590" i="1"/>
  <c r="AL626" i="1"/>
  <c r="AL662" i="1"/>
  <c r="AL698" i="1"/>
  <c r="AL734" i="1"/>
  <c r="AL311" i="1"/>
  <c r="AL347" i="1"/>
  <c r="AL383" i="1"/>
  <c r="AL419" i="1"/>
  <c r="AL455" i="1"/>
  <c r="AL491" i="1"/>
  <c r="AL527" i="1"/>
  <c r="AL563" i="1"/>
  <c r="AL599" i="1"/>
  <c r="AL635" i="1"/>
  <c r="AL671" i="1"/>
  <c r="AL707" i="1"/>
  <c r="AL743" i="1"/>
  <c r="AL284" i="1"/>
  <c r="AL320" i="1"/>
  <c r="AL356" i="1"/>
  <c r="AL392" i="1"/>
  <c r="AL428" i="1"/>
  <c r="AL464" i="1"/>
  <c r="AL500" i="1"/>
  <c r="AL536" i="1"/>
  <c r="AL572" i="1"/>
  <c r="AL608" i="1"/>
  <c r="AL644" i="1"/>
  <c r="AL680" i="1"/>
  <c r="AL716" i="1"/>
  <c r="AL752" i="1"/>
  <c r="AL167" i="1"/>
  <c r="AL203" i="1"/>
  <c r="AL239" i="1"/>
  <c r="AL275" i="1"/>
  <c r="AL293" i="1"/>
  <c r="AL329" i="1"/>
  <c r="AL365" i="1"/>
  <c r="AL401" i="1"/>
  <c r="AL437" i="1"/>
  <c r="AL473" i="1"/>
  <c r="AL509" i="1"/>
  <c r="AL545" i="1"/>
  <c r="AL581" i="1"/>
  <c r="AL617" i="1"/>
  <c r="AL653" i="1"/>
  <c r="AL689" i="1"/>
  <c r="AL725" i="1"/>
  <c r="AL788" i="1"/>
  <c r="AL824" i="1"/>
  <c r="AL860" i="1"/>
  <c r="AL896" i="1"/>
  <c r="AL5" i="1"/>
  <c r="AL779" i="1"/>
  <c r="AL887" i="1"/>
  <c r="AL761" i="1"/>
  <c r="AL797" i="1"/>
  <c r="AL833" i="1"/>
  <c r="AL869" i="1"/>
  <c r="AL14" i="1"/>
  <c r="AL815" i="1"/>
  <c r="AL851" i="1"/>
  <c r="AL770" i="1"/>
  <c r="AL806" i="1"/>
  <c r="AL842" i="1"/>
  <c r="AL878" i="1"/>
  <c r="AH23" i="1"/>
  <c r="AH32" i="1"/>
  <c r="AH68" i="1"/>
  <c r="AH104" i="1"/>
  <c r="AH140" i="1"/>
  <c r="AH176" i="1"/>
  <c r="AH212" i="1"/>
  <c r="AH248" i="1"/>
  <c r="AH41" i="1"/>
  <c r="AH77" i="1"/>
  <c r="AH113" i="1"/>
  <c r="AH149" i="1"/>
  <c r="AH185" i="1"/>
  <c r="AH221" i="1"/>
  <c r="AH257" i="1"/>
  <c r="AH50" i="1"/>
  <c r="AH86" i="1"/>
  <c r="AH122" i="1"/>
  <c r="AH158" i="1"/>
  <c r="AH194" i="1"/>
  <c r="AH230" i="1"/>
  <c r="AH266" i="1"/>
  <c r="AH59" i="1"/>
  <c r="AH95" i="1"/>
  <c r="AH131" i="1"/>
  <c r="AH302" i="1"/>
  <c r="AH338" i="1"/>
  <c r="AH374" i="1"/>
  <c r="AH410" i="1"/>
  <c r="AH446" i="1"/>
  <c r="AH482" i="1"/>
  <c r="AH518" i="1"/>
  <c r="AH554" i="1"/>
  <c r="AH590" i="1"/>
  <c r="AH626" i="1"/>
  <c r="AH662" i="1"/>
  <c r="AH698" i="1"/>
  <c r="AH734" i="1"/>
  <c r="AH311" i="1"/>
  <c r="AH347" i="1"/>
  <c r="AH383" i="1"/>
  <c r="AH419" i="1"/>
  <c r="AH455" i="1"/>
  <c r="AH491" i="1"/>
  <c r="AH527" i="1"/>
  <c r="AH563" i="1"/>
  <c r="AH599" i="1"/>
  <c r="AH635" i="1"/>
  <c r="AH671" i="1"/>
  <c r="AH707" i="1"/>
  <c r="AH743" i="1"/>
  <c r="AH167" i="1"/>
  <c r="AH203" i="1"/>
  <c r="AH239" i="1"/>
  <c r="AH275" i="1"/>
  <c r="AH284" i="1"/>
  <c r="AH320" i="1"/>
  <c r="AH356" i="1"/>
  <c r="AH392" i="1"/>
  <c r="AH428" i="1"/>
  <c r="AH464" i="1"/>
  <c r="AH500" i="1"/>
  <c r="AH536" i="1"/>
  <c r="AH572" i="1"/>
  <c r="AH608" i="1"/>
  <c r="AH644" i="1"/>
  <c r="AH680" i="1"/>
  <c r="AH716" i="1"/>
  <c r="AH752" i="1"/>
  <c r="AH293" i="1"/>
  <c r="AH329" i="1"/>
  <c r="AH365" i="1"/>
  <c r="AH401" i="1"/>
  <c r="AH437" i="1"/>
  <c r="AH473" i="1"/>
  <c r="AH509" i="1"/>
  <c r="AH545" i="1"/>
  <c r="AH581" i="1"/>
  <c r="AH617" i="1"/>
  <c r="AH653" i="1"/>
  <c r="AH689" i="1"/>
  <c r="AH725" i="1"/>
  <c r="AH788" i="1"/>
  <c r="AH824" i="1"/>
  <c r="AH860" i="1"/>
  <c r="AH896" i="1"/>
  <c r="AH5" i="1"/>
  <c r="AH761" i="1"/>
  <c r="AH797" i="1"/>
  <c r="AH833" i="1"/>
  <c r="AH869" i="1"/>
  <c r="AH14" i="1"/>
  <c r="AH779" i="1"/>
  <c r="AH770" i="1"/>
  <c r="AH806" i="1"/>
  <c r="AH842" i="1"/>
  <c r="AH878" i="1"/>
  <c r="AH815" i="1"/>
  <c r="AH851" i="1"/>
  <c r="AH887" i="1"/>
  <c r="AG42" i="1"/>
  <c r="AG24" i="1"/>
  <c r="AG60" i="1"/>
  <c r="AG96" i="1"/>
  <c r="AG132" i="1"/>
  <c r="AG168" i="1"/>
  <c r="AG204" i="1"/>
  <c r="AG240" i="1"/>
  <c r="AG276" i="1"/>
  <c r="AG33" i="1"/>
  <c r="AG69" i="1"/>
  <c r="AG105" i="1"/>
  <c r="AG141" i="1"/>
  <c r="AG177" i="1"/>
  <c r="AG213" i="1"/>
  <c r="AG249" i="1"/>
  <c r="AG78" i="1"/>
  <c r="AG114" i="1"/>
  <c r="AG150" i="1"/>
  <c r="AG186" i="1"/>
  <c r="AG222" i="1"/>
  <c r="AG258" i="1"/>
  <c r="AG51" i="1"/>
  <c r="AG87" i="1"/>
  <c r="AG123" i="1"/>
  <c r="AG294" i="1"/>
  <c r="AG330" i="1"/>
  <c r="AG366" i="1"/>
  <c r="AG402" i="1"/>
  <c r="AG438" i="1"/>
  <c r="AG474" i="1"/>
  <c r="AG510" i="1"/>
  <c r="AG546" i="1"/>
  <c r="AG582" i="1"/>
  <c r="AG618" i="1"/>
  <c r="AG654" i="1"/>
  <c r="AG690" i="1"/>
  <c r="AG726" i="1"/>
  <c r="AG303" i="1"/>
  <c r="AG339" i="1"/>
  <c r="AG375" i="1"/>
  <c r="AG411" i="1"/>
  <c r="AG447" i="1"/>
  <c r="AG483" i="1"/>
  <c r="AG519" i="1"/>
  <c r="AG555" i="1"/>
  <c r="AG591" i="1"/>
  <c r="AG627" i="1"/>
  <c r="AG663" i="1"/>
  <c r="AG699" i="1"/>
  <c r="AG735" i="1"/>
  <c r="AG159" i="1"/>
  <c r="AG195" i="1"/>
  <c r="AG231" i="1"/>
  <c r="AG267" i="1"/>
  <c r="AG312" i="1"/>
  <c r="AG348" i="1"/>
  <c r="AG384" i="1"/>
  <c r="AG420" i="1"/>
  <c r="AG456" i="1"/>
  <c r="AG492" i="1"/>
  <c r="AG528" i="1"/>
  <c r="AG564" i="1"/>
  <c r="AG600" i="1"/>
  <c r="AG636" i="1"/>
  <c r="AG672" i="1"/>
  <c r="AG708" i="1"/>
  <c r="AG744" i="1"/>
  <c r="AG285" i="1"/>
  <c r="AG321" i="1"/>
  <c r="AG357" i="1"/>
  <c r="AG393" i="1"/>
  <c r="AG429" i="1"/>
  <c r="AG465" i="1"/>
  <c r="AG501" i="1"/>
  <c r="AG537" i="1"/>
  <c r="AG573" i="1"/>
  <c r="AG609" i="1"/>
  <c r="AG645" i="1"/>
  <c r="AG681" i="1"/>
  <c r="AG717" i="1"/>
  <c r="AG753" i="1"/>
  <c r="AG780" i="1"/>
  <c r="AG816" i="1"/>
  <c r="AG852" i="1"/>
  <c r="AG888" i="1"/>
  <c r="AG807" i="1"/>
  <c r="AG789" i="1"/>
  <c r="AG825" i="1"/>
  <c r="AG861" i="1"/>
  <c r="AG897" i="1"/>
  <c r="AG771" i="1"/>
  <c r="AG843" i="1"/>
  <c r="AG762" i="1"/>
  <c r="AG798" i="1"/>
  <c r="AG834" i="1"/>
  <c r="AG870" i="1"/>
  <c r="AG15" i="1"/>
  <c r="AG6" i="1"/>
  <c r="AG879" i="1"/>
  <c r="AH29" i="1"/>
  <c r="AH38" i="1"/>
  <c r="AH74" i="1"/>
  <c r="AH110" i="1"/>
  <c r="AH146" i="1"/>
  <c r="AH182" i="1"/>
  <c r="AH218" i="1"/>
  <c r="AH254" i="1"/>
  <c r="AH83" i="1"/>
  <c r="AH119" i="1"/>
  <c r="AH155" i="1"/>
  <c r="AH191" i="1"/>
  <c r="AH227" i="1"/>
  <c r="AH263" i="1"/>
  <c r="AH56" i="1"/>
  <c r="AH92" i="1"/>
  <c r="AH128" i="1"/>
  <c r="AH164" i="1"/>
  <c r="AH200" i="1"/>
  <c r="AH236" i="1"/>
  <c r="AH272" i="1"/>
  <c r="AH47" i="1"/>
  <c r="AH65" i="1"/>
  <c r="AH101" i="1"/>
  <c r="AH137" i="1"/>
  <c r="AH308" i="1"/>
  <c r="AH344" i="1"/>
  <c r="AH380" i="1"/>
  <c r="AH416" i="1"/>
  <c r="AH452" i="1"/>
  <c r="AH488" i="1"/>
  <c r="AH524" i="1"/>
  <c r="AH560" i="1"/>
  <c r="AH596" i="1"/>
  <c r="AH632" i="1"/>
  <c r="AH668" i="1"/>
  <c r="AH704" i="1"/>
  <c r="AH740" i="1"/>
  <c r="AH317" i="1"/>
  <c r="AH353" i="1"/>
  <c r="AH389" i="1"/>
  <c r="AH425" i="1"/>
  <c r="AH461" i="1"/>
  <c r="AH497" i="1"/>
  <c r="AH533" i="1"/>
  <c r="AH569" i="1"/>
  <c r="AH605" i="1"/>
  <c r="AH641" i="1"/>
  <c r="AH677" i="1"/>
  <c r="AH713" i="1"/>
  <c r="AH749" i="1"/>
  <c r="AH290" i="1"/>
  <c r="AH326" i="1"/>
  <c r="AH362" i="1"/>
  <c r="AH398" i="1"/>
  <c r="AH434" i="1"/>
  <c r="AH470" i="1"/>
  <c r="AH506" i="1"/>
  <c r="AH542" i="1"/>
  <c r="AH578" i="1"/>
  <c r="AH614" i="1"/>
  <c r="AH650" i="1"/>
  <c r="AH686" i="1"/>
  <c r="AH722" i="1"/>
  <c r="AH173" i="1"/>
  <c r="AH209" i="1"/>
  <c r="AH245" i="1"/>
  <c r="AH281" i="1"/>
  <c r="AH299" i="1"/>
  <c r="AH335" i="1"/>
  <c r="AH371" i="1"/>
  <c r="AH407" i="1"/>
  <c r="AH443" i="1"/>
  <c r="AH479" i="1"/>
  <c r="AH515" i="1"/>
  <c r="AH551" i="1"/>
  <c r="AH587" i="1"/>
  <c r="AH623" i="1"/>
  <c r="AH659" i="1"/>
  <c r="AH695" i="1"/>
  <c r="AH731" i="1"/>
  <c r="AH794" i="1"/>
  <c r="AH830" i="1"/>
  <c r="AH866" i="1"/>
  <c r="AH902" i="1"/>
  <c r="AH767" i="1"/>
  <c r="AH803" i="1"/>
  <c r="AH839" i="1"/>
  <c r="AH875" i="1"/>
  <c r="AH20" i="1"/>
  <c r="AH821" i="1"/>
  <c r="AH857" i="1"/>
  <c r="AH758" i="1"/>
  <c r="AH776" i="1"/>
  <c r="AH812" i="1"/>
  <c r="AH848" i="1"/>
  <c r="AH884" i="1"/>
  <c r="AH11" i="1"/>
  <c r="AH785" i="1"/>
  <c r="AH893" i="1"/>
  <c r="AG23" i="1"/>
  <c r="AG32" i="1"/>
  <c r="AG41" i="1"/>
  <c r="AG77" i="1"/>
  <c r="AG113" i="1"/>
  <c r="AG149" i="1"/>
  <c r="AG185" i="1"/>
  <c r="AG221" i="1"/>
  <c r="AG257" i="1"/>
  <c r="AG50" i="1"/>
  <c r="AG86" i="1"/>
  <c r="AG122" i="1"/>
  <c r="AG158" i="1"/>
  <c r="AG194" i="1"/>
  <c r="AG230" i="1"/>
  <c r="AG266" i="1"/>
  <c r="AG59" i="1"/>
  <c r="AG95" i="1"/>
  <c r="AG131" i="1"/>
  <c r="AG167" i="1"/>
  <c r="AG203" i="1"/>
  <c r="AG239" i="1"/>
  <c r="AG275" i="1"/>
  <c r="AG68" i="1"/>
  <c r="AG104" i="1"/>
  <c r="AG140" i="1"/>
  <c r="AG311" i="1"/>
  <c r="AG347" i="1"/>
  <c r="AG383" i="1"/>
  <c r="AG419" i="1"/>
  <c r="AG455" i="1"/>
  <c r="AG491" i="1"/>
  <c r="AG527" i="1"/>
  <c r="AG563" i="1"/>
  <c r="AG599" i="1"/>
  <c r="AG635" i="1"/>
  <c r="AG671" i="1"/>
  <c r="AG707" i="1"/>
  <c r="AG743" i="1"/>
  <c r="AG284" i="1"/>
  <c r="AG320" i="1"/>
  <c r="AG356" i="1"/>
  <c r="AG392" i="1"/>
  <c r="AG428" i="1"/>
  <c r="AG464" i="1"/>
  <c r="AG500" i="1"/>
  <c r="AG536" i="1"/>
  <c r="AG572" i="1"/>
  <c r="AG608" i="1"/>
  <c r="AG644" i="1"/>
  <c r="AG680" i="1"/>
  <c r="AG716" i="1"/>
  <c r="AG752" i="1"/>
  <c r="AG293" i="1"/>
  <c r="AG329" i="1"/>
  <c r="AG365" i="1"/>
  <c r="AG401" i="1"/>
  <c r="AG437" i="1"/>
  <c r="AG473" i="1"/>
  <c r="AG509" i="1"/>
  <c r="AG545" i="1"/>
  <c r="AG581" i="1"/>
  <c r="AG617" i="1"/>
  <c r="AG653" i="1"/>
  <c r="AG689" i="1"/>
  <c r="AG725" i="1"/>
  <c r="AG176" i="1"/>
  <c r="AG212" i="1"/>
  <c r="AG248" i="1"/>
  <c r="AG302" i="1"/>
  <c r="AG338" i="1"/>
  <c r="AG374" i="1"/>
  <c r="AG410" i="1"/>
  <c r="AG446" i="1"/>
  <c r="AG482" i="1"/>
  <c r="AG518" i="1"/>
  <c r="AG554" i="1"/>
  <c r="AG590" i="1"/>
  <c r="AG626" i="1"/>
  <c r="AG662" i="1"/>
  <c r="AG698" i="1"/>
  <c r="AG734" i="1"/>
  <c r="AG761" i="1"/>
  <c r="AG797" i="1"/>
  <c r="AG833" i="1"/>
  <c r="AG869" i="1"/>
  <c r="AG14" i="1"/>
  <c r="AG770" i="1"/>
  <c r="AG806" i="1"/>
  <c r="AG842" i="1"/>
  <c r="AG878" i="1"/>
  <c r="AG860" i="1"/>
  <c r="AG779" i="1"/>
  <c r="AG815" i="1"/>
  <c r="AG851" i="1"/>
  <c r="AG887" i="1"/>
  <c r="AG788" i="1"/>
  <c r="AG824" i="1"/>
  <c r="AG896" i="1"/>
  <c r="AG5" i="1"/>
  <c r="AG27" i="1"/>
  <c r="AG36" i="1"/>
  <c r="AG45" i="1"/>
  <c r="AG81" i="1"/>
  <c r="AG117" i="1"/>
  <c r="AG153" i="1"/>
  <c r="AG189" i="1"/>
  <c r="AG225" i="1"/>
  <c r="AG261" i="1"/>
  <c r="AG54" i="1"/>
  <c r="AG90" i="1"/>
  <c r="AG126" i="1"/>
  <c r="AG162" i="1"/>
  <c r="AG198" i="1"/>
  <c r="AG234" i="1"/>
  <c r="AG270" i="1"/>
  <c r="AG63" i="1"/>
  <c r="AG99" i="1"/>
  <c r="AG135" i="1"/>
  <c r="AG171" i="1"/>
  <c r="AG207" i="1"/>
  <c r="AG243" i="1"/>
  <c r="AG279" i="1"/>
  <c r="AG72" i="1"/>
  <c r="AG108" i="1"/>
  <c r="AG144" i="1"/>
  <c r="AG315" i="1"/>
  <c r="AG351" i="1"/>
  <c r="AG387" i="1"/>
  <c r="AG423" i="1"/>
  <c r="AG459" i="1"/>
  <c r="AG495" i="1"/>
  <c r="AG531" i="1"/>
  <c r="AG567" i="1"/>
  <c r="AG603" i="1"/>
  <c r="AG639" i="1"/>
  <c r="AG675" i="1"/>
  <c r="AG711" i="1"/>
  <c r="AG747" i="1"/>
  <c r="AG180" i="1"/>
  <c r="AG216" i="1"/>
  <c r="AG252" i="1"/>
  <c r="AG288" i="1"/>
  <c r="AG324" i="1"/>
  <c r="AG360" i="1"/>
  <c r="AG396" i="1"/>
  <c r="AG432" i="1"/>
  <c r="AG468" i="1"/>
  <c r="AG504" i="1"/>
  <c r="AG540" i="1"/>
  <c r="AG576" i="1"/>
  <c r="AG612" i="1"/>
  <c r="AG648" i="1"/>
  <c r="AG684" i="1"/>
  <c r="AG720" i="1"/>
  <c r="AG756" i="1"/>
  <c r="AG297" i="1"/>
  <c r="AG333" i="1"/>
  <c r="AG369" i="1"/>
  <c r="AG405" i="1"/>
  <c r="AG441" i="1"/>
  <c r="AG477" i="1"/>
  <c r="AG513" i="1"/>
  <c r="AG549" i="1"/>
  <c r="AG585" i="1"/>
  <c r="AG621" i="1"/>
  <c r="AG657" i="1"/>
  <c r="AG693" i="1"/>
  <c r="AG729" i="1"/>
  <c r="AG306" i="1"/>
  <c r="AG342" i="1"/>
  <c r="AG378" i="1"/>
  <c r="AG414" i="1"/>
  <c r="AG450" i="1"/>
  <c r="AG486" i="1"/>
  <c r="AG522" i="1"/>
  <c r="AG558" i="1"/>
  <c r="AG594" i="1"/>
  <c r="AG630" i="1"/>
  <c r="AG666" i="1"/>
  <c r="AG702" i="1"/>
  <c r="AG738" i="1"/>
  <c r="AG765" i="1"/>
  <c r="AG801" i="1"/>
  <c r="AG837" i="1"/>
  <c r="AG873" i="1"/>
  <c r="AG18" i="1"/>
  <c r="AG792" i="1"/>
  <c r="AG864" i="1"/>
  <c r="AG774" i="1"/>
  <c r="AG810" i="1"/>
  <c r="AG846" i="1"/>
  <c r="AG882" i="1"/>
  <c r="AG900" i="1"/>
  <c r="AG9" i="1"/>
  <c r="AG783" i="1"/>
  <c r="AG819" i="1"/>
  <c r="AG855" i="1"/>
  <c r="AG891" i="1"/>
  <c r="AG828" i="1"/>
  <c r="AL39" i="1"/>
  <c r="AL57" i="1"/>
  <c r="AL93" i="1"/>
  <c r="AL129" i="1"/>
  <c r="AL165" i="1"/>
  <c r="AL201" i="1"/>
  <c r="AL237" i="1"/>
  <c r="AL273" i="1"/>
  <c r="AL66" i="1"/>
  <c r="AL102" i="1"/>
  <c r="AL138" i="1"/>
  <c r="AL174" i="1"/>
  <c r="AL210" i="1"/>
  <c r="AL246" i="1"/>
  <c r="AL30" i="1"/>
  <c r="AL75" i="1"/>
  <c r="AL111" i="1"/>
  <c r="AL147" i="1"/>
  <c r="AL183" i="1"/>
  <c r="AL219" i="1"/>
  <c r="AL255" i="1"/>
  <c r="AL48" i="1"/>
  <c r="AL84" i="1"/>
  <c r="AL120" i="1"/>
  <c r="AL291" i="1"/>
  <c r="AL327" i="1"/>
  <c r="AL363" i="1"/>
  <c r="AL399" i="1"/>
  <c r="AL435" i="1"/>
  <c r="AL471" i="1"/>
  <c r="AL507" i="1"/>
  <c r="AL543" i="1"/>
  <c r="AL579" i="1"/>
  <c r="AL615" i="1"/>
  <c r="AL651" i="1"/>
  <c r="AL687" i="1"/>
  <c r="AL723" i="1"/>
  <c r="AL300" i="1"/>
  <c r="AL336" i="1"/>
  <c r="AL372" i="1"/>
  <c r="AL408" i="1"/>
  <c r="AL444" i="1"/>
  <c r="AL480" i="1"/>
  <c r="AL516" i="1"/>
  <c r="AL552" i="1"/>
  <c r="AL588" i="1"/>
  <c r="AL624" i="1"/>
  <c r="AL660" i="1"/>
  <c r="AL696" i="1"/>
  <c r="AL732" i="1"/>
  <c r="AL309" i="1"/>
  <c r="AL345" i="1"/>
  <c r="AL381" i="1"/>
  <c r="AL417" i="1"/>
  <c r="AL453" i="1"/>
  <c r="AL489" i="1"/>
  <c r="AL525" i="1"/>
  <c r="AL561" i="1"/>
  <c r="AL597" i="1"/>
  <c r="AL633" i="1"/>
  <c r="AL669" i="1"/>
  <c r="AL705" i="1"/>
  <c r="AL741" i="1"/>
  <c r="AL156" i="1"/>
  <c r="AL192" i="1"/>
  <c r="AL228" i="1"/>
  <c r="AL264" i="1"/>
  <c r="AL282" i="1"/>
  <c r="AL318" i="1"/>
  <c r="AL354" i="1"/>
  <c r="AL390" i="1"/>
  <c r="AL426" i="1"/>
  <c r="AL462" i="1"/>
  <c r="AL498" i="1"/>
  <c r="AL534" i="1"/>
  <c r="AL570" i="1"/>
  <c r="AL606" i="1"/>
  <c r="AL642" i="1"/>
  <c r="AL678" i="1"/>
  <c r="AL714" i="1"/>
  <c r="AL750" i="1"/>
  <c r="AL777" i="1"/>
  <c r="AL813" i="1"/>
  <c r="AL849" i="1"/>
  <c r="AL885" i="1"/>
  <c r="AL804" i="1"/>
  <c r="AL840" i="1"/>
  <c r="AL12" i="1"/>
  <c r="AL786" i="1"/>
  <c r="AL822" i="1"/>
  <c r="AL858" i="1"/>
  <c r="AL894" i="1"/>
  <c r="AL876" i="1"/>
  <c r="AL759" i="1"/>
  <c r="AL795" i="1"/>
  <c r="AL831" i="1"/>
  <c r="AL867" i="1"/>
  <c r="AL903" i="1"/>
  <c r="AL768" i="1"/>
  <c r="AL21" i="1"/>
  <c r="AH39" i="1"/>
  <c r="AH48" i="1"/>
  <c r="AH57" i="1"/>
  <c r="AH93" i="1"/>
  <c r="AH129" i="1"/>
  <c r="AH165" i="1"/>
  <c r="AH201" i="1"/>
  <c r="AH237" i="1"/>
  <c r="AH273" i="1"/>
  <c r="AH30" i="1"/>
  <c r="AH66" i="1"/>
  <c r="AH102" i="1"/>
  <c r="AH138" i="1"/>
  <c r="AH174" i="1"/>
  <c r="AH210" i="1"/>
  <c r="AH246" i="1"/>
  <c r="AH282" i="1"/>
  <c r="AH75" i="1"/>
  <c r="AH111" i="1"/>
  <c r="AH147" i="1"/>
  <c r="AH183" i="1"/>
  <c r="AH219" i="1"/>
  <c r="AH255" i="1"/>
  <c r="AH84" i="1"/>
  <c r="AH120" i="1"/>
  <c r="AH291" i="1"/>
  <c r="AH327" i="1"/>
  <c r="AH363" i="1"/>
  <c r="AH399" i="1"/>
  <c r="AH435" i="1"/>
  <c r="AH471" i="1"/>
  <c r="AH507" i="1"/>
  <c r="AH543" i="1"/>
  <c r="AH579" i="1"/>
  <c r="AH615" i="1"/>
  <c r="AH651" i="1"/>
  <c r="AH687" i="1"/>
  <c r="AH723" i="1"/>
  <c r="AH300" i="1"/>
  <c r="AH336" i="1"/>
  <c r="AH372" i="1"/>
  <c r="AH408" i="1"/>
  <c r="AH444" i="1"/>
  <c r="AH480" i="1"/>
  <c r="AH516" i="1"/>
  <c r="AH552" i="1"/>
  <c r="AH588" i="1"/>
  <c r="AH624" i="1"/>
  <c r="AH660" i="1"/>
  <c r="AH696" i="1"/>
  <c r="AH732" i="1"/>
  <c r="AH156" i="1"/>
  <c r="AH192" i="1"/>
  <c r="AH228" i="1"/>
  <c r="AH264" i="1"/>
  <c r="AH309" i="1"/>
  <c r="AH345" i="1"/>
  <c r="AH381" i="1"/>
  <c r="AH417" i="1"/>
  <c r="AH453" i="1"/>
  <c r="AH489" i="1"/>
  <c r="AH525" i="1"/>
  <c r="AH561" i="1"/>
  <c r="AH597" i="1"/>
  <c r="AH633" i="1"/>
  <c r="AH669" i="1"/>
  <c r="AH705" i="1"/>
  <c r="AH741" i="1"/>
  <c r="AH318" i="1"/>
  <c r="AH354" i="1"/>
  <c r="AH390" i="1"/>
  <c r="AH426" i="1"/>
  <c r="AH462" i="1"/>
  <c r="AH498" i="1"/>
  <c r="AH534" i="1"/>
  <c r="AH570" i="1"/>
  <c r="AH606" i="1"/>
  <c r="AH642" i="1"/>
  <c r="AH678" i="1"/>
  <c r="AH714" i="1"/>
  <c r="AH750" i="1"/>
  <c r="AH777" i="1"/>
  <c r="AH813" i="1"/>
  <c r="AH849" i="1"/>
  <c r="AH885" i="1"/>
  <c r="AH786" i="1"/>
  <c r="AH822" i="1"/>
  <c r="AH858" i="1"/>
  <c r="AH894" i="1"/>
  <c r="AH768" i="1"/>
  <c r="AH804" i="1"/>
  <c r="AH840" i="1"/>
  <c r="AH21" i="1"/>
  <c r="AH795" i="1"/>
  <c r="AH831" i="1"/>
  <c r="AH867" i="1"/>
  <c r="AH903" i="1"/>
  <c r="AH759" i="1"/>
  <c r="AH876" i="1"/>
  <c r="AH12" i="1"/>
  <c r="AI29" i="1"/>
  <c r="AI47" i="1"/>
  <c r="AI65" i="1"/>
  <c r="AI101" i="1"/>
  <c r="AI137" i="1"/>
  <c r="AI173" i="1"/>
  <c r="AI209" i="1"/>
  <c r="AI245" i="1"/>
  <c r="AI281" i="1"/>
  <c r="AI38" i="1"/>
  <c r="AI74" i="1"/>
  <c r="AI110" i="1"/>
  <c r="AI146" i="1"/>
  <c r="AI182" i="1"/>
  <c r="AI218" i="1"/>
  <c r="AI254" i="1"/>
  <c r="AI83" i="1"/>
  <c r="AI119" i="1"/>
  <c r="AI155" i="1"/>
  <c r="AI191" i="1"/>
  <c r="AI227" i="1"/>
  <c r="AI263" i="1"/>
  <c r="AI56" i="1"/>
  <c r="AI92" i="1"/>
  <c r="AI128" i="1"/>
  <c r="AI299" i="1"/>
  <c r="AI335" i="1"/>
  <c r="AI371" i="1"/>
  <c r="AI407" i="1"/>
  <c r="AI443" i="1"/>
  <c r="AI479" i="1"/>
  <c r="AI515" i="1"/>
  <c r="AI551" i="1"/>
  <c r="AI587" i="1"/>
  <c r="AI623" i="1"/>
  <c r="AI659" i="1"/>
  <c r="AI695" i="1"/>
  <c r="AI731" i="1"/>
  <c r="AI308" i="1"/>
  <c r="AI344" i="1"/>
  <c r="AI380" i="1"/>
  <c r="AI416" i="1"/>
  <c r="AI452" i="1"/>
  <c r="AI488" i="1"/>
  <c r="AI524" i="1"/>
  <c r="AI560" i="1"/>
  <c r="AI596" i="1"/>
  <c r="AI632" i="1"/>
  <c r="AI668" i="1"/>
  <c r="AI704" i="1"/>
  <c r="AI740" i="1"/>
  <c r="AI164" i="1"/>
  <c r="AI200" i="1"/>
  <c r="AI236" i="1"/>
  <c r="AI272" i="1"/>
  <c r="AI317" i="1"/>
  <c r="AI353" i="1"/>
  <c r="AI389" i="1"/>
  <c r="AI425" i="1"/>
  <c r="AI461" i="1"/>
  <c r="AI497" i="1"/>
  <c r="AI533" i="1"/>
  <c r="AI569" i="1"/>
  <c r="AI605" i="1"/>
  <c r="AI641" i="1"/>
  <c r="AI677" i="1"/>
  <c r="AI713" i="1"/>
  <c r="AI749" i="1"/>
  <c r="AI290" i="1"/>
  <c r="AI326" i="1"/>
  <c r="AI362" i="1"/>
  <c r="AI398" i="1"/>
  <c r="AI434" i="1"/>
  <c r="AI470" i="1"/>
  <c r="AI506" i="1"/>
  <c r="AI542" i="1"/>
  <c r="AI578" i="1"/>
  <c r="AI614" i="1"/>
  <c r="AI650" i="1"/>
  <c r="AI686" i="1"/>
  <c r="AI722" i="1"/>
  <c r="AI785" i="1"/>
  <c r="AI821" i="1"/>
  <c r="AI857" i="1"/>
  <c r="AI893" i="1"/>
  <c r="AI794" i="1"/>
  <c r="AI830" i="1"/>
  <c r="AI866" i="1"/>
  <c r="AI902" i="1"/>
  <c r="AI776" i="1"/>
  <c r="AI812" i="1"/>
  <c r="AI848" i="1"/>
  <c r="AI11" i="1"/>
  <c r="AI767" i="1"/>
  <c r="AI803" i="1"/>
  <c r="AI839" i="1"/>
  <c r="AI875" i="1"/>
  <c r="AI20" i="1"/>
  <c r="AI758" i="1"/>
  <c r="AI884" i="1"/>
  <c r="AJ28" i="1"/>
  <c r="AJ37" i="1"/>
  <c r="AJ46" i="1"/>
  <c r="AJ73" i="1"/>
  <c r="AJ109" i="1"/>
  <c r="AJ145" i="1"/>
  <c r="AJ181" i="1"/>
  <c r="AJ217" i="1"/>
  <c r="AJ253" i="1"/>
  <c r="AJ82" i="1"/>
  <c r="AJ118" i="1"/>
  <c r="AJ154" i="1"/>
  <c r="AJ190" i="1"/>
  <c r="AJ226" i="1"/>
  <c r="AJ262" i="1"/>
  <c r="AJ55" i="1"/>
  <c r="AJ91" i="1"/>
  <c r="AJ127" i="1"/>
  <c r="AJ163" i="1"/>
  <c r="AJ199" i="1"/>
  <c r="AJ235" i="1"/>
  <c r="AJ271" i="1"/>
  <c r="AJ64" i="1"/>
  <c r="AJ100" i="1"/>
  <c r="AJ136" i="1"/>
  <c r="AJ307" i="1"/>
  <c r="AJ343" i="1"/>
  <c r="AJ379" i="1"/>
  <c r="AJ415" i="1"/>
  <c r="AJ451" i="1"/>
  <c r="AJ487" i="1"/>
  <c r="AJ523" i="1"/>
  <c r="AJ559" i="1"/>
  <c r="AJ595" i="1"/>
  <c r="AJ631" i="1"/>
  <c r="AJ667" i="1"/>
  <c r="AJ703" i="1"/>
  <c r="AJ739" i="1"/>
  <c r="AJ316" i="1"/>
  <c r="AJ352" i="1"/>
  <c r="AJ388" i="1"/>
  <c r="AJ424" i="1"/>
  <c r="AJ460" i="1"/>
  <c r="AJ496" i="1"/>
  <c r="AJ532" i="1"/>
  <c r="AJ568" i="1"/>
  <c r="AJ604" i="1"/>
  <c r="AJ640" i="1"/>
  <c r="AJ676" i="1"/>
  <c r="AJ712" i="1"/>
  <c r="AJ748" i="1"/>
  <c r="AJ172" i="1"/>
  <c r="AJ208" i="1"/>
  <c r="AJ244" i="1"/>
  <c r="AJ280" i="1"/>
  <c r="AJ289" i="1"/>
  <c r="AJ325" i="1"/>
  <c r="AJ361" i="1"/>
  <c r="AJ397" i="1"/>
  <c r="AJ433" i="1"/>
  <c r="AJ469" i="1"/>
  <c r="AJ505" i="1"/>
  <c r="AJ541" i="1"/>
  <c r="AJ577" i="1"/>
  <c r="AJ613" i="1"/>
  <c r="AJ649" i="1"/>
  <c r="AJ685" i="1"/>
  <c r="AJ721" i="1"/>
  <c r="AJ298" i="1"/>
  <c r="AJ334" i="1"/>
  <c r="AJ370" i="1"/>
  <c r="AJ406" i="1"/>
  <c r="AJ442" i="1"/>
  <c r="AJ478" i="1"/>
  <c r="AJ514" i="1"/>
  <c r="AJ550" i="1"/>
  <c r="AJ586" i="1"/>
  <c r="AJ622" i="1"/>
  <c r="AJ658" i="1"/>
  <c r="AJ694" i="1"/>
  <c r="AJ730" i="1"/>
  <c r="AJ793" i="1"/>
  <c r="AJ829" i="1"/>
  <c r="AJ865" i="1"/>
  <c r="AJ901" i="1"/>
  <c r="AJ856" i="1"/>
  <c r="AJ892" i="1"/>
  <c r="AJ10" i="1"/>
  <c r="AJ766" i="1"/>
  <c r="AJ802" i="1"/>
  <c r="AJ838" i="1"/>
  <c r="AJ874" i="1"/>
  <c r="AJ19" i="1"/>
  <c r="AJ784" i="1"/>
  <c r="AJ775" i="1"/>
  <c r="AJ811" i="1"/>
  <c r="AJ847" i="1"/>
  <c r="AJ883" i="1"/>
  <c r="AJ757" i="1"/>
  <c r="AJ820" i="1"/>
  <c r="AK27" i="1"/>
  <c r="AK36" i="1"/>
  <c r="AK45" i="1"/>
  <c r="AK81" i="1"/>
  <c r="AK117" i="1"/>
  <c r="AK153" i="1"/>
  <c r="AK189" i="1"/>
  <c r="AK225" i="1"/>
  <c r="AK261" i="1"/>
  <c r="AK54" i="1"/>
  <c r="AK90" i="1"/>
  <c r="AK126" i="1"/>
  <c r="AK162" i="1"/>
  <c r="AK198" i="1"/>
  <c r="AK234" i="1"/>
  <c r="AK270" i="1"/>
  <c r="AK63" i="1"/>
  <c r="AK99" i="1"/>
  <c r="AK135" i="1"/>
  <c r="AK171" i="1"/>
  <c r="AK207" i="1"/>
  <c r="AK243" i="1"/>
  <c r="AK279" i="1"/>
  <c r="AK72" i="1"/>
  <c r="AK108" i="1"/>
  <c r="AK315" i="1"/>
  <c r="AK351" i="1"/>
  <c r="AK387" i="1"/>
  <c r="AK423" i="1"/>
  <c r="AK459" i="1"/>
  <c r="AK495" i="1"/>
  <c r="AK531" i="1"/>
  <c r="AK567" i="1"/>
  <c r="AK603" i="1"/>
  <c r="AK639" i="1"/>
  <c r="AK675" i="1"/>
  <c r="AK711" i="1"/>
  <c r="AK747" i="1"/>
  <c r="AK288" i="1"/>
  <c r="AK324" i="1"/>
  <c r="AK360" i="1"/>
  <c r="AK396" i="1"/>
  <c r="AK432" i="1"/>
  <c r="AK468" i="1"/>
  <c r="AK504" i="1"/>
  <c r="AK540" i="1"/>
  <c r="AK576" i="1"/>
  <c r="AK612" i="1"/>
  <c r="AK648" i="1"/>
  <c r="AK684" i="1"/>
  <c r="AK720" i="1"/>
  <c r="AK756" i="1"/>
  <c r="AK144" i="1"/>
  <c r="AK180" i="1"/>
  <c r="AK216" i="1"/>
  <c r="AK252" i="1"/>
  <c r="AK297" i="1"/>
  <c r="AK333" i="1"/>
  <c r="AK369" i="1"/>
  <c r="AK405" i="1"/>
  <c r="AK441" i="1"/>
  <c r="AK477" i="1"/>
  <c r="AK513" i="1"/>
  <c r="AK549" i="1"/>
  <c r="AK585" i="1"/>
  <c r="AK621" i="1"/>
  <c r="AK657" i="1"/>
  <c r="AK693" i="1"/>
  <c r="AK729" i="1"/>
  <c r="AK306" i="1"/>
  <c r="AK342" i="1"/>
  <c r="AK378" i="1"/>
  <c r="AK414" i="1"/>
  <c r="AK450" i="1"/>
  <c r="AK486" i="1"/>
  <c r="AK522" i="1"/>
  <c r="AK558" i="1"/>
  <c r="AK594" i="1"/>
  <c r="AK630" i="1"/>
  <c r="AK666" i="1"/>
  <c r="AK702" i="1"/>
  <c r="AK738" i="1"/>
  <c r="AK765" i="1"/>
  <c r="AK801" i="1"/>
  <c r="AK837" i="1"/>
  <c r="AK873" i="1"/>
  <c r="AK18" i="1"/>
  <c r="AK828" i="1"/>
  <c r="AK774" i="1"/>
  <c r="AK810" i="1"/>
  <c r="AK846" i="1"/>
  <c r="AK882" i="1"/>
  <c r="AK783" i="1"/>
  <c r="AK819" i="1"/>
  <c r="AK855" i="1"/>
  <c r="AK891" i="1"/>
  <c r="AK792" i="1"/>
  <c r="AK864" i="1"/>
  <c r="AK900" i="1"/>
  <c r="AK9" i="1"/>
  <c r="AL35" i="1"/>
  <c r="AL26" i="1"/>
  <c r="AL53" i="1"/>
  <c r="AL89" i="1"/>
  <c r="AL125" i="1"/>
  <c r="AL161" i="1"/>
  <c r="AL197" i="1"/>
  <c r="AL233" i="1"/>
  <c r="AL269" i="1"/>
  <c r="AL44" i="1"/>
  <c r="AL62" i="1"/>
  <c r="AL98" i="1"/>
  <c r="AL134" i="1"/>
  <c r="AL170" i="1"/>
  <c r="AL206" i="1"/>
  <c r="AL242" i="1"/>
  <c r="AL278" i="1"/>
  <c r="AL71" i="1"/>
  <c r="AL107" i="1"/>
  <c r="AL143" i="1"/>
  <c r="AL179" i="1"/>
  <c r="AL215" i="1"/>
  <c r="AL251" i="1"/>
  <c r="AL80" i="1"/>
  <c r="AL116" i="1"/>
  <c r="AL287" i="1"/>
  <c r="AL323" i="1"/>
  <c r="AL359" i="1"/>
  <c r="AL395" i="1"/>
  <c r="AL431" i="1"/>
  <c r="AL467" i="1"/>
  <c r="AL503" i="1"/>
  <c r="AL539" i="1"/>
  <c r="AL575" i="1"/>
  <c r="AL611" i="1"/>
  <c r="AL647" i="1"/>
  <c r="AL683" i="1"/>
  <c r="AL719" i="1"/>
  <c r="AL755" i="1"/>
  <c r="AL152" i="1"/>
  <c r="AL188" i="1"/>
  <c r="AL224" i="1"/>
  <c r="AL260" i="1"/>
  <c r="AL296" i="1"/>
  <c r="AL332" i="1"/>
  <c r="AL368" i="1"/>
  <c r="AL404" i="1"/>
  <c r="AL440" i="1"/>
  <c r="AL476" i="1"/>
  <c r="AL512" i="1"/>
  <c r="AL548" i="1"/>
  <c r="AL584" i="1"/>
  <c r="AL620" i="1"/>
  <c r="AL656" i="1"/>
  <c r="AL692" i="1"/>
  <c r="AL728" i="1"/>
  <c r="AL305" i="1"/>
  <c r="AL341" i="1"/>
  <c r="AL377" i="1"/>
  <c r="AL413" i="1"/>
  <c r="AL449" i="1"/>
  <c r="AL485" i="1"/>
  <c r="AL521" i="1"/>
  <c r="AL557" i="1"/>
  <c r="AL593" i="1"/>
  <c r="AL629" i="1"/>
  <c r="AL665" i="1"/>
  <c r="AL701" i="1"/>
  <c r="AL737" i="1"/>
  <c r="AL314" i="1"/>
  <c r="AL350" i="1"/>
  <c r="AL386" i="1"/>
  <c r="AL422" i="1"/>
  <c r="AL458" i="1"/>
  <c r="AL494" i="1"/>
  <c r="AL530" i="1"/>
  <c r="AL566" i="1"/>
  <c r="AL602" i="1"/>
  <c r="AL638" i="1"/>
  <c r="AL674" i="1"/>
  <c r="AL710" i="1"/>
  <c r="AL746" i="1"/>
  <c r="AL773" i="1"/>
  <c r="AL809" i="1"/>
  <c r="AL845" i="1"/>
  <c r="AL881" i="1"/>
  <c r="AL872" i="1"/>
  <c r="AL782" i="1"/>
  <c r="AL818" i="1"/>
  <c r="AL854" i="1"/>
  <c r="AL890" i="1"/>
  <c r="AL800" i="1"/>
  <c r="AL836" i="1"/>
  <c r="AL17" i="1"/>
  <c r="AL8" i="1"/>
  <c r="AL791" i="1"/>
  <c r="AL827" i="1"/>
  <c r="AL863" i="1"/>
  <c r="AL899" i="1"/>
  <c r="AL764" i="1"/>
  <c r="AH35" i="1"/>
  <c r="AH53" i="1"/>
  <c r="AH89" i="1"/>
  <c r="AH125" i="1"/>
  <c r="AH161" i="1"/>
  <c r="AH197" i="1"/>
  <c r="AH233" i="1"/>
  <c r="AH269" i="1"/>
  <c r="AH62" i="1"/>
  <c r="AH98" i="1"/>
  <c r="AH134" i="1"/>
  <c r="AH170" i="1"/>
  <c r="AH206" i="1"/>
  <c r="AH242" i="1"/>
  <c r="AH278" i="1"/>
  <c r="AH44" i="1"/>
  <c r="AH71" i="1"/>
  <c r="AH107" i="1"/>
  <c r="AH143" i="1"/>
  <c r="AH179" i="1"/>
  <c r="AH215" i="1"/>
  <c r="AH251" i="1"/>
  <c r="AH26" i="1"/>
  <c r="AH80" i="1"/>
  <c r="AH116" i="1"/>
  <c r="AH152" i="1"/>
  <c r="AH188" i="1"/>
  <c r="AH224" i="1"/>
  <c r="AH260" i="1"/>
  <c r="AH287" i="1"/>
  <c r="AH323" i="1"/>
  <c r="AH359" i="1"/>
  <c r="AH395" i="1"/>
  <c r="AH431" i="1"/>
  <c r="AH467" i="1"/>
  <c r="AH503" i="1"/>
  <c r="AH539" i="1"/>
  <c r="AH575" i="1"/>
  <c r="AH611" i="1"/>
  <c r="AH647" i="1"/>
  <c r="AH683" i="1"/>
  <c r="AH719" i="1"/>
  <c r="AH755" i="1"/>
  <c r="AH296" i="1"/>
  <c r="AH332" i="1"/>
  <c r="AH368" i="1"/>
  <c r="AH404" i="1"/>
  <c r="AH440" i="1"/>
  <c r="AH476" i="1"/>
  <c r="AH512" i="1"/>
  <c r="AH548" i="1"/>
  <c r="AH584" i="1"/>
  <c r="AH620" i="1"/>
  <c r="AH656" i="1"/>
  <c r="AH692" i="1"/>
  <c r="AH728" i="1"/>
  <c r="AH305" i="1"/>
  <c r="AH341" i="1"/>
  <c r="AH377" i="1"/>
  <c r="AH413" i="1"/>
  <c r="AH449" i="1"/>
  <c r="AH485" i="1"/>
  <c r="AH521" i="1"/>
  <c r="AH557" i="1"/>
  <c r="AH593" i="1"/>
  <c r="AH629" i="1"/>
  <c r="AH665" i="1"/>
  <c r="AH701" i="1"/>
  <c r="AH737" i="1"/>
  <c r="AH314" i="1"/>
  <c r="AH350" i="1"/>
  <c r="AH386" i="1"/>
  <c r="AH422" i="1"/>
  <c r="AH458" i="1"/>
  <c r="AH494" i="1"/>
  <c r="AH530" i="1"/>
  <c r="AH566" i="1"/>
  <c r="AH602" i="1"/>
  <c r="AH638" i="1"/>
  <c r="AH674" i="1"/>
  <c r="AH710" i="1"/>
  <c r="AH746" i="1"/>
  <c r="AH773" i="1"/>
  <c r="AH809" i="1"/>
  <c r="AH845" i="1"/>
  <c r="AH881" i="1"/>
  <c r="AH764" i="1"/>
  <c r="AH17" i="1"/>
  <c r="AH8" i="1"/>
  <c r="AH782" i="1"/>
  <c r="AH818" i="1"/>
  <c r="AH854" i="1"/>
  <c r="AH890" i="1"/>
  <c r="AH872" i="1"/>
  <c r="AH791" i="1"/>
  <c r="AH827" i="1"/>
  <c r="AH863" i="1"/>
  <c r="AH899" i="1"/>
  <c r="AH800" i="1"/>
  <c r="AH836" i="1"/>
  <c r="AI43" i="1"/>
  <c r="AI25" i="1"/>
  <c r="AI61" i="1"/>
  <c r="AI97" i="1"/>
  <c r="AI133" i="1"/>
  <c r="AI169" i="1"/>
  <c r="AI205" i="1"/>
  <c r="AI241" i="1"/>
  <c r="AI277" i="1"/>
  <c r="AI70" i="1"/>
  <c r="AI106" i="1"/>
  <c r="AI142" i="1"/>
  <c r="AI178" i="1"/>
  <c r="AI214" i="1"/>
  <c r="AI250" i="1"/>
  <c r="AI79" i="1"/>
  <c r="AI115" i="1"/>
  <c r="AI151" i="1"/>
  <c r="AI187" i="1"/>
  <c r="AI223" i="1"/>
  <c r="AI259" i="1"/>
  <c r="AI34" i="1"/>
  <c r="AI52" i="1"/>
  <c r="AI88" i="1"/>
  <c r="AI124" i="1"/>
  <c r="AI160" i="1"/>
  <c r="AI196" i="1"/>
  <c r="AI232" i="1"/>
  <c r="AI268" i="1"/>
  <c r="AI295" i="1"/>
  <c r="AI331" i="1"/>
  <c r="AI367" i="1"/>
  <c r="AI403" i="1"/>
  <c r="AI439" i="1"/>
  <c r="AI475" i="1"/>
  <c r="AI511" i="1"/>
  <c r="AI547" i="1"/>
  <c r="AI583" i="1"/>
  <c r="AI619" i="1"/>
  <c r="AI655" i="1"/>
  <c r="AI691" i="1"/>
  <c r="AI727" i="1"/>
  <c r="AI304" i="1"/>
  <c r="AI340" i="1"/>
  <c r="AI376" i="1"/>
  <c r="AI412" i="1"/>
  <c r="AI448" i="1"/>
  <c r="AI484" i="1"/>
  <c r="AI520" i="1"/>
  <c r="AI556" i="1"/>
  <c r="AI592" i="1"/>
  <c r="AI628" i="1"/>
  <c r="AI664" i="1"/>
  <c r="AI700" i="1"/>
  <c r="AI736" i="1"/>
  <c r="AI313" i="1"/>
  <c r="AI349" i="1"/>
  <c r="AI385" i="1"/>
  <c r="AI421" i="1"/>
  <c r="AI457" i="1"/>
  <c r="AI493" i="1"/>
  <c r="AI529" i="1"/>
  <c r="AI565" i="1"/>
  <c r="AI601" i="1"/>
  <c r="AI637" i="1"/>
  <c r="AI673" i="1"/>
  <c r="AI709" i="1"/>
  <c r="AI745" i="1"/>
  <c r="AI286" i="1"/>
  <c r="AI322" i="1"/>
  <c r="AI358" i="1"/>
  <c r="AI394" i="1"/>
  <c r="AI430" i="1"/>
  <c r="AI466" i="1"/>
  <c r="AI502" i="1"/>
  <c r="AI538" i="1"/>
  <c r="AI574" i="1"/>
  <c r="AI610" i="1"/>
  <c r="AI646" i="1"/>
  <c r="AI682" i="1"/>
  <c r="AI718" i="1"/>
  <c r="AI754" i="1"/>
  <c r="AI781" i="1"/>
  <c r="AI817" i="1"/>
  <c r="AI853" i="1"/>
  <c r="AI889" i="1"/>
  <c r="AI880" i="1"/>
  <c r="AI790" i="1"/>
  <c r="AI826" i="1"/>
  <c r="AI862" i="1"/>
  <c r="AI898" i="1"/>
  <c r="AI772" i="1"/>
  <c r="AI808" i="1"/>
  <c r="AI844" i="1"/>
  <c r="AI763" i="1"/>
  <c r="AI799" i="1"/>
  <c r="AI835" i="1"/>
  <c r="AI871" i="1"/>
  <c r="AI16" i="1"/>
  <c r="AI7" i="1"/>
  <c r="AJ24" i="1"/>
  <c r="AJ33" i="1"/>
  <c r="AJ69" i="1"/>
  <c r="AJ105" i="1"/>
  <c r="AJ141" i="1"/>
  <c r="AJ177" i="1"/>
  <c r="AJ213" i="1"/>
  <c r="AJ249" i="1"/>
  <c r="AJ78" i="1"/>
  <c r="AJ114" i="1"/>
  <c r="AJ150" i="1"/>
  <c r="AJ186" i="1"/>
  <c r="AJ222" i="1"/>
  <c r="AJ258" i="1"/>
  <c r="AJ51" i="1"/>
  <c r="AJ87" i="1"/>
  <c r="AJ123" i="1"/>
  <c r="AJ159" i="1"/>
  <c r="AJ195" i="1"/>
  <c r="AJ231" i="1"/>
  <c r="AJ267" i="1"/>
  <c r="AJ42" i="1"/>
  <c r="AJ60" i="1"/>
  <c r="AJ96" i="1"/>
  <c r="AJ132" i="1"/>
  <c r="AJ168" i="1"/>
  <c r="AJ204" i="1"/>
  <c r="AJ240" i="1"/>
  <c r="AJ276" i="1"/>
  <c r="AJ303" i="1"/>
  <c r="AJ339" i="1"/>
  <c r="AJ375" i="1"/>
  <c r="AJ411" i="1"/>
  <c r="AJ447" i="1"/>
  <c r="AJ483" i="1"/>
  <c r="AJ519" i="1"/>
  <c r="AJ555" i="1"/>
  <c r="AJ591" i="1"/>
  <c r="AJ627" i="1"/>
  <c r="AJ663" i="1"/>
  <c r="AJ699" i="1"/>
  <c r="AJ735" i="1"/>
  <c r="AJ312" i="1"/>
  <c r="AJ348" i="1"/>
  <c r="AJ384" i="1"/>
  <c r="AJ420" i="1"/>
  <c r="AJ456" i="1"/>
  <c r="AJ492" i="1"/>
  <c r="AJ528" i="1"/>
  <c r="AJ564" i="1"/>
  <c r="AJ600" i="1"/>
  <c r="AJ636" i="1"/>
  <c r="AJ672" i="1"/>
  <c r="AJ708" i="1"/>
  <c r="AJ744" i="1"/>
  <c r="AJ285" i="1"/>
  <c r="AJ321" i="1"/>
  <c r="AJ357" i="1"/>
  <c r="AJ393" i="1"/>
  <c r="AJ429" i="1"/>
  <c r="AJ465" i="1"/>
  <c r="AJ501" i="1"/>
  <c r="AJ537" i="1"/>
  <c r="AJ573" i="1"/>
  <c r="AJ609" i="1"/>
  <c r="AJ645" i="1"/>
  <c r="AJ681" i="1"/>
  <c r="AJ717" i="1"/>
  <c r="AJ753" i="1"/>
  <c r="AJ294" i="1"/>
  <c r="AJ330" i="1"/>
  <c r="AJ366" i="1"/>
  <c r="AJ402" i="1"/>
  <c r="AJ438" i="1"/>
  <c r="AJ474" i="1"/>
  <c r="AJ510" i="1"/>
  <c r="AJ546" i="1"/>
  <c r="AJ582" i="1"/>
  <c r="AJ618" i="1"/>
  <c r="AJ654" i="1"/>
  <c r="AJ690" i="1"/>
  <c r="AJ726" i="1"/>
  <c r="AJ789" i="1"/>
  <c r="AJ825" i="1"/>
  <c r="AJ861" i="1"/>
  <c r="AJ897" i="1"/>
  <c r="AJ816" i="1"/>
  <c r="AJ852" i="1"/>
  <c r="AJ762" i="1"/>
  <c r="AJ798" i="1"/>
  <c r="AJ834" i="1"/>
  <c r="AJ870" i="1"/>
  <c r="AJ15" i="1"/>
  <c r="AJ780" i="1"/>
  <c r="AJ888" i="1"/>
  <c r="AJ6" i="1"/>
  <c r="AJ771" i="1"/>
  <c r="AJ807" i="1"/>
  <c r="AJ843" i="1"/>
  <c r="AJ879" i="1"/>
  <c r="AK23" i="1"/>
  <c r="AK32" i="1"/>
  <c r="AK41" i="1"/>
  <c r="AK77" i="1"/>
  <c r="AK113" i="1"/>
  <c r="AK149" i="1"/>
  <c r="AK185" i="1"/>
  <c r="AK221" i="1"/>
  <c r="AK257" i="1"/>
  <c r="AK50" i="1"/>
  <c r="AK86" i="1"/>
  <c r="AK122" i="1"/>
  <c r="AK158" i="1"/>
  <c r="AK194" i="1"/>
  <c r="AK230" i="1"/>
  <c r="AK266" i="1"/>
  <c r="AK59" i="1"/>
  <c r="AK95" i="1"/>
  <c r="AK131" i="1"/>
  <c r="AK167" i="1"/>
  <c r="AK203" i="1"/>
  <c r="AK239" i="1"/>
  <c r="AK275" i="1"/>
  <c r="AK68" i="1"/>
  <c r="AK104" i="1"/>
  <c r="AK140" i="1"/>
  <c r="AK176" i="1"/>
  <c r="AK212" i="1"/>
  <c r="AK248" i="1"/>
  <c r="AK311" i="1"/>
  <c r="AK347" i="1"/>
  <c r="AK383" i="1"/>
  <c r="AK419" i="1"/>
  <c r="AK455" i="1"/>
  <c r="AK491" i="1"/>
  <c r="AK527" i="1"/>
  <c r="AK563" i="1"/>
  <c r="AK599" i="1"/>
  <c r="AK635" i="1"/>
  <c r="AK671" i="1"/>
  <c r="AK707" i="1"/>
  <c r="AK743" i="1"/>
  <c r="AK284" i="1"/>
  <c r="AK320" i="1"/>
  <c r="AK356" i="1"/>
  <c r="AK392" i="1"/>
  <c r="AK428" i="1"/>
  <c r="AK464" i="1"/>
  <c r="AK500" i="1"/>
  <c r="AK536" i="1"/>
  <c r="AK572" i="1"/>
  <c r="AK608" i="1"/>
  <c r="AK644" i="1"/>
  <c r="AK680" i="1"/>
  <c r="AK716" i="1"/>
  <c r="AK752" i="1"/>
  <c r="AK293" i="1"/>
  <c r="AK329" i="1"/>
  <c r="AK365" i="1"/>
  <c r="AK401" i="1"/>
  <c r="AK437" i="1"/>
  <c r="AK473" i="1"/>
  <c r="AK509" i="1"/>
  <c r="AK545" i="1"/>
  <c r="AK581" i="1"/>
  <c r="AK617" i="1"/>
  <c r="AK653" i="1"/>
  <c r="AK689" i="1"/>
  <c r="AK725" i="1"/>
  <c r="AK302" i="1"/>
  <c r="AK338" i="1"/>
  <c r="AK374" i="1"/>
  <c r="AK410" i="1"/>
  <c r="AK446" i="1"/>
  <c r="AK482" i="1"/>
  <c r="AK518" i="1"/>
  <c r="AK554" i="1"/>
  <c r="AK590" i="1"/>
  <c r="AK626" i="1"/>
  <c r="AK662" i="1"/>
  <c r="AK698" i="1"/>
  <c r="AK734" i="1"/>
  <c r="AK761" i="1"/>
  <c r="AK797" i="1"/>
  <c r="AK833" i="1"/>
  <c r="AK869" i="1"/>
  <c r="AK14" i="1"/>
  <c r="AK788" i="1"/>
  <c r="AK824" i="1"/>
  <c r="AK5" i="1"/>
  <c r="AK770" i="1"/>
  <c r="AK806" i="1"/>
  <c r="AK842" i="1"/>
  <c r="AK878" i="1"/>
  <c r="AK779" i="1"/>
  <c r="AK815" i="1"/>
  <c r="AK851" i="1"/>
  <c r="AK887" i="1"/>
  <c r="AK860" i="1"/>
  <c r="AK896" i="1"/>
  <c r="AI22" i="1"/>
  <c r="AI40" i="1"/>
  <c r="AI58" i="1"/>
  <c r="AI76" i="1"/>
  <c r="AI94" i="1"/>
  <c r="AI112" i="1"/>
  <c r="AI130" i="1"/>
  <c r="AI148" i="1"/>
  <c r="AI166" i="1"/>
  <c r="AI184" i="1"/>
  <c r="AI202" i="1"/>
  <c r="AI220" i="1"/>
  <c r="AI238" i="1"/>
  <c r="AI256" i="1"/>
  <c r="AI274" i="1"/>
  <c r="AI31" i="1"/>
  <c r="AI49" i="1"/>
  <c r="AI67" i="1"/>
  <c r="AI85" i="1"/>
  <c r="AI103" i="1"/>
  <c r="AI121" i="1"/>
  <c r="AI139" i="1"/>
  <c r="AI157" i="1"/>
  <c r="AI175" i="1"/>
  <c r="AI193" i="1"/>
  <c r="AI211" i="1"/>
  <c r="AI229" i="1"/>
  <c r="AI247" i="1"/>
  <c r="AI265" i="1"/>
  <c r="AI301" i="1"/>
  <c r="AI337" i="1"/>
  <c r="AI373" i="1"/>
  <c r="AI409" i="1"/>
  <c r="AI445" i="1"/>
  <c r="AI481" i="1"/>
  <c r="AI517" i="1"/>
  <c r="AI535" i="1"/>
  <c r="AI553" i="1"/>
  <c r="AI571" i="1"/>
  <c r="AI589" i="1"/>
  <c r="AI607" i="1"/>
  <c r="AI625" i="1"/>
  <c r="AI643" i="1"/>
  <c r="AI661" i="1"/>
  <c r="AI679" i="1"/>
  <c r="AI697" i="1"/>
  <c r="AI715" i="1"/>
  <c r="AI733" i="1"/>
  <c r="AI751" i="1"/>
  <c r="AI769" i="1"/>
  <c r="AI787" i="1"/>
  <c r="AI805" i="1"/>
  <c r="AI823" i="1"/>
  <c r="AI841" i="1"/>
  <c r="AI895" i="1"/>
  <c r="AI292" i="1"/>
  <c r="AI328" i="1"/>
  <c r="AI364" i="1"/>
  <c r="AI400" i="1"/>
  <c r="AI436" i="1"/>
  <c r="AI472" i="1"/>
  <c r="AI508" i="1"/>
  <c r="AI850" i="1"/>
  <c r="AI868" i="1"/>
  <c r="AI283" i="1"/>
  <c r="AI319" i="1"/>
  <c r="AI355" i="1"/>
  <c r="AI391" i="1"/>
  <c r="AI427" i="1"/>
  <c r="AI463" i="1"/>
  <c r="AI499" i="1"/>
  <c r="AI544" i="1"/>
  <c r="AI562" i="1"/>
  <c r="AI580" i="1"/>
  <c r="AI598" i="1"/>
  <c r="AI616" i="1"/>
  <c r="AI634" i="1"/>
  <c r="AI652" i="1"/>
  <c r="AI670" i="1"/>
  <c r="AI688" i="1"/>
  <c r="AI706" i="1"/>
  <c r="AI724" i="1"/>
  <c r="AI742" i="1"/>
  <c r="AI760" i="1"/>
  <c r="AI778" i="1"/>
  <c r="AI796" i="1"/>
  <c r="AI814" i="1"/>
  <c r="AI832" i="1"/>
  <c r="AI886" i="1"/>
  <c r="AI13" i="1"/>
  <c r="AI310" i="1"/>
  <c r="AI346" i="1"/>
  <c r="AI382" i="1"/>
  <c r="AI418" i="1"/>
  <c r="AI454" i="1"/>
  <c r="AI490" i="1"/>
  <c r="AI526" i="1"/>
  <c r="AI4" i="1"/>
  <c r="AI859" i="1"/>
  <c r="AI877" i="1"/>
  <c r="AH22" i="1"/>
  <c r="AH40" i="1"/>
  <c r="AH58" i="1"/>
  <c r="AH76" i="1"/>
  <c r="AH94" i="1"/>
  <c r="AH112" i="1"/>
  <c r="AH130" i="1"/>
  <c r="AH148" i="1"/>
  <c r="AH166" i="1"/>
  <c r="AH184" i="1"/>
  <c r="AH202" i="1"/>
  <c r="AH220" i="1"/>
  <c r="AH238" i="1"/>
  <c r="AH256" i="1"/>
  <c r="AH274" i="1"/>
  <c r="AH292" i="1"/>
  <c r="AH310" i="1"/>
  <c r="AH328" i="1"/>
  <c r="AH346" i="1"/>
  <c r="AH364" i="1"/>
  <c r="AH382" i="1"/>
  <c r="AH400" i="1"/>
  <c r="AH418" i="1"/>
  <c r="AH436" i="1"/>
  <c r="AH454" i="1"/>
  <c r="AH472" i="1"/>
  <c r="AH490" i="1"/>
  <c r="AH508" i="1"/>
  <c r="AH526" i="1"/>
  <c r="AH31" i="1"/>
  <c r="AH49" i="1"/>
  <c r="AH67" i="1"/>
  <c r="AH85" i="1"/>
  <c r="AH103" i="1"/>
  <c r="AH121" i="1"/>
  <c r="AH139" i="1"/>
  <c r="AH157" i="1"/>
  <c r="AH175" i="1"/>
  <c r="AH193" i="1"/>
  <c r="AH211" i="1"/>
  <c r="AH229" i="1"/>
  <c r="AH247" i="1"/>
  <c r="AH265" i="1"/>
  <c r="AH283" i="1"/>
  <c r="AH301" i="1"/>
  <c r="AH319" i="1"/>
  <c r="AH337" i="1"/>
  <c r="AH355" i="1"/>
  <c r="AH373" i="1"/>
  <c r="AH391" i="1"/>
  <c r="AH409" i="1"/>
  <c r="AH427" i="1"/>
  <c r="AH445" i="1"/>
  <c r="AH463" i="1"/>
  <c r="AH481" i="1"/>
  <c r="AH499" i="1"/>
  <c r="AH517" i="1"/>
  <c r="AH544" i="1"/>
  <c r="AH562" i="1"/>
  <c r="AH580" i="1"/>
  <c r="AH598" i="1"/>
  <c r="AH616" i="1"/>
  <c r="AH634" i="1"/>
  <c r="AH652" i="1"/>
  <c r="AH670" i="1"/>
  <c r="AH688" i="1"/>
  <c r="AH706" i="1"/>
  <c r="AH724" i="1"/>
  <c r="AH742" i="1"/>
  <c r="AH760" i="1"/>
  <c r="AH778" i="1"/>
  <c r="AH796" i="1"/>
  <c r="AH814" i="1"/>
  <c r="AH832" i="1"/>
  <c r="AH850" i="1"/>
  <c r="AH868" i="1"/>
  <c r="AH886" i="1"/>
  <c r="AH13" i="1"/>
  <c r="AH4" i="1"/>
  <c r="AH535" i="1"/>
  <c r="AH553" i="1"/>
  <c r="AH571" i="1"/>
  <c r="AH589" i="1"/>
  <c r="AH607" i="1"/>
  <c r="AH625" i="1"/>
  <c r="AH643" i="1"/>
  <c r="AH661" i="1"/>
  <c r="AH679" i="1"/>
  <c r="AH697" i="1"/>
  <c r="AH715" i="1"/>
  <c r="AH733" i="1"/>
  <c r="AH751" i="1"/>
  <c r="AH769" i="1"/>
  <c r="AH787" i="1"/>
  <c r="AH805" i="1"/>
  <c r="AH823" i="1"/>
  <c r="AH841" i="1"/>
  <c r="AH859" i="1"/>
  <c r="AH877" i="1"/>
  <c r="AH895" i="1"/>
  <c r="AL22" i="1"/>
  <c r="AL40" i="1"/>
  <c r="AL58" i="1"/>
  <c r="AL76" i="1"/>
  <c r="AL94" i="1"/>
  <c r="AL112" i="1"/>
  <c r="AL130" i="1"/>
  <c r="AL148" i="1"/>
  <c r="AL166" i="1"/>
  <c r="AL184" i="1"/>
  <c r="AL202" i="1"/>
  <c r="AL220" i="1"/>
  <c r="AL238" i="1"/>
  <c r="AL256" i="1"/>
  <c r="AL274" i="1"/>
  <c r="AL292" i="1"/>
  <c r="AL310" i="1"/>
  <c r="AL328" i="1"/>
  <c r="AL346" i="1"/>
  <c r="AL364" i="1"/>
  <c r="AL382" i="1"/>
  <c r="AL400" i="1"/>
  <c r="AL418" i="1"/>
  <c r="AL436" i="1"/>
  <c r="AL454" i="1"/>
  <c r="AL472" i="1"/>
  <c r="AL490" i="1"/>
  <c r="AL508" i="1"/>
  <c r="AL31" i="1"/>
  <c r="AL49" i="1"/>
  <c r="AL67" i="1"/>
  <c r="AL85" i="1"/>
  <c r="AL103" i="1"/>
  <c r="AL121" i="1"/>
  <c r="AL139" i="1"/>
  <c r="AL157" i="1"/>
  <c r="AL175" i="1"/>
  <c r="AL193" i="1"/>
  <c r="AL211" i="1"/>
  <c r="AL229" i="1"/>
  <c r="AL247" i="1"/>
  <c r="AL265" i="1"/>
  <c r="AL283" i="1"/>
  <c r="AL301" i="1"/>
  <c r="AL319" i="1"/>
  <c r="AL337" i="1"/>
  <c r="AL355" i="1"/>
  <c r="AL373" i="1"/>
  <c r="AL391" i="1"/>
  <c r="AL409" i="1"/>
  <c r="AL427" i="1"/>
  <c r="AL445" i="1"/>
  <c r="AL463" i="1"/>
  <c r="AL481" i="1"/>
  <c r="AL499" i="1"/>
  <c r="AL517" i="1"/>
  <c r="AL526" i="1"/>
  <c r="AL544" i="1"/>
  <c r="AL562" i="1"/>
  <c r="AL580" i="1"/>
  <c r="AL598" i="1"/>
  <c r="AL616" i="1"/>
  <c r="AL634" i="1"/>
  <c r="AL652" i="1"/>
  <c r="AL670" i="1"/>
  <c r="AL688" i="1"/>
  <c r="AL706" i="1"/>
  <c r="AL724" i="1"/>
  <c r="AL742" i="1"/>
  <c r="AL760" i="1"/>
  <c r="AL778" i="1"/>
  <c r="AL796" i="1"/>
  <c r="AL814" i="1"/>
  <c r="AL832" i="1"/>
  <c r="AL850" i="1"/>
  <c r="AL868" i="1"/>
  <c r="AL886" i="1"/>
  <c r="AL13" i="1"/>
  <c r="AL4" i="1"/>
  <c r="AL535" i="1"/>
  <c r="AL553" i="1"/>
  <c r="AL571" i="1"/>
  <c r="AL589" i="1"/>
  <c r="AL607" i="1"/>
  <c r="AL625" i="1"/>
  <c r="AL643" i="1"/>
  <c r="AL661" i="1"/>
  <c r="AL679" i="1"/>
  <c r="AL697" i="1"/>
  <c r="AL715" i="1"/>
  <c r="AL733" i="1"/>
  <c r="AL751" i="1"/>
  <c r="AL769" i="1"/>
  <c r="AL787" i="1"/>
  <c r="AL805" i="1"/>
  <c r="AL823" i="1"/>
  <c r="AL841" i="1"/>
  <c r="AL859" i="1"/>
  <c r="AL877" i="1"/>
  <c r="AL895" i="1"/>
  <c r="AK31" i="1"/>
  <c r="AK49" i="1"/>
  <c r="AK67" i="1"/>
  <c r="AK85" i="1"/>
  <c r="AK103" i="1"/>
  <c r="AK121" i="1"/>
  <c r="AK139" i="1"/>
  <c r="AK157" i="1"/>
  <c r="AK175" i="1"/>
  <c r="AK193" i="1"/>
  <c r="AK211" i="1"/>
  <c r="AK229" i="1"/>
  <c r="AK247" i="1"/>
  <c r="AK265" i="1"/>
  <c r="AK22" i="1"/>
  <c r="AK40" i="1"/>
  <c r="AK58" i="1"/>
  <c r="AK76" i="1"/>
  <c r="AK94" i="1"/>
  <c r="AK112" i="1"/>
  <c r="AK130" i="1"/>
  <c r="AK148" i="1"/>
  <c r="AK166" i="1"/>
  <c r="AK184" i="1"/>
  <c r="AK202" i="1"/>
  <c r="AK220" i="1"/>
  <c r="AK238" i="1"/>
  <c r="AK256" i="1"/>
  <c r="AK274" i="1"/>
  <c r="AK310" i="1"/>
  <c r="AK346" i="1"/>
  <c r="AK382" i="1"/>
  <c r="AK418" i="1"/>
  <c r="AK454" i="1"/>
  <c r="AK490" i="1"/>
  <c r="AK526" i="1"/>
  <c r="AK544" i="1"/>
  <c r="AK562" i="1"/>
  <c r="AK580" i="1"/>
  <c r="AK598" i="1"/>
  <c r="AK616" i="1"/>
  <c r="AK634" i="1"/>
  <c r="AK652" i="1"/>
  <c r="AK670" i="1"/>
  <c r="AK688" i="1"/>
  <c r="AK706" i="1"/>
  <c r="AK724" i="1"/>
  <c r="AK742" i="1"/>
  <c r="AK760" i="1"/>
  <c r="AK778" i="1"/>
  <c r="AK796" i="1"/>
  <c r="AK814" i="1"/>
  <c r="AK886" i="1"/>
  <c r="AK13" i="1"/>
  <c r="AK301" i="1"/>
  <c r="AK337" i="1"/>
  <c r="AK373" i="1"/>
  <c r="AK409" i="1"/>
  <c r="AK445" i="1"/>
  <c r="AK481" i="1"/>
  <c r="AK517" i="1"/>
  <c r="AK4" i="1"/>
  <c r="AK841" i="1"/>
  <c r="AK859" i="1"/>
  <c r="AK292" i="1"/>
  <c r="AK328" i="1"/>
  <c r="AK364" i="1"/>
  <c r="AK400" i="1"/>
  <c r="AK436" i="1"/>
  <c r="AK472" i="1"/>
  <c r="AK508" i="1"/>
  <c r="AK535" i="1"/>
  <c r="AK553" i="1"/>
  <c r="AK571" i="1"/>
  <c r="AK589" i="1"/>
  <c r="AK607" i="1"/>
  <c r="AK625" i="1"/>
  <c r="AK643" i="1"/>
  <c r="AK661" i="1"/>
  <c r="AK679" i="1"/>
  <c r="AK697" i="1"/>
  <c r="AK715" i="1"/>
  <c r="AK733" i="1"/>
  <c r="AK751" i="1"/>
  <c r="AK769" i="1"/>
  <c r="AK787" i="1"/>
  <c r="AK805" i="1"/>
  <c r="AK823" i="1"/>
  <c r="AK877" i="1"/>
  <c r="AK895" i="1"/>
  <c r="AK283" i="1"/>
  <c r="AK319" i="1"/>
  <c r="AK355" i="1"/>
  <c r="AK391" i="1"/>
  <c r="AK427" i="1"/>
  <c r="AK463" i="1"/>
  <c r="AK499" i="1"/>
  <c r="AK832" i="1"/>
  <c r="AK850" i="1"/>
  <c r="AK868" i="1"/>
  <c r="AJ31" i="1"/>
  <c r="AJ49" i="1"/>
  <c r="AJ67" i="1"/>
  <c r="AJ85" i="1"/>
  <c r="AJ103" i="1"/>
  <c r="AJ121" i="1"/>
  <c r="AJ139" i="1"/>
  <c r="AJ157" i="1"/>
  <c r="AJ175" i="1"/>
  <c r="AJ193" i="1"/>
  <c r="AJ211" i="1"/>
  <c r="AJ229" i="1"/>
  <c r="AJ247" i="1"/>
  <c r="AJ265" i="1"/>
  <c r="AJ283" i="1"/>
  <c r="AJ301" i="1"/>
  <c r="AJ319" i="1"/>
  <c r="AJ337" i="1"/>
  <c r="AJ355" i="1"/>
  <c r="AJ373" i="1"/>
  <c r="AJ391" i="1"/>
  <c r="AJ409" i="1"/>
  <c r="AJ427" i="1"/>
  <c r="AJ445" i="1"/>
  <c r="AJ463" i="1"/>
  <c r="AJ481" i="1"/>
  <c r="AJ499" i="1"/>
  <c r="AJ517" i="1"/>
  <c r="AJ22" i="1"/>
  <c r="AJ40" i="1"/>
  <c r="AJ58" i="1"/>
  <c r="AJ76" i="1"/>
  <c r="AJ94" i="1"/>
  <c r="AJ112" i="1"/>
  <c r="AJ130" i="1"/>
  <c r="AJ148" i="1"/>
  <c r="AJ166" i="1"/>
  <c r="AJ184" i="1"/>
  <c r="AJ202" i="1"/>
  <c r="AJ220" i="1"/>
  <c r="AJ238" i="1"/>
  <c r="AJ256" i="1"/>
  <c r="AJ274" i="1"/>
  <c r="AJ292" i="1"/>
  <c r="AJ310" i="1"/>
  <c r="AJ328" i="1"/>
  <c r="AJ346" i="1"/>
  <c r="AJ364" i="1"/>
  <c r="AJ382" i="1"/>
  <c r="AJ400" i="1"/>
  <c r="AJ418" i="1"/>
  <c r="AJ436" i="1"/>
  <c r="AJ454" i="1"/>
  <c r="AJ472" i="1"/>
  <c r="AJ490" i="1"/>
  <c r="AJ508" i="1"/>
  <c r="AJ526" i="1"/>
  <c r="AJ535" i="1"/>
  <c r="AJ553" i="1"/>
  <c r="AJ571" i="1"/>
  <c r="AJ589" i="1"/>
  <c r="AJ607" i="1"/>
  <c r="AJ625" i="1"/>
  <c r="AJ643" i="1"/>
  <c r="AJ661" i="1"/>
  <c r="AJ679" i="1"/>
  <c r="AJ697" i="1"/>
  <c r="AJ715" i="1"/>
  <c r="AJ733" i="1"/>
  <c r="AJ751" i="1"/>
  <c r="AJ769" i="1"/>
  <c r="AJ787" i="1"/>
  <c r="AJ805" i="1"/>
  <c r="AJ823" i="1"/>
  <c r="AJ841" i="1"/>
  <c r="AJ859" i="1"/>
  <c r="AJ877" i="1"/>
  <c r="AJ895" i="1"/>
  <c r="AJ4" i="1"/>
  <c r="AJ544" i="1"/>
  <c r="AJ562" i="1"/>
  <c r="AJ580" i="1"/>
  <c r="AJ598" i="1"/>
  <c r="AJ616" i="1"/>
  <c r="AJ634" i="1"/>
  <c r="AJ652" i="1"/>
  <c r="AJ670" i="1"/>
  <c r="AJ688" i="1"/>
  <c r="AJ706" i="1"/>
  <c r="AJ724" i="1"/>
  <c r="AJ742" i="1"/>
  <c r="AJ760" i="1"/>
  <c r="AJ778" i="1"/>
  <c r="AJ796" i="1"/>
  <c r="AJ814" i="1"/>
  <c r="AJ832" i="1"/>
  <c r="AJ850" i="1"/>
  <c r="AJ868" i="1"/>
  <c r="AJ886" i="1"/>
  <c r="AJ13" i="1"/>
  <c r="AQ903" i="1"/>
  <c r="AQ902" i="1"/>
  <c r="AQ901" i="1"/>
  <c r="AQ900" i="1"/>
  <c r="AQ899" i="1"/>
  <c r="AQ898" i="1"/>
  <c r="AQ897" i="1"/>
  <c r="AQ896" i="1"/>
  <c r="AQ895" i="1"/>
  <c r="AQ894" i="1"/>
  <c r="AQ893" i="1"/>
  <c r="AQ892" i="1"/>
  <c r="AQ891" i="1"/>
  <c r="AQ890" i="1"/>
  <c r="AQ889" i="1"/>
  <c r="AQ888" i="1"/>
  <c r="AQ887" i="1"/>
  <c r="AQ886" i="1"/>
  <c r="AQ885" i="1"/>
  <c r="AQ884" i="1"/>
  <c r="AQ883" i="1"/>
  <c r="AQ882" i="1"/>
  <c r="AQ881" i="1"/>
  <c r="AQ880" i="1"/>
  <c r="AQ879" i="1"/>
  <c r="AQ878" i="1"/>
  <c r="AQ877" i="1"/>
  <c r="AQ876" i="1"/>
  <c r="AQ875" i="1"/>
  <c r="AQ874" i="1"/>
  <c r="AQ873" i="1"/>
  <c r="AQ872" i="1"/>
  <c r="AQ871" i="1"/>
  <c r="AQ870" i="1"/>
  <c r="AQ869" i="1"/>
  <c r="AQ868" i="1"/>
  <c r="AQ867" i="1"/>
  <c r="AQ866" i="1"/>
  <c r="AQ865" i="1"/>
  <c r="AQ864" i="1"/>
  <c r="AQ863" i="1"/>
  <c r="AQ862" i="1"/>
  <c r="AQ861" i="1"/>
  <c r="AQ860" i="1"/>
  <c r="AQ859" i="1"/>
  <c r="AQ858" i="1"/>
  <c r="AQ857" i="1"/>
  <c r="AQ856" i="1"/>
  <c r="AQ855" i="1"/>
  <c r="AQ854" i="1"/>
  <c r="AQ853" i="1"/>
  <c r="AQ852" i="1"/>
  <c r="AQ851" i="1"/>
  <c r="AQ850" i="1"/>
  <c r="AQ849" i="1"/>
  <c r="AQ848" i="1"/>
  <c r="AQ847" i="1"/>
  <c r="AQ846" i="1"/>
  <c r="AQ845" i="1"/>
  <c r="AQ844" i="1"/>
  <c r="AQ843" i="1"/>
  <c r="AQ842" i="1"/>
  <c r="AQ841" i="1"/>
  <c r="AQ840" i="1"/>
  <c r="AQ839" i="1"/>
  <c r="AQ838" i="1"/>
  <c r="AQ837" i="1"/>
  <c r="AQ836" i="1"/>
  <c r="AQ835" i="1"/>
  <c r="AQ834" i="1"/>
  <c r="AQ833" i="1"/>
  <c r="AQ832" i="1"/>
  <c r="AQ831" i="1"/>
  <c r="AQ830" i="1"/>
  <c r="AQ829" i="1"/>
  <c r="AQ828" i="1"/>
  <c r="AQ827" i="1"/>
  <c r="AQ826" i="1"/>
  <c r="AQ825" i="1"/>
  <c r="AQ824" i="1"/>
  <c r="AQ823" i="1"/>
  <c r="AQ822" i="1"/>
  <c r="AQ821" i="1"/>
  <c r="AQ820" i="1"/>
  <c r="AQ819" i="1"/>
  <c r="AQ818" i="1"/>
  <c r="AQ817" i="1"/>
  <c r="AQ816" i="1"/>
  <c r="AQ815" i="1"/>
  <c r="AQ814" i="1"/>
  <c r="AQ813" i="1"/>
  <c r="AQ812" i="1"/>
  <c r="AQ811" i="1"/>
  <c r="AQ810" i="1"/>
  <c r="AQ809" i="1"/>
  <c r="AQ808" i="1"/>
  <c r="AQ807" i="1"/>
  <c r="AQ806" i="1"/>
  <c r="AQ805" i="1"/>
  <c r="AQ804" i="1"/>
  <c r="AQ803" i="1"/>
  <c r="AQ802" i="1"/>
  <c r="AQ801" i="1"/>
  <c r="AQ800" i="1"/>
  <c r="AQ799" i="1"/>
  <c r="AQ798" i="1"/>
  <c r="AQ797" i="1"/>
  <c r="AQ796" i="1"/>
  <c r="AQ795" i="1"/>
  <c r="AQ794" i="1"/>
  <c r="AQ793" i="1"/>
  <c r="AQ792" i="1"/>
  <c r="AQ791" i="1"/>
  <c r="AQ790" i="1"/>
  <c r="AQ789" i="1"/>
  <c r="AQ788" i="1"/>
  <c r="AQ787" i="1"/>
  <c r="AQ786" i="1"/>
  <c r="AQ785" i="1"/>
  <c r="AQ784" i="1"/>
  <c r="AQ783" i="1"/>
  <c r="AQ782" i="1"/>
  <c r="AQ781" i="1"/>
  <c r="AQ780" i="1"/>
  <c r="AQ779" i="1"/>
  <c r="AQ778" i="1"/>
  <c r="AQ777" i="1"/>
  <c r="AQ776" i="1"/>
  <c r="AQ775" i="1"/>
  <c r="AQ774" i="1"/>
  <c r="AQ773" i="1"/>
  <c r="AQ772" i="1"/>
  <c r="AQ771" i="1"/>
  <c r="AQ770" i="1"/>
  <c r="AQ769" i="1"/>
  <c r="AQ768" i="1"/>
  <c r="AQ767" i="1"/>
  <c r="AQ766" i="1"/>
  <c r="AQ765" i="1"/>
  <c r="AQ764" i="1"/>
  <c r="AQ763" i="1"/>
  <c r="AQ762" i="1"/>
  <c r="AQ761" i="1"/>
  <c r="AQ760" i="1"/>
  <c r="AQ759" i="1"/>
  <c r="AQ758" i="1"/>
  <c r="AQ757" i="1"/>
  <c r="AQ756" i="1"/>
  <c r="AQ755" i="1"/>
  <c r="AQ754" i="1"/>
  <c r="AQ753" i="1"/>
  <c r="AQ752" i="1"/>
  <c r="AQ751" i="1"/>
  <c r="AQ750" i="1"/>
  <c r="AQ749" i="1"/>
  <c r="AQ748" i="1"/>
  <c r="AQ747" i="1"/>
  <c r="AQ746" i="1"/>
  <c r="AQ745" i="1"/>
  <c r="AQ744" i="1"/>
  <c r="AQ743" i="1"/>
  <c r="AQ742" i="1"/>
  <c r="AQ741" i="1"/>
  <c r="AQ740" i="1"/>
  <c r="AQ739" i="1"/>
  <c r="AQ738" i="1"/>
  <c r="AQ737" i="1"/>
  <c r="AQ736" i="1"/>
  <c r="AQ735" i="1"/>
  <c r="AQ734" i="1"/>
  <c r="AQ733" i="1"/>
  <c r="AQ732" i="1"/>
  <c r="AQ731" i="1"/>
  <c r="AQ730" i="1"/>
  <c r="AQ729" i="1"/>
  <c r="AQ728" i="1"/>
  <c r="AQ727" i="1"/>
  <c r="AQ726" i="1"/>
  <c r="AQ725" i="1"/>
  <c r="AQ724" i="1"/>
  <c r="AQ723" i="1"/>
  <c r="AQ722" i="1"/>
  <c r="AQ721" i="1"/>
  <c r="AQ720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BQ16" i="1"/>
  <c r="BR16" i="1" s="1"/>
  <c r="BO16" i="1"/>
  <c r="BS16" i="1" s="1"/>
  <c r="BT16" i="1" s="1"/>
  <c r="AQ16" i="1"/>
  <c r="BS15" i="1"/>
  <c r="BQ15" i="1"/>
  <c r="BO15" i="1"/>
  <c r="AQ15" i="1"/>
  <c r="BS14" i="1"/>
  <c r="BQ14" i="1"/>
  <c r="BO14" i="1"/>
  <c r="AQ14" i="1"/>
  <c r="BS13" i="1"/>
  <c r="BQ13" i="1"/>
  <c r="BO13" i="1"/>
  <c r="AQ13" i="1"/>
  <c r="BS12" i="1"/>
  <c r="BQ12" i="1"/>
  <c r="BO12" i="1"/>
  <c r="AQ12" i="1"/>
  <c r="BS11" i="1"/>
  <c r="BQ11" i="1"/>
  <c r="BO11" i="1"/>
  <c r="AQ11" i="1"/>
  <c r="BS10" i="1"/>
  <c r="BQ10" i="1"/>
  <c r="BO10" i="1"/>
  <c r="AQ10" i="1"/>
  <c r="BS9" i="1"/>
  <c r="BQ9" i="1"/>
  <c r="BO9" i="1"/>
  <c r="AQ9" i="1"/>
  <c r="BS8" i="1"/>
  <c r="BQ8" i="1"/>
  <c r="BO8" i="1"/>
  <c r="AQ8" i="1"/>
  <c r="BS7" i="1"/>
  <c r="BQ7" i="1"/>
  <c r="BO7" i="1"/>
  <c r="AQ7" i="1"/>
  <c r="BS6" i="1"/>
  <c r="BQ6" i="1"/>
  <c r="BO6" i="1"/>
  <c r="AQ6" i="1"/>
  <c r="BS5" i="1"/>
  <c r="BQ5" i="1"/>
  <c r="BO5" i="1"/>
  <c r="AQ5" i="1"/>
  <c r="BS4" i="1"/>
  <c r="BQ4" i="1"/>
  <c r="BO4" i="1"/>
  <c r="AQ4" i="1"/>
  <c r="BS3" i="1"/>
  <c r="BQ3" i="1"/>
  <c r="BO3" i="1"/>
  <c r="BT2" i="1"/>
  <c r="BT15" i="1" s="1"/>
  <c r="BR2" i="1"/>
  <c r="BR14" i="1" s="1"/>
  <c r="BP2" i="1"/>
  <c r="BP15" i="1" s="1"/>
  <c r="CA17" i="1" l="1"/>
  <c r="CB17" i="1"/>
  <c r="CA29" i="1"/>
  <c r="CB29" i="1"/>
  <c r="CA41" i="1"/>
  <c r="CB41" i="1"/>
  <c r="CA57" i="1"/>
  <c r="CB57" i="1"/>
  <c r="CA69" i="1"/>
  <c r="CB69" i="1"/>
  <c r="CA85" i="1"/>
  <c r="CB85" i="1"/>
  <c r="CA97" i="1"/>
  <c r="CB97" i="1"/>
  <c r="CA109" i="1"/>
  <c r="CB109" i="1"/>
  <c r="CA121" i="1"/>
  <c r="CB121" i="1"/>
  <c r="CA137" i="1"/>
  <c r="CB137" i="1"/>
  <c r="CA149" i="1"/>
  <c r="CB149" i="1"/>
  <c r="CA161" i="1"/>
  <c r="CB161" i="1"/>
  <c r="CA173" i="1"/>
  <c r="CB173" i="1"/>
  <c r="CB185" i="1"/>
  <c r="CA185" i="1"/>
  <c r="CB201" i="1"/>
  <c r="CA201" i="1"/>
  <c r="CB217" i="1"/>
  <c r="CA217" i="1"/>
  <c r="CB229" i="1"/>
  <c r="CA229" i="1"/>
  <c r="CB245" i="1"/>
  <c r="CA245" i="1"/>
  <c r="CB257" i="1"/>
  <c r="CA257" i="1"/>
  <c r="CB273" i="1"/>
  <c r="CA273" i="1"/>
  <c r="CB285" i="1"/>
  <c r="CA285" i="1"/>
  <c r="CB297" i="1"/>
  <c r="CA297" i="1"/>
  <c r="CB305" i="1"/>
  <c r="CA305" i="1"/>
  <c r="CB317" i="1"/>
  <c r="CA317" i="1"/>
  <c r="CB333" i="1"/>
  <c r="CA333" i="1"/>
  <c r="CB345" i="1"/>
  <c r="CA345" i="1"/>
  <c r="CB357" i="1"/>
  <c r="CA357" i="1"/>
  <c r="CB369" i="1"/>
  <c r="CA369" i="1"/>
  <c r="CB385" i="1"/>
  <c r="CA385" i="1"/>
  <c r="CB397" i="1"/>
  <c r="CA397" i="1"/>
  <c r="CB405" i="1"/>
  <c r="CA405" i="1"/>
  <c r="CB417" i="1"/>
  <c r="CA417" i="1"/>
  <c r="CB429" i="1"/>
  <c r="CA429" i="1"/>
  <c r="CB441" i="1"/>
  <c r="CA441" i="1"/>
  <c r="CB453" i="1"/>
  <c r="CA453" i="1"/>
  <c r="CB465" i="1"/>
  <c r="CA465" i="1"/>
  <c r="CB477" i="1"/>
  <c r="CA477" i="1"/>
  <c r="CB493" i="1"/>
  <c r="CA493" i="1"/>
  <c r="CB505" i="1"/>
  <c r="CA505" i="1"/>
  <c r="CB517" i="1"/>
  <c r="CA517" i="1"/>
  <c r="CB533" i="1"/>
  <c r="CA533" i="1"/>
  <c r="CB545" i="1"/>
  <c r="CA545" i="1"/>
  <c r="CB557" i="1"/>
  <c r="CA557" i="1"/>
  <c r="CB569" i="1"/>
  <c r="CA569" i="1"/>
  <c r="CB585" i="1"/>
  <c r="CA585" i="1"/>
  <c r="CB597" i="1"/>
  <c r="CA597" i="1"/>
  <c r="CB609" i="1"/>
  <c r="CA609" i="1"/>
  <c r="CB621" i="1"/>
  <c r="CA621" i="1"/>
  <c r="CB633" i="1"/>
  <c r="CA633" i="1"/>
  <c r="CB645" i="1"/>
  <c r="CA645" i="1"/>
  <c r="CB653" i="1"/>
  <c r="CA653" i="1"/>
  <c r="CB665" i="1"/>
  <c r="CA665" i="1"/>
  <c r="CB677" i="1"/>
  <c r="CA677" i="1"/>
  <c r="CB693" i="1"/>
  <c r="CA693" i="1"/>
  <c r="CB705" i="1"/>
  <c r="CA705" i="1"/>
  <c r="CB717" i="1"/>
  <c r="CA717" i="1"/>
  <c r="CA729" i="1"/>
  <c r="CB729" i="1"/>
  <c r="CA741" i="1"/>
  <c r="CB741" i="1"/>
  <c r="CA757" i="1"/>
  <c r="CB757" i="1"/>
  <c r="CA769" i="1"/>
  <c r="CB769" i="1"/>
  <c r="CA781" i="1"/>
  <c r="CB781" i="1"/>
  <c r="CA793" i="1"/>
  <c r="CB793" i="1"/>
  <c r="CA801" i="1"/>
  <c r="CB801" i="1"/>
  <c r="CA813" i="1"/>
  <c r="CB813" i="1"/>
  <c r="CA829" i="1"/>
  <c r="CB829" i="1"/>
  <c r="CA841" i="1"/>
  <c r="CB841" i="1"/>
  <c r="CA853" i="1"/>
  <c r="CB853" i="1"/>
  <c r="CA865" i="1"/>
  <c r="CB865" i="1"/>
  <c r="CA877" i="1"/>
  <c r="CB877" i="1"/>
  <c r="CA889" i="1"/>
  <c r="CB889" i="1"/>
  <c r="CA901" i="1"/>
  <c r="CB901" i="1"/>
  <c r="CA4" i="1"/>
  <c r="CB4" i="1"/>
  <c r="CA5" i="1"/>
  <c r="CB5" i="1"/>
  <c r="CA6" i="1"/>
  <c r="CB6" i="1"/>
  <c r="CA7" i="1"/>
  <c r="CB7" i="1"/>
  <c r="CA8" i="1"/>
  <c r="CB8" i="1"/>
  <c r="CA9" i="1"/>
  <c r="CB9" i="1"/>
  <c r="CA10" i="1"/>
  <c r="CB10" i="1"/>
  <c r="CA11" i="1"/>
  <c r="CB11" i="1"/>
  <c r="CA12" i="1"/>
  <c r="CB12" i="1"/>
  <c r="CA13" i="1"/>
  <c r="CB13" i="1"/>
  <c r="CA14" i="1"/>
  <c r="CB14" i="1"/>
  <c r="CA15" i="1"/>
  <c r="CB15" i="1"/>
  <c r="CA16" i="1"/>
  <c r="CB16" i="1"/>
  <c r="CA18" i="1"/>
  <c r="CB18" i="1"/>
  <c r="CA22" i="1"/>
  <c r="CB22" i="1"/>
  <c r="CA26" i="1"/>
  <c r="CB26" i="1"/>
  <c r="CA30" i="1"/>
  <c r="CB30" i="1"/>
  <c r="CA34" i="1"/>
  <c r="CB34" i="1"/>
  <c r="CA38" i="1"/>
  <c r="CB38" i="1"/>
  <c r="CA42" i="1"/>
  <c r="CB42" i="1"/>
  <c r="CA46" i="1"/>
  <c r="CB46" i="1"/>
  <c r="CA50" i="1"/>
  <c r="CB50" i="1"/>
  <c r="CA54" i="1"/>
  <c r="CB54" i="1"/>
  <c r="CA58" i="1"/>
  <c r="CB58" i="1"/>
  <c r="CA62" i="1"/>
  <c r="CB62" i="1"/>
  <c r="CA66" i="1"/>
  <c r="CB66" i="1"/>
  <c r="CA70" i="1"/>
  <c r="CB70" i="1"/>
  <c r="CA74" i="1"/>
  <c r="CB74" i="1"/>
  <c r="CA78" i="1"/>
  <c r="CB78" i="1"/>
  <c r="CA82" i="1"/>
  <c r="CB82" i="1"/>
  <c r="CA86" i="1"/>
  <c r="CB86" i="1"/>
  <c r="CA90" i="1"/>
  <c r="CB90" i="1"/>
  <c r="CA94" i="1"/>
  <c r="CB94" i="1"/>
  <c r="CA98" i="1"/>
  <c r="CB98" i="1"/>
  <c r="CA102" i="1"/>
  <c r="CB102" i="1"/>
  <c r="CA106" i="1"/>
  <c r="CB106" i="1"/>
  <c r="CA110" i="1"/>
  <c r="CB110" i="1"/>
  <c r="CA114" i="1"/>
  <c r="CB114" i="1"/>
  <c r="CA118" i="1"/>
  <c r="CB118" i="1"/>
  <c r="CA122" i="1"/>
  <c r="CB122" i="1"/>
  <c r="CA126" i="1"/>
  <c r="CB126" i="1"/>
  <c r="CA130" i="1"/>
  <c r="CB130" i="1"/>
  <c r="CA134" i="1"/>
  <c r="CB134" i="1"/>
  <c r="CA138" i="1"/>
  <c r="CB138" i="1"/>
  <c r="CA142" i="1"/>
  <c r="CB142" i="1"/>
  <c r="CA146" i="1"/>
  <c r="CB146" i="1"/>
  <c r="CA150" i="1"/>
  <c r="CB150" i="1"/>
  <c r="CA154" i="1"/>
  <c r="CB154" i="1"/>
  <c r="CA158" i="1"/>
  <c r="CB158" i="1"/>
  <c r="CA162" i="1"/>
  <c r="CB162" i="1"/>
  <c r="CA166" i="1"/>
  <c r="CB166" i="1"/>
  <c r="CA170" i="1"/>
  <c r="CB170" i="1"/>
  <c r="CA174" i="1"/>
  <c r="CB174" i="1"/>
  <c r="CA178" i="1"/>
  <c r="CB178" i="1"/>
  <c r="CA182" i="1"/>
  <c r="CB182" i="1"/>
  <c r="CA186" i="1"/>
  <c r="CB186" i="1"/>
  <c r="CA190" i="1"/>
  <c r="CB190" i="1"/>
  <c r="CA194" i="1"/>
  <c r="CB194" i="1"/>
  <c r="CA198" i="1"/>
  <c r="CB198" i="1"/>
  <c r="CA202" i="1"/>
  <c r="CB202" i="1"/>
  <c r="CA206" i="1"/>
  <c r="CB206" i="1"/>
  <c r="CA210" i="1"/>
  <c r="CB210" i="1"/>
  <c r="CA214" i="1"/>
  <c r="CB214" i="1"/>
  <c r="CA218" i="1"/>
  <c r="CB218" i="1"/>
  <c r="CA222" i="1"/>
  <c r="CB222" i="1"/>
  <c r="CA226" i="1"/>
  <c r="CB226" i="1"/>
  <c r="CA230" i="1"/>
  <c r="CB230" i="1"/>
  <c r="CA234" i="1"/>
  <c r="CB234" i="1"/>
  <c r="CA238" i="1"/>
  <c r="CB238" i="1"/>
  <c r="CA242" i="1"/>
  <c r="CB242" i="1"/>
  <c r="CA246" i="1"/>
  <c r="CB246" i="1"/>
  <c r="CA250" i="1"/>
  <c r="CB250" i="1"/>
  <c r="CA254" i="1"/>
  <c r="CB254" i="1"/>
  <c r="CA258" i="1"/>
  <c r="CB258" i="1"/>
  <c r="CA262" i="1"/>
  <c r="CB262" i="1"/>
  <c r="CA266" i="1"/>
  <c r="CB266" i="1"/>
  <c r="CA270" i="1"/>
  <c r="CB270" i="1"/>
  <c r="CA274" i="1"/>
  <c r="CB274" i="1"/>
  <c r="CA278" i="1"/>
  <c r="CB278" i="1"/>
  <c r="CA282" i="1"/>
  <c r="CB282" i="1"/>
  <c r="CA286" i="1"/>
  <c r="CB286" i="1"/>
  <c r="CA290" i="1"/>
  <c r="CB290" i="1"/>
  <c r="CA294" i="1"/>
  <c r="CB294" i="1"/>
  <c r="CA298" i="1"/>
  <c r="CB298" i="1"/>
  <c r="CA302" i="1"/>
  <c r="CB302" i="1"/>
  <c r="CA306" i="1"/>
  <c r="CB306" i="1"/>
  <c r="CA310" i="1"/>
  <c r="CB310" i="1"/>
  <c r="CA314" i="1"/>
  <c r="CB314" i="1"/>
  <c r="CA318" i="1"/>
  <c r="CB318" i="1"/>
  <c r="CA322" i="1"/>
  <c r="CB322" i="1"/>
  <c r="CA326" i="1"/>
  <c r="CB326" i="1"/>
  <c r="CA330" i="1"/>
  <c r="CB330" i="1"/>
  <c r="CA334" i="1"/>
  <c r="CB334" i="1"/>
  <c r="CA338" i="1"/>
  <c r="CB338" i="1"/>
  <c r="CA342" i="1"/>
  <c r="CB342" i="1"/>
  <c r="CA346" i="1"/>
  <c r="CB346" i="1"/>
  <c r="CA350" i="1"/>
  <c r="CB350" i="1"/>
  <c r="CA354" i="1"/>
  <c r="CB354" i="1"/>
  <c r="CA358" i="1"/>
  <c r="CB358" i="1"/>
  <c r="CA362" i="1"/>
  <c r="CB362" i="1"/>
  <c r="CA366" i="1"/>
  <c r="CB366" i="1"/>
  <c r="CA370" i="1"/>
  <c r="CB370" i="1"/>
  <c r="CA374" i="1"/>
  <c r="CB374" i="1"/>
  <c r="CA378" i="1"/>
  <c r="CB378" i="1"/>
  <c r="CA382" i="1"/>
  <c r="CB382" i="1"/>
  <c r="CA386" i="1"/>
  <c r="CB386" i="1"/>
  <c r="CA390" i="1"/>
  <c r="CB390" i="1"/>
  <c r="CA394" i="1"/>
  <c r="CB394" i="1"/>
  <c r="CA398" i="1"/>
  <c r="CB398" i="1"/>
  <c r="CA402" i="1"/>
  <c r="CB402" i="1"/>
  <c r="CA406" i="1"/>
  <c r="CB406" i="1"/>
  <c r="CA410" i="1"/>
  <c r="CB410" i="1"/>
  <c r="CA414" i="1"/>
  <c r="CB414" i="1"/>
  <c r="CA418" i="1"/>
  <c r="CB418" i="1"/>
  <c r="CA422" i="1"/>
  <c r="CB422" i="1"/>
  <c r="CA426" i="1"/>
  <c r="CB426" i="1"/>
  <c r="CA430" i="1"/>
  <c r="CB430" i="1"/>
  <c r="CA434" i="1"/>
  <c r="CB434" i="1"/>
  <c r="CA438" i="1"/>
  <c r="CB438" i="1"/>
  <c r="CA442" i="1"/>
  <c r="CB442" i="1"/>
  <c r="CA446" i="1"/>
  <c r="CB446" i="1"/>
  <c r="CA450" i="1"/>
  <c r="CB450" i="1"/>
  <c r="CA454" i="1"/>
  <c r="CB454" i="1"/>
  <c r="CA458" i="1"/>
  <c r="CB458" i="1"/>
  <c r="CA462" i="1"/>
  <c r="CB462" i="1"/>
  <c r="CA466" i="1"/>
  <c r="CB466" i="1"/>
  <c r="CA470" i="1"/>
  <c r="CB470" i="1"/>
  <c r="CA474" i="1"/>
  <c r="CB474" i="1"/>
  <c r="CA478" i="1"/>
  <c r="CB478" i="1"/>
  <c r="CA482" i="1"/>
  <c r="CB482" i="1"/>
  <c r="CA486" i="1"/>
  <c r="CB486" i="1"/>
  <c r="CA490" i="1"/>
  <c r="CB490" i="1"/>
  <c r="CA494" i="1"/>
  <c r="CB494" i="1"/>
  <c r="CA498" i="1"/>
  <c r="CB498" i="1"/>
  <c r="CA502" i="1"/>
  <c r="CB502" i="1"/>
  <c r="CA506" i="1"/>
  <c r="CB506" i="1"/>
  <c r="CA510" i="1"/>
  <c r="CB510" i="1"/>
  <c r="CA514" i="1"/>
  <c r="CB514" i="1"/>
  <c r="CA518" i="1"/>
  <c r="CB518" i="1"/>
  <c r="CA522" i="1"/>
  <c r="CB522" i="1"/>
  <c r="CA526" i="1"/>
  <c r="CB526" i="1"/>
  <c r="CA530" i="1"/>
  <c r="CB530" i="1"/>
  <c r="CA534" i="1"/>
  <c r="CB534" i="1"/>
  <c r="CA538" i="1"/>
  <c r="CB538" i="1"/>
  <c r="CA542" i="1"/>
  <c r="CB542" i="1"/>
  <c r="CA546" i="1"/>
  <c r="CB546" i="1"/>
  <c r="CA550" i="1"/>
  <c r="CB550" i="1"/>
  <c r="CA554" i="1"/>
  <c r="CB554" i="1"/>
  <c r="CA558" i="1"/>
  <c r="CB558" i="1"/>
  <c r="CA562" i="1"/>
  <c r="CB562" i="1"/>
  <c r="CA566" i="1"/>
  <c r="CB566" i="1"/>
  <c r="CA570" i="1"/>
  <c r="CB570" i="1"/>
  <c r="CA574" i="1"/>
  <c r="CB574" i="1"/>
  <c r="CA578" i="1"/>
  <c r="CB578" i="1"/>
  <c r="CA582" i="1"/>
  <c r="CB582" i="1"/>
  <c r="CA586" i="1"/>
  <c r="CB586" i="1"/>
  <c r="CA590" i="1"/>
  <c r="CB590" i="1"/>
  <c r="CA594" i="1"/>
  <c r="CB594" i="1"/>
  <c r="CA598" i="1"/>
  <c r="CB598" i="1"/>
  <c r="CA602" i="1"/>
  <c r="CB602" i="1"/>
  <c r="CA606" i="1"/>
  <c r="CB606" i="1"/>
  <c r="CA610" i="1"/>
  <c r="CB610" i="1"/>
  <c r="CA614" i="1"/>
  <c r="CB614" i="1"/>
  <c r="CA618" i="1"/>
  <c r="CB618" i="1"/>
  <c r="CA622" i="1"/>
  <c r="CB622" i="1"/>
  <c r="CA626" i="1"/>
  <c r="CB626" i="1"/>
  <c r="CA630" i="1"/>
  <c r="CB630" i="1"/>
  <c r="CA634" i="1"/>
  <c r="CB634" i="1"/>
  <c r="CA638" i="1"/>
  <c r="CB638" i="1"/>
  <c r="CA642" i="1"/>
  <c r="CB642" i="1"/>
  <c r="CA646" i="1"/>
  <c r="CB646" i="1"/>
  <c r="CA650" i="1"/>
  <c r="CB650" i="1"/>
  <c r="CA654" i="1"/>
  <c r="CB654" i="1"/>
  <c r="CA658" i="1"/>
  <c r="CB658" i="1"/>
  <c r="CA662" i="1"/>
  <c r="CB662" i="1"/>
  <c r="CA666" i="1"/>
  <c r="CB666" i="1"/>
  <c r="CA670" i="1"/>
  <c r="CB670" i="1"/>
  <c r="CA674" i="1"/>
  <c r="CB674" i="1"/>
  <c r="CA678" i="1"/>
  <c r="CB678" i="1"/>
  <c r="CA682" i="1"/>
  <c r="CB682" i="1"/>
  <c r="CA686" i="1"/>
  <c r="CB686" i="1"/>
  <c r="CA690" i="1"/>
  <c r="CB690" i="1"/>
  <c r="CA694" i="1"/>
  <c r="CB694" i="1"/>
  <c r="CA698" i="1"/>
  <c r="CB698" i="1"/>
  <c r="CA702" i="1"/>
  <c r="CB702" i="1"/>
  <c r="CA706" i="1"/>
  <c r="CB706" i="1"/>
  <c r="CA710" i="1"/>
  <c r="CB710" i="1"/>
  <c r="CA714" i="1"/>
  <c r="CB714" i="1"/>
  <c r="CA718" i="1"/>
  <c r="CB718" i="1"/>
  <c r="CA722" i="1"/>
  <c r="CB722" i="1"/>
  <c r="CA726" i="1"/>
  <c r="CB726" i="1"/>
  <c r="CB730" i="1"/>
  <c r="CA730" i="1"/>
  <c r="CB734" i="1"/>
  <c r="CA734" i="1"/>
  <c r="CB738" i="1"/>
  <c r="CA738" i="1"/>
  <c r="CB742" i="1"/>
  <c r="CA742" i="1"/>
  <c r="CB746" i="1"/>
  <c r="CA746" i="1"/>
  <c r="CB750" i="1"/>
  <c r="CA750" i="1"/>
  <c r="CB754" i="1"/>
  <c r="CA754" i="1"/>
  <c r="CB758" i="1"/>
  <c r="CA758" i="1"/>
  <c r="CB762" i="1"/>
  <c r="CA762" i="1"/>
  <c r="CB766" i="1"/>
  <c r="CA766" i="1"/>
  <c r="CB770" i="1"/>
  <c r="CA770" i="1"/>
  <c r="CB774" i="1"/>
  <c r="CA774" i="1"/>
  <c r="CB778" i="1"/>
  <c r="CA778" i="1"/>
  <c r="CB782" i="1"/>
  <c r="CA782" i="1"/>
  <c r="CB786" i="1"/>
  <c r="CA786" i="1"/>
  <c r="CB790" i="1"/>
  <c r="CA790" i="1"/>
  <c r="CB794" i="1"/>
  <c r="CA794" i="1"/>
  <c r="CB798" i="1"/>
  <c r="CA798" i="1"/>
  <c r="CB802" i="1"/>
  <c r="CA802" i="1"/>
  <c r="CB806" i="1"/>
  <c r="CA806" i="1"/>
  <c r="CB810" i="1"/>
  <c r="CA810" i="1"/>
  <c r="CB814" i="1"/>
  <c r="CA814" i="1"/>
  <c r="CB818" i="1"/>
  <c r="CA818" i="1"/>
  <c r="CB822" i="1"/>
  <c r="CA822" i="1"/>
  <c r="CB826" i="1"/>
  <c r="CA826" i="1"/>
  <c r="CB830" i="1"/>
  <c r="CA830" i="1"/>
  <c r="CB834" i="1"/>
  <c r="CA834" i="1"/>
  <c r="CB838" i="1"/>
  <c r="CA838" i="1"/>
  <c r="CB842" i="1"/>
  <c r="CA842" i="1"/>
  <c r="CB846" i="1"/>
  <c r="CA846" i="1"/>
  <c r="CB850" i="1"/>
  <c r="CA850" i="1"/>
  <c r="CB854" i="1"/>
  <c r="CA854" i="1"/>
  <c r="CB858" i="1"/>
  <c r="CA858" i="1"/>
  <c r="CB862" i="1"/>
  <c r="CA862" i="1"/>
  <c r="CB866" i="1"/>
  <c r="CA866" i="1"/>
  <c r="CB870" i="1"/>
  <c r="CA870" i="1"/>
  <c r="CB874" i="1"/>
  <c r="CA874" i="1"/>
  <c r="CB878" i="1"/>
  <c r="CA878" i="1"/>
  <c r="CB882" i="1"/>
  <c r="CA882" i="1"/>
  <c r="CB886" i="1"/>
  <c r="CA886" i="1"/>
  <c r="CB890" i="1"/>
  <c r="CA890" i="1"/>
  <c r="CB894" i="1"/>
  <c r="CA894" i="1"/>
  <c r="CB898" i="1"/>
  <c r="CA898" i="1"/>
  <c r="CB902" i="1"/>
  <c r="CA902" i="1"/>
  <c r="CA25" i="1"/>
  <c r="CB25" i="1"/>
  <c r="CA37" i="1"/>
  <c r="CB37" i="1"/>
  <c r="CA53" i="1"/>
  <c r="CB53" i="1"/>
  <c r="CA65" i="1"/>
  <c r="CB65" i="1"/>
  <c r="CA77" i="1"/>
  <c r="CB77" i="1"/>
  <c r="CA93" i="1"/>
  <c r="CB93" i="1"/>
  <c r="CA105" i="1"/>
  <c r="CB105" i="1"/>
  <c r="CA117" i="1"/>
  <c r="CB117" i="1"/>
  <c r="CA129" i="1"/>
  <c r="CB129" i="1"/>
  <c r="CA141" i="1"/>
  <c r="CB141" i="1"/>
  <c r="CA153" i="1"/>
  <c r="CB153" i="1"/>
  <c r="CA165" i="1"/>
  <c r="CB165" i="1"/>
  <c r="CB181" i="1"/>
  <c r="CA181" i="1"/>
  <c r="CB193" i="1"/>
  <c r="CA193" i="1"/>
  <c r="CB209" i="1"/>
  <c r="CA209" i="1"/>
  <c r="CB221" i="1"/>
  <c r="CA221" i="1"/>
  <c r="CB233" i="1"/>
  <c r="CA233" i="1"/>
  <c r="CB241" i="1"/>
  <c r="CA241" i="1"/>
  <c r="CB253" i="1"/>
  <c r="CA253" i="1"/>
  <c r="CB265" i="1"/>
  <c r="CA265" i="1"/>
  <c r="CB277" i="1"/>
  <c r="CA277" i="1"/>
  <c r="CB293" i="1"/>
  <c r="CA293" i="1"/>
  <c r="CB309" i="1"/>
  <c r="CA309" i="1"/>
  <c r="CB325" i="1"/>
  <c r="CA325" i="1"/>
  <c r="CB337" i="1"/>
  <c r="CA337" i="1"/>
  <c r="CB353" i="1"/>
  <c r="CA353" i="1"/>
  <c r="CB365" i="1"/>
  <c r="CA365" i="1"/>
  <c r="CB377" i="1"/>
  <c r="CA377" i="1"/>
  <c r="CB393" i="1"/>
  <c r="CA393" i="1"/>
  <c r="CB409" i="1"/>
  <c r="CA409" i="1"/>
  <c r="CB421" i="1"/>
  <c r="CA421" i="1"/>
  <c r="CB433" i="1"/>
  <c r="CA433" i="1"/>
  <c r="CB445" i="1"/>
  <c r="CA445" i="1"/>
  <c r="CB457" i="1"/>
  <c r="CA457" i="1"/>
  <c r="CB469" i="1"/>
  <c r="CA469" i="1"/>
  <c r="CB485" i="1"/>
  <c r="CA485" i="1"/>
  <c r="CB497" i="1"/>
  <c r="CA497" i="1"/>
  <c r="CB509" i="1"/>
  <c r="CA509" i="1"/>
  <c r="CB521" i="1"/>
  <c r="CA521" i="1"/>
  <c r="CB537" i="1"/>
  <c r="CA537" i="1"/>
  <c r="CB549" i="1"/>
  <c r="CA549" i="1"/>
  <c r="CB561" i="1"/>
  <c r="CA561" i="1"/>
  <c r="CB577" i="1"/>
  <c r="CA577" i="1"/>
  <c r="CB589" i="1"/>
  <c r="CA589" i="1"/>
  <c r="CB605" i="1"/>
  <c r="CA605" i="1"/>
  <c r="CB617" i="1"/>
  <c r="CA617" i="1"/>
  <c r="CB629" i="1"/>
  <c r="CA629" i="1"/>
  <c r="CB641" i="1"/>
  <c r="CA641" i="1"/>
  <c r="CB657" i="1"/>
  <c r="CA657" i="1"/>
  <c r="CB669" i="1"/>
  <c r="CA669" i="1"/>
  <c r="CB685" i="1"/>
  <c r="CA685" i="1"/>
  <c r="CB697" i="1"/>
  <c r="CA697" i="1"/>
  <c r="CB709" i="1"/>
  <c r="CA709" i="1"/>
  <c r="CB721" i="1"/>
  <c r="CA721" i="1"/>
  <c r="CA737" i="1"/>
  <c r="CB737" i="1"/>
  <c r="CA749" i="1"/>
  <c r="CB749" i="1"/>
  <c r="CA761" i="1"/>
  <c r="CB761" i="1"/>
  <c r="CA777" i="1"/>
  <c r="CB777" i="1"/>
  <c r="CA789" i="1"/>
  <c r="CB789" i="1"/>
  <c r="CA805" i="1"/>
  <c r="CB805" i="1"/>
  <c r="CA817" i="1"/>
  <c r="CB817" i="1"/>
  <c r="CA833" i="1"/>
  <c r="CB833" i="1"/>
  <c r="CA845" i="1"/>
  <c r="CB845" i="1"/>
  <c r="CA857" i="1"/>
  <c r="CB857" i="1"/>
  <c r="CA869" i="1"/>
  <c r="CB869" i="1"/>
  <c r="CA885" i="1"/>
  <c r="CB885" i="1"/>
  <c r="CA897" i="1"/>
  <c r="CB897" i="1"/>
  <c r="CA19" i="1"/>
  <c r="CB19" i="1"/>
  <c r="CA23" i="1"/>
  <c r="CB23" i="1"/>
  <c r="CA27" i="1"/>
  <c r="CB27" i="1"/>
  <c r="CA31" i="1"/>
  <c r="CB31" i="1"/>
  <c r="CA35" i="1"/>
  <c r="CB35" i="1"/>
  <c r="CA39" i="1"/>
  <c r="CB39" i="1"/>
  <c r="CA43" i="1"/>
  <c r="CB43" i="1"/>
  <c r="CA47" i="1"/>
  <c r="CB47" i="1"/>
  <c r="CA51" i="1"/>
  <c r="CB51" i="1"/>
  <c r="CA55" i="1"/>
  <c r="CB55" i="1"/>
  <c r="CA59" i="1"/>
  <c r="CB59" i="1"/>
  <c r="CA63" i="1"/>
  <c r="CB63" i="1"/>
  <c r="CA67" i="1"/>
  <c r="CB67" i="1"/>
  <c r="CA71" i="1"/>
  <c r="CB71" i="1"/>
  <c r="CA75" i="1"/>
  <c r="CB75" i="1"/>
  <c r="CA79" i="1"/>
  <c r="CB79" i="1"/>
  <c r="CA83" i="1"/>
  <c r="CB83" i="1"/>
  <c r="CA87" i="1"/>
  <c r="CB87" i="1"/>
  <c r="CA91" i="1"/>
  <c r="CB91" i="1"/>
  <c r="CA95" i="1"/>
  <c r="CB95" i="1"/>
  <c r="CA99" i="1"/>
  <c r="CB99" i="1"/>
  <c r="CA103" i="1"/>
  <c r="CB103" i="1"/>
  <c r="CA107" i="1"/>
  <c r="CB107" i="1"/>
  <c r="CA111" i="1"/>
  <c r="CB111" i="1"/>
  <c r="CA115" i="1"/>
  <c r="CB115" i="1"/>
  <c r="CA119" i="1"/>
  <c r="CB119" i="1"/>
  <c r="CA123" i="1"/>
  <c r="CB123" i="1"/>
  <c r="CA127" i="1"/>
  <c r="CB127" i="1"/>
  <c r="CA131" i="1"/>
  <c r="CB131" i="1"/>
  <c r="CA135" i="1"/>
  <c r="CB135" i="1"/>
  <c r="CA139" i="1"/>
  <c r="CB139" i="1"/>
  <c r="CA143" i="1"/>
  <c r="CB143" i="1"/>
  <c r="CA147" i="1"/>
  <c r="CB147" i="1"/>
  <c r="CA151" i="1"/>
  <c r="CB151" i="1"/>
  <c r="CA155" i="1"/>
  <c r="CB155" i="1"/>
  <c r="CA159" i="1"/>
  <c r="CB159" i="1"/>
  <c r="CA163" i="1"/>
  <c r="CB163" i="1"/>
  <c r="CA167" i="1"/>
  <c r="CB167" i="1"/>
  <c r="CA171" i="1"/>
  <c r="CB171" i="1"/>
  <c r="CB175" i="1"/>
  <c r="CA175" i="1"/>
  <c r="CB179" i="1"/>
  <c r="CA179" i="1"/>
  <c r="CB183" i="1"/>
  <c r="CA183" i="1"/>
  <c r="CB187" i="1"/>
  <c r="CA187" i="1"/>
  <c r="CB191" i="1"/>
  <c r="CA191" i="1"/>
  <c r="CB195" i="1"/>
  <c r="CA195" i="1"/>
  <c r="CB199" i="1"/>
  <c r="CA199" i="1"/>
  <c r="CB203" i="1"/>
  <c r="CA203" i="1"/>
  <c r="CB207" i="1"/>
  <c r="CA207" i="1"/>
  <c r="CB211" i="1"/>
  <c r="CA211" i="1"/>
  <c r="CB215" i="1"/>
  <c r="CA215" i="1"/>
  <c r="CB219" i="1"/>
  <c r="CA219" i="1"/>
  <c r="CB223" i="1"/>
  <c r="CA223" i="1"/>
  <c r="CB227" i="1"/>
  <c r="CA227" i="1"/>
  <c r="CB231" i="1"/>
  <c r="CA231" i="1"/>
  <c r="CB235" i="1"/>
  <c r="CA235" i="1"/>
  <c r="CB239" i="1"/>
  <c r="CA239" i="1"/>
  <c r="CB243" i="1"/>
  <c r="CA243" i="1"/>
  <c r="CB247" i="1"/>
  <c r="CA247" i="1"/>
  <c r="CB251" i="1"/>
  <c r="CA251" i="1"/>
  <c r="CB255" i="1"/>
  <c r="CA255" i="1"/>
  <c r="CB259" i="1"/>
  <c r="CA259" i="1"/>
  <c r="CB263" i="1"/>
  <c r="CA263" i="1"/>
  <c r="CB267" i="1"/>
  <c r="CA267" i="1"/>
  <c r="CB271" i="1"/>
  <c r="CA271" i="1"/>
  <c r="CB275" i="1"/>
  <c r="CA275" i="1"/>
  <c r="CB279" i="1"/>
  <c r="CA279" i="1"/>
  <c r="CB283" i="1"/>
  <c r="CA283" i="1"/>
  <c r="CB287" i="1"/>
  <c r="CA287" i="1"/>
  <c r="CB291" i="1"/>
  <c r="CA291" i="1"/>
  <c r="CB295" i="1"/>
  <c r="CA295" i="1"/>
  <c r="CB299" i="1"/>
  <c r="CA299" i="1"/>
  <c r="CB303" i="1"/>
  <c r="CA303" i="1"/>
  <c r="CB307" i="1"/>
  <c r="CA307" i="1"/>
  <c r="CB311" i="1"/>
  <c r="CA311" i="1"/>
  <c r="CB315" i="1"/>
  <c r="CA315" i="1"/>
  <c r="CB319" i="1"/>
  <c r="CA319" i="1"/>
  <c r="CB323" i="1"/>
  <c r="CA323" i="1"/>
  <c r="CB327" i="1"/>
  <c r="CA327" i="1"/>
  <c r="CB331" i="1"/>
  <c r="CA331" i="1"/>
  <c r="CB335" i="1"/>
  <c r="CA335" i="1"/>
  <c r="CB339" i="1"/>
  <c r="CA339" i="1"/>
  <c r="CB343" i="1"/>
  <c r="CA343" i="1"/>
  <c r="CB347" i="1"/>
  <c r="CA347" i="1"/>
  <c r="CB351" i="1"/>
  <c r="CA351" i="1"/>
  <c r="CB355" i="1"/>
  <c r="CA355" i="1"/>
  <c r="CB359" i="1"/>
  <c r="CA359" i="1"/>
  <c r="CB363" i="1"/>
  <c r="CA363" i="1"/>
  <c r="CB367" i="1"/>
  <c r="CA367" i="1"/>
  <c r="CB371" i="1"/>
  <c r="CA371" i="1"/>
  <c r="CB375" i="1"/>
  <c r="CA375" i="1"/>
  <c r="CB379" i="1"/>
  <c r="CA379" i="1"/>
  <c r="CB383" i="1"/>
  <c r="CA383" i="1"/>
  <c r="CB387" i="1"/>
  <c r="CA387" i="1"/>
  <c r="CB391" i="1"/>
  <c r="CA391" i="1"/>
  <c r="CB395" i="1"/>
  <c r="CA395" i="1"/>
  <c r="CB399" i="1"/>
  <c r="CA399" i="1"/>
  <c r="CB403" i="1"/>
  <c r="CA403" i="1"/>
  <c r="CB407" i="1"/>
  <c r="CA407" i="1"/>
  <c r="CB411" i="1"/>
  <c r="CA411" i="1"/>
  <c r="CB415" i="1"/>
  <c r="CA415" i="1"/>
  <c r="CB419" i="1"/>
  <c r="CA419" i="1"/>
  <c r="CB423" i="1"/>
  <c r="CA423" i="1"/>
  <c r="CB427" i="1"/>
  <c r="CA427" i="1"/>
  <c r="CB431" i="1"/>
  <c r="CA431" i="1"/>
  <c r="CB435" i="1"/>
  <c r="CA435" i="1"/>
  <c r="CB439" i="1"/>
  <c r="CA439" i="1"/>
  <c r="CB443" i="1"/>
  <c r="CA443" i="1"/>
  <c r="CB447" i="1"/>
  <c r="CA447" i="1"/>
  <c r="CB451" i="1"/>
  <c r="CA451" i="1"/>
  <c r="CB455" i="1"/>
  <c r="CA455" i="1"/>
  <c r="CB459" i="1"/>
  <c r="CA459" i="1"/>
  <c r="CB463" i="1"/>
  <c r="CA463" i="1"/>
  <c r="CB467" i="1"/>
  <c r="CA467" i="1"/>
  <c r="CB471" i="1"/>
  <c r="CA471" i="1"/>
  <c r="CB475" i="1"/>
  <c r="CA475" i="1"/>
  <c r="CB479" i="1"/>
  <c r="CA479" i="1"/>
  <c r="CB483" i="1"/>
  <c r="CA483" i="1"/>
  <c r="CB487" i="1"/>
  <c r="CA487" i="1"/>
  <c r="CB491" i="1"/>
  <c r="CA491" i="1"/>
  <c r="CB495" i="1"/>
  <c r="CA495" i="1"/>
  <c r="CB499" i="1"/>
  <c r="CA499" i="1"/>
  <c r="CB503" i="1"/>
  <c r="CA503" i="1"/>
  <c r="CB507" i="1"/>
  <c r="CA507" i="1"/>
  <c r="CB511" i="1"/>
  <c r="CA511" i="1"/>
  <c r="CB515" i="1"/>
  <c r="CA515" i="1"/>
  <c r="CB519" i="1"/>
  <c r="CA519" i="1"/>
  <c r="CB523" i="1"/>
  <c r="CA523" i="1"/>
  <c r="CB527" i="1"/>
  <c r="CA527" i="1"/>
  <c r="CB531" i="1"/>
  <c r="CA531" i="1"/>
  <c r="CB535" i="1"/>
  <c r="CA535" i="1"/>
  <c r="CB539" i="1"/>
  <c r="CA539" i="1"/>
  <c r="CB543" i="1"/>
  <c r="CA543" i="1"/>
  <c r="CB547" i="1"/>
  <c r="CA547" i="1"/>
  <c r="CB551" i="1"/>
  <c r="CA551" i="1"/>
  <c r="CB555" i="1"/>
  <c r="CA555" i="1"/>
  <c r="CB559" i="1"/>
  <c r="CA559" i="1"/>
  <c r="CB563" i="1"/>
  <c r="CA563" i="1"/>
  <c r="CB567" i="1"/>
  <c r="CA567" i="1"/>
  <c r="CB571" i="1"/>
  <c r="CA571" i="1"/>
  <c r="CB575" i="1"/>
  <c r="CA575" i="1"/>
  <c r="CB579" i="1"/>
  <c r="CA579" i="1"/>
  <c r="CB583" i="1"/>
  <c r="CA583" i="1"/>
  <c r="CB587" i="1"/>
  <c r="CA587" i="1"/>
  <c r="CB591" i="1"/>
  <c r="CA591" i="1"/>
  <c r="CB595" i="1"/>
  <c r="CA595" i="1"/>
  <c r="CB599" i="1"/>
  <c r="CA599" i="1"/>
  <c r="CB603" i="1"/>
  <c r="CA603" i="1"/>
  <c r="CB607" i="1"/>
  <c r="CA607" i="1"/>
  <c r="CB611" i="1"/>
  <c r="CA611" i="1"/>
  <c r="CB615" i="1"/>
  <c r="CA615" i="1"/>
  <c r="CB619" i="1"/>
  <c r="CA619" i="1"/>
  <c r="CB623" i="1"/>
  <c r="CA623" i="1"/>
  <c r="CB627" i="1"/>
  <c r="CA627" i="1"/>
  <c r="CB631" i="1"/>
  <c r="CA631" i="1"/>
  <c r="CB635" i="1"/>
  <c r="CA635" i="1"/>
  <c r="CB639" i="1"/>
  <c r="CA639" i="1"/>
  <c r="CB643" i="1"/>
  <c r="CA643" i="1"/>
  <c r="CB647" i="1"/>
  <c r="CA647" i="1"/>
  <c r="CB651" i="1"/>
  <c r="CA651" i="1"/>
  <c r="CB655" i="1"/>
  <c r="CA655" i="1"/>
  <c r="CB659" i="1"/>
  <c r="CA659" i="1"/>
  <c r="CB663" i="1"/>
  <c r="CA663" i="1"/>
  <c r="CB667" i="1"/>
  <c r="CA667" i="1"/>
  <c r="CB671" i="1"/>
  <c r="CA671" i="1"/>
  <c r="CB675" i="1"/>
  <c r="CA675" i="1"/>
  <c r="CB679" i="1"/>
  <c r="CA679" i="1"/>
  <c r="CB683" i="1"/>
  <c r="CA683" i="1"/>
  <c r="CB687" i="1"/>
  <c r="CA687" i="1"/>
  <c r="CB691" i="1"/>
  <c r="CA691" i="1"/>
  <c r="CB695" i="1"/>
  <c r="CA695" i="1"/>
  <c r="CB699" i="1"/>
  <c r="CA699" i="1"/>
  <c r="CB703" i="1"/>
  <c r="CA703" i="1"/>
  <c r="CB707" i="1"/>
  <c r="CA707" i="1"/>
  <c r="CB711" i="1"/>
  <c r="CA711" i="1"/>
  <c r="CB715" i="1"/>
  <c r="CA715" i="1"/>
  <c r="CB719" i="1"/>
  <c r="CA719" i="1"/>
  <c r="CB723" i="1"/>
  <c r="CA723" i="1"/>
  <c r="CA727" i="1"/>
  <c r="CB727" i="1"/>
  <c r="CA731" i="1"/>
  <c r="CB731" i="1"/>
  <c r="CA735" i="1"/>
  <c r="CB735" i="1"/>
  <c r="CA739" i="1"/>
  <c r="CB739" i="1"/>
  <c r="CA743" i="1"/>
  <c r="CB743" i="1"/>
  <c r="CA747" i="1"/>
  <c r="CB747" i="1"/>
  <c r="CA751" i="1"/>
  <c r="CB751" i="1"/>
  <c r="CA755" i="1"/>
  <c r="CB755" i="1"/>
  <c r="CA759" i="1"/>
  <c r="CB759" i="1"/>
  <c r="CA763" i="1"/>
  <c r="CB763" i="1"/>
  <c r="CA767" i="1"/>
  <c r="CB767" i="1"/>
  <c r="CA771" i="1"/>
  <c r="CB771" i="1"/>
  <c r="CA775" i="1"/>
  <c r="CB775" i="1"/>
  <c r="CA779" i="1"/>
  <c r="CB779" i="1"/>
  <c r="CA783" i="1"/>
  <c r="CB783" i="1"/>
  <c r="CA787" i="1"/>
  <c r="CB787" i="1"/>
  <c r="CA791" i="1"/>
  <c r="CB791" i="1"/>
  <c r="CA795" i="1"/>
  <c r="CB795" i="1"/>
  <c r="CA799" i="1"/>
  <c r="CB799" i="1"/>
  <c r="CA803" i="1"/>
  <c r="CB803" i="1"/>
  <c r="CA807" i="1"/>
  <c r="CB807" i="1"/>
  <c r="CA811" i="1"/>
  <c r="CB811" i="1"/>
  <c r="CA815" i="1"/>
  <c r="CB815" i="1"/>
  <c r="CA819" i="1"/>
  <c r="CB819" i="1"/>
  <c r="CA823" i="1"/>
  <c r="CB823" i="1"/>
  <c r="CA827" i="1"/>
  <c r="CB827" i="1"/>
  <c r="CA831" i="1"/>
  <c r="CB831" i="1"/>
  <c r="CA835" i="1"/>
  <c r="CB835" i="1"/>
  <c r="CA839" i="1"/>
  <c r="CB839" i="1"/>
  <c r="CA843" i="1"/>
  <c r="CB843" i="1"/>
  <c r="CA847" i="1"/>
  <c r="CB847" i="1"/>
  <c r="CA851" i="1"/>
  <c r="CB851" i="1"/>
  <c r="CA855" i="1"/>
  <c r="CB855" i="1"/>
  <c r="CA859" i="1"/>
  <c r="CB859" i="1"/>
  <c r="CA863" i="1"/>
  <c r="CB863" i="1"/>
  <c r="CA867" i="1"/>
  <c r="CB867" i="1"/>
  <c r="CA871" i="1"/>
  <c r="CB871" i="1"/>
  <c r="CA875" i="1"/>
  <c r="CB875" i="1"/>
  <c r="CA879" i="1"/>
  <c r="CB879" i="1"/>
  <c r="CA883" i="1"/>
  <c r="CB883" i="1"/>
  <c r="CA887" i="1"/>
  <c r="CB887" i="1"/>
  <c r="CA891" i="1"/>
  <c r="CB891" i="1"/>
  <c r="CA895" i="1"/>
  <c r="CB895" i="1"/>
  <c r="CA899" i="1"/>
  <c r="CB899" i="1"/>
  <c r="CA903" i="1"/>
  <c r="CB903" i="1"/>
  <c r="CA21" i="1"/>
  <c r="CB21" i="1"/>
  <c r="CA33" i="1"/>
  <c r="CB33" i="1"/>
  <c r="CA45" i="1"/>
  <c r="CB45" i="1"/>
  <c r="CA49" i="1"/>
  <c r="CB49" i="1"/>
  <c r="CA61" i="1"/>
  <c r="CB61" i="1"/>
  <c r="CA73" i="1"/>
  <c r="CB73" i="1"/>
  <c r="CA81" i="1"/>
  <c r="CB81" i="1"/>
  <c r="CA89" i="1"/>
  <c r="CB89" i="1"/>
  <c r="CA101" i="1"/>
  <c r="CB101" i="1"/>
  <c r="CA113" i="1"/>
  <c r="CB113" i="1"/>
  <c r="CA125" i="1"/>
  <c r="CB125" i="1"/>
  <c r="CA133" i="1"/>
  <c r="CB133" i="1"/>
  <c r="CA145" i="1"/>
  <c r="CB145" i="1"/>
  <c r="CA157" i="1"/>
  <c r="CB157" i="1"/>
  <c r="CA169" i="1"/>
  <c r="CB169" i="1"/>
  <c r="CB177" i="1"/>
  <c r="CA177" i="1"/>
  <c r="CB189" i="1"/>
  <c r="CA189" i="1"/>
  <c r="CB197" i="1"/>
  <c r="CA197" i="1"/>
  <c r="CB205" i="1"/>
  <c r="CA205" i="1"/>
  <c r="CB213" i="1"/>
  <c r="CA213" i="1"/>
  <c r="CB225" i="1"/>
  <c r="CA225" i="1"/>
  <c r="CB237" i="1"/>
  <c r="CA237" i="1"/>
  <c r="CB249" i="1"/>
  <c r="CA249" i="1"/>
  <c r="CB261" i="1"/>
  <c r="CA261" i="1"/>
  <c r="CB269" i="1"/>
  <c r="CA269" i="1"/>
  <c r="CB281" i="1"/>
  <c r="CA281" i="1"/>
  <c r="CB289" i="1"/>
  <c r="CA289" i="1"/>
  <c r="CB301" i="1"/>
  <c r="CA301" i="1"/>
  <c r="CB313" i="1"/>
  <c r="CA313" i="1"/>
  <c r="CB321" i="1"/>
  <c r="CA321" i="1"/>
  <c r="CB329" i="1"/>
  <c r="CA329" i="1"/>
  <c r="CB341" i="1"/>
  <c r="CA341" i="1"/>
  <c r="CB349" i="1"/>
  <c r="CA349" i="1"/>
  <c r="CB361" i="1"/>
  <c r="CA361" i="1"/>
  <c r="CB373" i="1"/>
  <c r="CA373" i="1"/>
  <c r="CB381" i="1"/>
  <c r="CA381" i="1"/>
  <c r="CB389" i="1"/>
  <c r="CA389" i="1"/>
  <c r="CB401" i="1"/>
  <c r="CA401" i="1"/>
  <c r="CB413" i="1"/>
  <c r="CA413" i="1"/>
  <c r="CB425" i="1"/>
  <c r="CA425" i="1"/>
  <c r="CB437" i="1"/>
  <c r="CA437" i="1"/>
  <c r="CB449" i="1"/>
  <c r="CA449" i="1"/>
  <c r="CB461" i="1"/>
  <c r="CA461" i="1"/>
  <c r="CB473" i="1"/>
  <c r="CA473" i="1"/>
  <c r="CB481" i="1"/>
  <c r="CA481" i="1"/>
  <c r="CB489" i="1"/>
  <c r="CA489" i="1"/>
  <c r="CB501" i="1"/>
  <c r="CA501" i="1"/>
  <c r="CB513" i="1"/>
  <c r="CA513" i="1"/>
  <c r="CB525" i="1"/>
  <c r="CA525" i="1"/>
  <c r="CB529" i="1"/>
  <c r="CA529" i="1"/>
  <c r="CB541" i="1"/>
  <c r="CA541" i="1"/>
  <c r="CB553" i="1"/>
  <c r="CA553" i="1"/>
  <c r="CB565" i="1"/>
  <c r="CA565" i="1"/>
  <c r="CB573" i="1"/>
  <c r="CA573" i="1"/>
  <c r="CB581" i="1"/>
  <c r="CA581" i="1"/>
  <c r="CB593" i="1"/>
  <c r="CA593" i="1"/>
  <c r="CB601" i="1"/>
  <c r="CA601" i="1"/>
  <c r="CB613" i="1"/>
  <c r="CA613" i="1"/>
  <c r="CB625" i="1"/>
  <c r="CA625" i="1"/>
  <c r="CB637" i="1"/>
  <c r="CA637" i="1"/>
  <c r="CB649" i="1"/>
  <c r="CA649" i="1"/>
  <c r="CB661" i="1"/>
  <c r="CA661" i="1"/>
  <c r="CB673" i="1"/>
  <c r="CA673" i="1"/>
  <c r="CB681" i="1"/>
  <c r="CA681" i="1"/>
  <c r="CB689" i="1"/>
  <c r="CA689" i="1"/>
  <c r="CB701" i="1"/>
  <c r="CA701" i="1"/>
  <c r="CB713" i="1"/>
  <c r="CA713" i="1"/>
  <c r="CB725" i="1"/>
  <c r="CA725" i="1"/>
  <c r="CA733" i="1"/>
  <c r="CB733" i="1"/>
  <c r="CA745" i="1"/>
  <c r="CB745" i="1"/>
  <c r="CA753" i="1"/>
  <c r="CB753" i="1"/>
  <c r="CA765" i="1"/>
  <c r="CB765" i="1"/>
  <c r="CA773" i="1"/>
  <c r="CB773" i="1"/>
  <c r="CA785" i="1"/>
  <c r="CB785" i="1"/>
  <c r="CA797" i="1"/>
  <c r="CB797" i="1"/>
  <c r="CA809" i="1"/>
  <c r="CB809" i="1"/>
  <c r="CA821" i="1"/>
  <c r="CB821" i="1"/>
  <c r="CA825" i="1"/>
  <c r="CB825" i="1"/>
  <c r="CA837" i="1"/>
  <c r="CB837" i="1"/>
  <c r="CA849" i="1"/>
  <c r="CB849" i="1"/>
  <c r="CA861" i="1"/>
  <c r="CB861" i="1"/>
  <c r="CA873" i="1"/>
  <c r="CB873" i="1"/>
  <c r="CA881" i="1"/>
  <c r="CB881" i="1"/>
  <c r="CA893" i="1"/>
  <c r="CB893" i="1"/>
  <c r="CA20" i="1"/>
  <c r="CB20" i="1"/>
  <c r="CA24" i="1"/>
  <c r="CB24" i="1"/>
  <c r="CA28" i="1"/>
  <c r="CB28" i="1"/>
  <c r="CA32" i="1"/>
  <c r="CB32" i="1"/>
  <c r="CA36" i="1"/>
  <c r="CB36" i="1"/>
  <c r="CA40" i="1"/>
  <c r="CB40" i="1"/>
  <c r="CA44" i="1"/>
  <c r="CB44" i="1"/>
  <c r="CA48" i="1"/>
  <c r="CB48" i="1"/>
  <c r="CA52" i="1"/>
  <c r="CB52" i="1"/>
  <c r="CA56" i="1"/>
  <c r="CB56" i="1"/>
  <c r="CA60" i="1"/>
  <c r="CB60" i="1"/>
  <c r="CA64" i="1"/>
  <c r="CB64" i="1"/>
  <c r="CA68" i="1"/>
  <c r="CB68" i="1"/>
  <c r="CA72" i="1"/>
  <c r="CB72" i="1"/>
  <c r="CA76" i="1"/>
  <c r="CB76" i="1"/>
  <c r="CA80" i="1"/>
  <c r="CB80" i="1"/>
  <c r="CA84" i="1"/>
  <c r="CB84" i="1"/>
  <c r="CA88" i="1"/>
  <c r="CB88" i="1"/>
  <c r="CA92" i="1"/>
  <c r="CB92" i="1"/>
  <c r="CA96" i="1"/>
  <c r="CB96" i="1"/>
  <c r="CA100" i="1"/>
  <c r="CB100" i="1"/>
  <c r="CA104" i="1"/>
  <c r="CB104" i="1"/>
  <c r="CA108" i="1"/>
  <c r="CB108" i="1"/>
  <c r="CA112" i="1"/>
  <c r="CB112" i="1"/>
  <c r="CA116" i="1"/>
  <c r="CB116" i="1"/>
  <c r="CA120" i="1"/>
  <c r="CB120" i="1"/>
  <c r="CA124" i="1"/>
  <c r="CB124" i="1"/>
  <c r="CA128" i="1"/>
  <c r="CB128" i="1"/>
  <c r="CA132" i="1"/>
  <c r="CB132" i="1"/>
  <c r="CA136" i="1"/>
  <c r="CB136" i="1"/>
  <c r="CA140" i="1"/>
  <c r="CB140" i="1"/>
  <c r="CA144" i="1"/>
  <c r="CB144" i="1"/>
  <c r="CA148" i="1"/>
  <c r="CB148" i="1"/>
  <c r="CA152" i="1"/>
  <c r="CB152" i="1"/>
  <c r="CA156" i="1"/>
  <c r="CB156" i="1"/>
  <c r="CA160" i="1"/>
  <c r="CB160" i="1"/>
  <c r="CA164" i="1"/>
  <c r="CB164" i="1"/>
  <c r="CA168" i="1"/>
  <c r="CB168" i="1"/>
  <c r="CA172" i="1"/>
  <c r="CB172" i="1"/>
  <c r="CA176" i="1"/>
  <c r="CB176" i="1"/>
  <c r="CA180" i="1"/>
  <c r="CB180" i="1"/>
  <c r="CA184" i="1"/>
  <c r="CB184" i="1"/>
  <c r="CA188" i="1"/>
  <c r="CB188" i="1"/>
  <c r="CA192" i="1"/>
  <c r="CB192" i="1"/>
  <c r="CA196" i="1"/>
  <c r="CB196" i="1"/>
  <c r="CA200" i="1"/>
  <c r="CB200" i="1"/>
  <c r="CA204" i="1"/>
  <c r="CB204" i="1"/>
  <c r="CA208" i="1"/>
  <c r="CB208" i="1"/>
  <c r="CA212" i="1"/>
  <c r="CB212" i="1"/>
  <c r="CA216" i="1"/>
  <c r="CB216" i="1"/>
  <c r="CA220" i="1"/>
  <c r="CB220" i="1"/>
  <c r="CA224" i="1"/>
  <c r="CB224" i="1"/>
  <c r="CA228" i="1"/>
  <c r="CB228" i="1"/>
  <c r="CA232" i="1"/>
  <c r="CB232" i="1"/>
  <c r="CA236" i="1"/>
  <c r="CB236" i="1"/>
  <c r="CA240" i="1"/>
  <c r="CB240" i="1"/>
  <c r="CA244" i="1"/>
  <c r="CB244" i="1"/>
  <c r="CA248" i="1"/>
  <c r="CB248" i="1"/>
  <c r="CA252" i="1"/>
  <c r="CB252" i="1"/>
  <c r="CA256" i="1"/>
  <c r="CB256" i="1"/>
  <c r="CA260" i="1"/>
  <c r="CB260" i="1"/>
  <c r="CA264" i="1"/>
  <c r="CB264" i="1"/>
  <c r="CA268" i="1"/>
  <c r="CB268" i="1"/>
  <c r="CA272" i="1"/>
  <c r="CB272" i="1"/>
  <c r="CA276" i="1"/>
  <c r="CB276" i="1"/>
  <c r="CA280" i="1"/>
  <c r="CB280" i="1"/>
  <c r="CA284" i="1"/>
  <c r="CB284" i="1"/>
  <c r="CA288" i="1"/>
  <c r="CB288" i="1"/>
  <c r="CA292" i="1"/>
  <c r="CB292" i="1"/>
  <c r="CA296" i="1"/>
  <c r="CB296" i="1"/>
  <c r="CA300" i="1"/>
  <c r="CB300" i="1"/>
  <c r="CA304" i="1"/>
  <c r="CB304" i="1"/>
  <c r="CA308" i="1"/>
  <c r="CB308" i="1"/>
  <c r="CA312" i="1"/>
  <c r="CB312" i="1"/>
  <c r="CA316" i="1"/>
  <c r="CB316" i="1"/>
  <c r="CA320" i="1"/>
  <c r="CB320" i="1"/>
  <c r="CA324" i="1"/>
  <c r="CB324" i="1"/>
  <c r="CA328" i="1"/>
  <c r="CB328" i="1"/>
  <c r="CA332" i="1"/>
  <c r="CB332" i="1"/>
  <c r="CA336" i="1"/>
  <c r="CB336" i="1"/>
  <c r="CA340" i="1"/>
  <c r="CB340" i="1"/>
  <c r="CA344" i="1"/>
  <c r="CB344" i="1"/>
  <c r="CA348" i="1"/>
  <c r="CB348" i="1"/>
  <c r="CA352" i="1"/>
  <c r="CB352" i="1"/>
  <c r="CA356" i="1"/>
  <c r="CB356" i="1"/>
  <c r="CA360" i="1"/>
  <c r="CB360" i="1"/>
  <c r="CA364" i="1"/>
  <c r="CB364" i="1"/>
  <c r="CA368" i="1"/>
  <c r="CB368" i="1"/>
  <c r="CA372" i="1"/>
  <c r="CB372" i="1"/>
  <c r="CA376" i="1"/>
  <c r="CB376" i="1"/>
  <c r="CA380" i="1"/>
  <c r="CB380" i="1"/>
  <c r="CA384" i="1"/>
  <c r="CB384" i="1"/>
  <c r="CA388" i="1"/>
  <c r="CB388" i="1"/>
  <c r="CA392" i="1"/>
  <c r="CB392" i="1"/>
  <c r="CA396" i="1"/>
  <c r="CB396" i="1"/>
  <c r="CA400" i="1"/>
  <c r="CB400" i="1"/>
  <c r="CA404" i="1"/>
  <c r="CB404" i="1"/>
  <c r="CA408" i="1"/>
  <c r="CB408" i="1"/>
  <c r="CA412" i="1"/>
  <c r="CB412" i="1"/>
  <c r="CA416" i="1"/>
  <c r="CB416" i="1"/>
  <c r="CA420" i="1"/>
  <c r="CB420" i="1"/>
  <c r="CA424" i="1"/>
  <c r="CB424" i="1"/>
  <c r="CA428" i="1"/>
  <c r="CB428" i="1"/>
  <c r="CA432" i="1"/>
  <c r="CB432" i="1"/>
  <c r="CA436" i="1"/>
  <c r="CB436" i="1"/>
  <c r="CA440" i="1"/>
  <c r="CB440" i="1"/>
  <c r="CA444" i="1"/>
  <c r="CB444" i="1"/>
  <c r="CA448" i="1"/>
  <c r="CB448" i="1"/>
  <c r="CA452" i="1"/>
  <c r="CB452" i="1"/>
  <c r="CA456" i="1"/>
  <c r="CB456" i="1"/>
  <c r="CA460" i="1"/>
  <c r="CB460" i="1"/>
  <c r="CA464" i="1"/>
  <c r="CB464" i="1"/>
  <c r="CA468" i="1"/>
  <c r="CB468" i="1"/>
  <c r="CA472" i="1"/>
  <c r="CB472" i="1"/>
  <c r="CA476" i="1"/>
  <c r="CB476" i="1"/>
  <c r="CA480" i="1"/>
  <c r="CB480" i="1"/>
  <c r="CA484" i="1"/>
  <c r="CB484" i="1"/>
  <c r="CA488" i="1"/>
  <c r="CB488" i="1"/>
  <c r="CA492" i="1"/>
  <c r="CB492" i="1"/>
  <c r="CA496" i="1"/>
  <c r="CB496" i="1"/>
  <c r="CA500" i="1"/>
  <c r="CB500" i="1"/>
  <c r="CA504" i="1"/>
  <c r="CB504" i="1"/>
  <c r="CA508" i="1"/>
  <c r="CB508" i="1"/>
  <c r="CA512" i="1"/>
  <c r="CB512" i="1"/>
  <c r="CA516" i="1"/>
  <c r="CB516" i="1"/>
  <c r="CA520" i="1"/>
  <c r="CB520" i="1"/>
  <c r="CA524" i="1"/>
  <c r="CB524" i="1"/>
  <c r="CA528" i="1"/>
  <c r="CB528" i="1"/>
  <c r="CA532" i="1"/>
  <c r="CB532" i="1"/>
  <c r="CA536" i="1"/>
  <c r="CB536" i="1"/>
  <c r="CA540" i="1"/>
  <c r="CB540" i="1"/>
  <c r="CA544" i="1"/>
  <c r="CB544" i="1"/>
  <c r="CA548" i="1"/>
  <c r="CB548" i="1"/>
  <c r="CA552" i="1"/>
  <c r="CB552" i="1"/>
  <c r="CA556" i="1"/>
  <c r="CB556" i="1"/>
  <c r="CA560" i="1"/>
  <c r="CB560" i="1"/>
  <c r="CA564" i="1"/>
  <c r="CB564" i="1"/>
  <c r="CA568" i="1"/>
  <c r="CB568" i="1"/>
  <c r="CA572" i="1"/>
  <c r="CB572" i="1"/>
  <c r="CA576" i="1"/>
  <c r="CB576" i="1"/>
  <c r="CA580" i="1"/>
  <c r="CB580" i="1"/>
  <c r="CA584" i="1"/>
  <c r="CB584" i="1"/>
  <c r="CA588" i="1"/>
  <c r="CB588" i="1"/>
  <c r="CA592" i="1"/>
  <c r="CB592" i="1"/>
  <c r="CA596" i="1"/>
  <c r="CB596" i="1"/>
  <c r="CA600" i="1"/>
  <c r="CB600" i="1"/>
  <c r="CA604" i="1"/>
  <c r="CB604" i="1"/>
  <c r="CA608" i="1"/>
  <c r="CB608" i="1"/>
  <c r="CA612" i="1"/>
  <c r="CB612" i="1"/>
  <c r="CA616" i="1"/>
  <c r="CB616" i="1"/>
  <c r="CA620" i="1"/>
  <c r="CB620" i="1"/>
  <c r="CA624" i="1"/>
  <c r="CB624" i="1"/>
  <c r="CA628" i="1"/>
  <c r="CB628" i="1"/>
  <c r="CA632" i="1"/>
  <c r="CB632" i="1"/>
  <c r="CA636" i="1"/>
  <c r="CB636" i="1"/>
  <c r="CA640" i="1"/>
  <c r="CB640" i="1"/>
  <c r="CA644" i="1"/>
  <c r="CB644" i="1"/>
  <c r="CA648" i="1"/>
  <c r="CB648" i="1"/>
  <c r="CA652" i="1"/>
  <c r="CB652" i="1"/>
  <c r="CA656" i="1"/>
  <c r="CB656" i="1"/>
  <c r="CA660" i="1"/>
  <c r="CB660" i="1"/>
  <c r="CA664" i="1"/>
  <c r="CB664" i="1"/>
  <c r="CA668" i="1"/>
  <c r="CB668" i="1"/>
  <c r="CA672" i="1"/>
  <c r="CB672" i="1"/>
  <c r="CA676" i="1"/>
  <c r="CB676" i="1"/>
  <c r="CA680" i="1"/>
  <c r="CB680" i="1"/>
  <c r="CA684" i="1"/>
  <c r="CB684" i="1"/>
  <c r="CA688" i="1"/>
  <c r="CB688" i="1"/>
  <c r="CA692" i="1"/>
  <c r="CB692" i="1"/>
  <c r="CA696" i="1"/>
  <c r="CB696" i="1"/>
  <c r="CA700" i="1"/>
  <c r="CB700" i="1"/>
  <c r="CA704" i="1"/>
  <c r="CB704" i="1"/>
  <c r="CA708" i="1"/>
  <c r="CB708" i="1"/>
  <c r="CA712" i="1"/>
  <c r="CB712" i="1"/>
  <c r="CA716" i="1"/>
  <c r="CB716" i="1"/>
  <c r="CA720" i="1"/>
  <c r="CB720" i="1"/>
  <c r="CA724" i="1"/>
  <c r="CB724" i="1"/>
  <c r="CB728" i="1"/>
  <c r="CA728" i="1"/>
  <c r="CB732" i="1"/>
  <c r="CA732" i="1"/>
  <c r="CB736" i="1"/>
  <c r="CA736" i="1"/>
  <c r="CB740" i="1"/>
  <c r="CA740" i="1"/>
  <c r="CB744" i="1"/>
  <c r="CA744" i="1"/>
  <c r="CB748" i="1"/>
  <c r="CA748" i="1"/>
  <c r="CB752" i="1"/>
  <c r="CA752" i="1"/>
  <c r="CB756" i="1"/>
  <c r="CA756" i="1"/>
  <c r="CB760" i="1"/>
  <c r="CA760" i="1"/>
  <c r="CB764" i="1"/>
  <c r="CA764" i="1"/>
  <c r="CB768" i="1"/>
  <c r="CA768" i="1"/>
  <c r="CB772" i="1"/>
  <c r="CA772" i="1"/>
  <c r="CB776" i="1"/>
  <c r="CA776" i="1"/>
  <c r="CB780" i="1"/>
  <c r="CA780" i="1"/>
  <c r="CB784" i="1"/>
  <c r="CA784" i="1"/>
  <c r="CB788" i="1"/>
  <c r="CA788" i="1"/>
  <c r="CB792" i="1"/>
  <c r="CA792" i="1"/>
  <c r="CB796" i="1"/>
  <c r="CA796" i="1"/>
  <c r="CB800" i="1"/>
  <c r="CA800" i="1"/>
  <c r="CB804" i="1"/>
  <c r="CA804" i="1"/>
  <c r="CB808" i="1"/>
  <c r="CA808" i="1"/>
  <c r="CB812" i="1"/>
  <c r="CA812" i="1"/>
  <c r="CB816" i="1"/>
  <c r="CA816" i="1"/>
  <c r="CB820" i="1"/>
  <c r="CA820" i="1"/>
  <c r="CB824" i="1"/>
  <c r="CA824" i="1"/>
  <c r="CB828" i="1"/>
  <c r="CA828" i="1"/>
  <c r="CB832" i="1"/>
  <c r="CA832" i="1"/>
  <c r="CB836" i="1"/>
  <c r="CA836" i="1"/>
  <c r="CB840" i="1"/>
  <c r="CA840" i="1"/>
  <c r="CB844" i="1"/>
  <c r="CA844" i="1"/>
  <c r="CB848" i="1"/>
  <c r="CA848" i="1"/>
  <c r="CB852" i="1"/>
  <c r="CA852" i="1"/>
  <c r="CB856" i="1"/>
  <c r="CA856" i="1"/>
  <c r="CB860" i="1"/>
  <c r="CA860" i="1"/>
  <c r="CB864" i="1"/>
  <c r="CA864" i="1"/>
  <c r="CB868" i="1"/>
  <c r="CA868" i="1"/>
  <c r="CB872" i="1"/>
  <c r="CA872" i="1"/>
  <c r="CB876" i="1"/>
  <c r="CA876" i="1"/>
  <c r="CB880" i="1"/>
  <c r="CA880" i="1"/>
  <c r="CB884" i="1"/>
  <c r="CA884" i="1"/>
  <c r="CB888" i="1"/>
  <c r="CA888" i="1"/>
  <c r="CB892" i="1"/>
  <c r="CA892" i="1"/>
  <c r="CB896" i="1"/>
  <c r="CA896" i="1"/>
  <c r="CB900" i="1"/>
  <c r="CA900" i="1"/>
  <c r="AO5" i="1"/>
  <c r="AU5" i="1"/>
  <c r="AO7" i="1"/>
  <c r="AU7" i="1"/>
  <c r="AO9" i="1"/>
  <c r="AU9" i="1"/>
  <c r="AO11" i="1"/>
  <c r="AU11" i="1"/>
  <c r="AO12" i="1"/>
  <c r="AU12" i="1"/>
  <c r="AO14" i="1"/>
  <c r="AU14" i="1"/>
  <c r="AO16" i="1"/>
  <c r="AU16" i="1"/>
  <c r="AO22" i="1"/>
  <c r="AU22" i="1"/>
  <c r="AO30" i="1"/>
  <c r="AU30" i="1"/>
  <c r="AO38" i="1"/>
  <c r="AU38" i="1"/>
  <c r="AO46" i="1"/>
  <c r="AU46" i="1"/>
  <c r="AO54" i="1"/>
  <c r="AU54" i="1"/>
  <c r="AO62" i="1"/>
  <c r="AU62" i="1"/>
  <c r="AO70" i="1"/>
  <c r="AU70" i="1"/>
  <c r="AO78" i="1"/>
  <c r="AU78" i="1"/>
  <c r="AO90" i="1"/>
  <c r="AU90" i="1"/>
  <c r="AO98" i="1"/>
  <c r="AU98" i="1"/>
  <c r="AO106" i="1"/>
  <c r="AU106" i="1"/>
  <c r="AO114" i="1"/>
  <c r="AU114" i="1"/>
  <c r="AO122" i="1"/>
  <c r="AU122" i="1"/>
  <c r="AO130" i="1"/>
  <c r="AU130" i="1"/>
  <c r="AO142" i="1"/>
  <c r="AU142" i="1"/>
  <c r="AO150" i="1"/>
  <c r="AU150" i="1"/>
  <c r="AO158" i="1"/>
  <c r="AU158" i="1"/>
  <c r="AO166" i="1"/>
  <c r="AU166" i="1"/>
  <c r="AO174" i="1"/>
  <c r="AU174" i="1"/>
  <c r="AO182" i="1"/>
  <c r="AU182" i="1"/>
  <c r="AO190" i="1"/>
  <c r="AU190" i="1"/>
  <c r="AO198" i="1"/>
  <c r="AU198" i="1"/>
  <c r="AO206" i="1"/>
  <c r="AU206" i="1"/>
  <c r="AO214" i="1"/>
  <c r="AU214" i="1"/>
  <c r="AO222" i="1"/>
  <c r="AU222" i="1"/>
  <c r="AO230" i="1"/>
  <c r="AU230" i="1"/>
  <c r="AO238" i="1"/>
  <c r="AU238" i="1"/>
  <c r="AO250" i="1"/>
  <c r="AU250" i="1"/>
  <c r="AO258" i="1"/>
  <c r="AU258" i="1"/>
  <c r="AO266" i="1"/>
  <c r="AU266" i="1"/>
  <c r="AO274" i="1"/>
  <c r="AU274" i="1"/>
  <c r="AO282" i="1"/>
  <c r="AU282" i="1"/>
  <c r="AO290" i="1"/>
  <c r="AU290" i="1"/>
  <c r="AO298" i="1"/>
  <c r="AU298" i="1"/>
  <c r="AO302" i="1"/>
  <c r="AU302" i="1"/>
  <c r="AO310" i="1"/>
  <c r="AU310" i="1"/>
  <c r="AO318" i="1"/>
  <c r="AU318" i="1"/>
  <c r="AO326" i="1"/>
  <c r="AU326" i="1"/>
  <c r="AO330" i="1"/>
  <c r="AU330" i="1"/>
  <c r="AO338" i="1"/>
  <c r="AU338" i="1"/>
  <c r="AO346" i="1"/>
  <c r="AU346" i="1"/>
  <c r="AO354" i="1"/>
  <c r="AU354" i="1"/>
  <c r="AO362" i="1"/>
  <c r="AU362" i="1"/>
  <c r="AO370" i="1"/>
  <c r="AU370" i="1"/>
  <c r="AO378" i="1"/>
  <c r="AU378" i="1"/>
  <c r="AO386" i="1"/>
  <c r="AU386" i="1"/>
  <c r="AO394" i="1"/>
  <c r="AU394" i="1"/>
  <c r="AO402" i="1"/>
  <c r="AU402" i="1"/>
  <c r="AO410" i="1"/>
  <c r="AU410" i="1"/>
  <c r="AO418" i="1"/>
  <c r="AU418" i="1"/>
  <c r="AO426" i="1"/>
  <c r="AU426" i="1"/>
  <c r="AO434" i="1"/>
  <c r="AU434" i="1"/>
  <c r="AO442" i="1"/>
  <c r="AU442" i="1"/>
  <c r="AO450" i="1"/>
  <c r="AU450" i="1"/>
  <c r="AO458" i="1"/>
  <c r="AU458" i="1"/>
  <c r="AO466" i="1"/>
  <c r="AU466" i="1"/>
  <c r="AO474" i="1"/>
  <c r="AU474" i="1"/>
  <c r="AO478" i="1"/>
  <c r="AU478" i="1"/>
  <c r="AO490" i="1"/>
  <c r="AU490" i="1"/>
  <c r="AO498" i="1"/>
  <c r="AU498" i="1"/>
  <c r="AO506" i="1"/>
  <c r="AU506" i="1"/>
  <c r="AO514" i="1"/>
  <c r="AU514" i="1"/>
  <c r="AO522" i="1"/>
  <c r="AU522" i="1"/>
  <c r="AO530" i="1"/>
  <c r="AU530" i="1"/>
  <c r="AO538" i="1"/>
  <c r="AU538" i="1"/>
  <c r="AO546" i="1"/>
  <c r="AU546" i="1"/>
  <c r="AO554" i="1"/>
  <c r="AU554" i="1"/>
  <c r="AO562" i="1"/>
  <c r="AU562" i="1"/>
  <c r="AO570" i="1"/>
  <c r="AU570" i="1"/>
  <c r="AO574" i="1"/>
  <c r="AU574" i="1"/>
  <c r="AO582" i="1"/>
  <c r="AU582" i="1"/>
  <c r="AO590" i="1"/>
  <c r="AU590" i="1"/>
  <c r="AO602" i="1"/>
  <c r="AU602" i="1"/>
  <c r="AO610" i="1"/>
  <c r="AU610" i="1"/>
  <c r="AO618" i="1"/>
  <c r="AU618" i="1"/>
  <c r="AO626" i="1"/>
  <c r="AU626" i="1"/>
  <c r="AO634" i="1"/>
  <c r="AU634" i="1"/>
  <c r="AO642" i="1"/>
  <c r="AU642" i="1"/>
  <c r="AO650" i="1"/>
  <c r="AU650" i="1"/>
  <c r="AO658" i="1"/>
  <c r="AU658" i="1"/>
  <c r="AO666" i="1"/>
  <c r="AU666" i="1"/>
  <c r="AO674" i="1"/>
  <c r="AU674" i="1"/>
  <c r="AO678" i="1"/>
  <c r="AU678" i="1"/>
  <c r="AO686" i="1"/>
  <c r="AU686" i="1"/>
  <c r="AO698" i="1"/>
  <c r="AU698" i="1"/>
  <c r="AO706" i="1"/>
  <c r="AU706" i="1"/>
  <c r="AO714" i="1"/>
  <c r="AU714" i="1"/>
  <c r="AO722" i="1"/>
  <c r="AU722" i="1"/>
  <c r="AO730" i="1"/>
  <c r="AU730" i="1"/>
  <c r="AO738" i="1"/>
  <c r="AU738" i="1"/>
  <c r="AO746" i="1"/>
  <c r="AU746" i="1"/>
  <c r="AO754" i="1"/>
  <c r="AU754" i="1"/>
  <c r="AO762" i="1"/>
  <c r="AU762" i="1"/>
  <c r="AO770" i="1"/>
  <c r="AU770" i="1"/>
  <c r="AO778" i="1"/>
  <c r="AU778" i="1"/>
  <c r="AO786" i="1"/>
  <c r="AU786" i="1"/>
  <c r="AO794" i="1"/>
  <c r="AU794" i="1"/>
  <c r="AO806" i="1"/>
  <c r="AU806" i="1"/>
  <c r="AO814" i="1"/>
  <c r="AU814" i="1"/>
  <c r="AO822" i="1"/>
  <c r="AU822" i="1"/>
  <c r="AO830" i="1"/>
  <c r="AU830" i="1"/>
  <c r="AO838" i="1"/>
  <c r="AU838" i="1"/>
  <c r="AO850" i="1"/>
  <c r="AU850" i="1"/>
  <c r="AO858" i="1"/>
  <c r="AU858" i="1"/>
  <c r="AO866" i="1"/>
  <c r="AU866" i="1"/>
  <c r="AO874" i="1"/>
  <c r="AU874" i="1"/>
  <c r="AO882" i="1"/>
  <c r="AU882" i="1"/>
  <c r="AO890" i="1"/>
  <c r="AU890" i="1"/>
  <c r="AO898" i="1"/>
  <c r="AU898" i="1"/>
  <c r="AO19" i="1"/>
  <c r="AU19" i="1"/>
  <c r="AO27" i="1"/>
  <c r="AU27" i="1"/>
  <c r="AO39" i="1"/>
  <c r="AU39" i="1"/>
  <c r="AO47" i="1"/>
  <c r="AU47" i="1"/>
  <c r="AO51" i="1"/>
  <c r="AU51" i="1"/>
  <c r="AO59" i="1"/>
  <c r="AU59" i="1"/>
  <c r="AO67" i="1"/>
  <c r="AU67" i="1"/>
  <c r="AO75" i="1"/>
  <c r="AU75" i="1"/>
  <c r="AO83" i="1"/>
  <c r="AU83" i="1"/>
  <c r="AO91" i="1"/>
  <c r="AU91" i="1"/>
  <c r="AO99" i="1"/>
  <c r="AU99" i="1"/>
  <c r="AO107" i="1"/>
  <c r="AU107" i="1"/>
  <c r="AO115" i="1"/>
  <c r="AU115" i="1"/>
  <c r="AO123" i="1"/>
  <c r="AU123" i="1"/>
  <c r="AO131" i="1"/>
  <c r="AU131" i="1"/>
  <c r="AO139" i="1"/>
  <c r="AU139" i="1"/>
  <c r="AO151" i="1"/>
  <c r="AU151" i="1"/>
  <c r="AO155" i="1"/>
  <c r="AU155" i="1"/>
  <c r="AO163" i="1"/>
  <c r="AU163" i="1"/>
  <c r="AO171" i="1"/>
  <c r="AU171" i="1"/>
  <c r="AO179" i="1"/>
  <c r="AU179" i="1"/>
  <c r="AO187" i="1"/>
  <c r="AU187" i="1"/>
  <c r="AO195" i="1"/>
  <c r="AU195" i="1"/>
  <c r="AO203" i="1"/>
  <c r="AU203" i="1"/>
  <c r="AO211" i="1"/>
  <c r="AU211" i="1"/>
  <c r="AO219" i="1"/>
  <c r="AU219" i="1"/>
  <c r="AO227" i="1"/>
  <c r="AU227" i="1"/>
  <c r="AO235" i="1"/>
  <c r="AU235" i="1"/>
  <c r="AO243" i="1"/>
  <c r="AU243" i="1"/>
  <c r="AO251" i="1"/>
  <c r="AU251" i="1"/>
  <c r="AO259" i="1"/>
  <c r="AU259" i="1"/>
  <c r="AO267" i="1"/>
  <c r="AU267" i="1"/>
  <c r="AO275" i="1"/>
  <c r="AU275" i="1"/>
  <c r="AO283" i="1"/>
  <c r="AU283" i="1"/>
  <c r="AO291" i="1"/>
  <c r="AU291" i="1"/>
  <c r="AO299" i="1"/>
  <c r="AU299" i="1"/>
  <c r="AO307" i="1"/>
  <c r="AU307" i="1"/>
  <c r="AO315" i="1"/>
  <c r="AU315" i="1"/>
  <c r="AO323" i="1"/>
  <c r="AU323" i="1"/>
  <c r="AO335" i="1"/>
  <c r="AU335" i="1"/>
  <c r="AO343" i="1"/>
  <c r="AU343" i="1"/>
  <c r="AO351" i="1"/>
  <c r="AU351" i="1"/>
  <c r="AO359" i="1"/>
  <c r="AU359" i="1"/>
  <c r="AO363" i="1"/>
  <c r="AU363" i="1"/>
  <c r="AO371" i="1"/>
  <c r="AU371" i="1"/>
  <c r="AO379" i="1"/>
  <c r="AU379" i="1"/>
  <c r="AO391" i="1"/>
  <c r="AU391" i="1"/>
  <c r="AO399" i="1"/>
  <c r="AU399" i="1"/>
  <c r="AO407" i="1"/>
  <c r="AU407" i="1"/>
  <c r="AO411" i="1"/>
  <c r="AU411" i="1"/>
  <c r="AO419" i="1"/>
  <c r="AU419" i="1"/>
  <c r="AO427" i="1"/>
  <c r="AU427" i="1"/>
  <c r="AO435" i="1"/>
  <c r="AU435" i="1"/>
  <c r="AO443" i="1"/>
  <c r="AU443" i="1"/>
  <c r="AO451" i="1"/>
  <c r="AU451" i="1"/>
  <c r="AO459" i="1"/>
  <c r="AU459" i="1"/>
  <c r="AO467" i="1"/>
  <c r="AU467" i="1"/>
  <c r="AO475" i="1"/>
  <c r="AU475" i="1"/>
  <c r="AO483" i="1"/>
  <c r="AU483" i="1"/>
  <c r="AO491" i="1"/>
  <c r="AU491" i="1"/>
  <c r="AO499" i="1"/>
  <c r="AU499" i="1"/>
  <c r="AO511" i="1"/>
  <c r="AU511" i="1"/>
  <c r="AO519" i="1"/>
  <c r="AU519" i="1"/>
  <c r="AO527" i="1"/>
  <c r="AU527" i="1"/>
  <c r="AO535" i="1"/>
  <c r="AU535" i="1"/>
  <c r="AO543" i="1"/>
  <c r="AU543" i="1"/>
  <c r="AO551" i="1"/>
  <c r="AU551" i="1"/>
  <c r="AO559" i="1"/>
  <c r="AU559" i="1"/>
  <c r="AO567" i="1"/>
  <c r="AU567" i="1"/>
  <c r="AO575" i="1"/>
  <c r="AU575" i="1"/>
  <c r="AO583" i="1"/>
  <c r="AU583" i="1"/>
  <c r="AO591" i="1"/>
  <c r="AU591" i="1"/>
  <c r="AO599" i="1"/>
  <c r="AU599" i="1"/>
  <c r="AO607" i="1"/>
  <c r="AU607" i="1"/>
  <c r="AO611" i="1"/>
  <c r="AU611" i="1"/>
  <c r="AO619" i="1"/>
  <c r="AU619" i="1"/>
  <c r="AO627" i="1"/>
  <c r="AU627" i="1"/>
  <c r="AO635" i="1"/>
  <c r="AU635" i="1"/>
  <c r="AO639" i="1"/>
  <c r="AU639" i="1"/>
  <c r="AO647" i="1"/>
  <c r="AU647" i="1"/>
  <c r="AO651" i="1"/>
  <c r="AU651" i="1"/>
  <c r="AO655" i="1"/>
  <c r="AU655" i="1"/>
  <c r="AO659" i="1"/>
  <c r="AU659" i="1"/>
  <c r="AO663" i="1"/>
  <c r="AU663" i="1"/>
  <c r="AO671" i="1"/>
  <c r="AU671" i="1"/>
  <c r="AO675" i="1"/>
  <c r="AU675" i="1"/>
  <c r="AO679" i="1"/>
  <c r="AU679" i="1"/>
  <c r="AO683" i="1"/>
  <c r="AU683" i="1"/>
  <c r="AO687" i="1"/>
  <c r="AU687" i="1"/>
  <c r="AO691" i="1"/>
  <c r="AU691" i="1"/>
  <c r="AO695" i="1"/>
  <c r="AU695" i="1"/>
  <c r="AO699" i="1"/>
  <c r="AU699" i="1"/>
  <c r="AO703" i="1"/>
  <c r="AU703" i="1"/>
  <c r="AO707" i="1"/>
  <c r="AU707" i="1"/>
  <c r="AO711" i="1"/>
  <c r="AU711" i="1"/>
  <c r="AO715" i="1"/>
  <c r="AU715" i="1"/>
  <c r="AO719" i="1"/>
  <c r="AU719" i="1"/>
  <c r="AO723" i="1"/>
  <c r="AU723" i="1"/>
  <c r="AO727" i="1"/>
  <c r="AU727" i="1"/>
  <c r="AO731" i="1"/>
  <c r="AU731" i="1"/>
  <c r="AO735" i="1"/>
  <c r="AU735" i="1"/>
  <c r="AO739" i="1"/>
  <c r="AU739" i="1"/>
  <c r="AO743" i="1"/>
  <c r="AU743" i="1"/>
  <c r="AO747" i="1"/>
  <c r="AU747" i="1"/>
  <c r="AO751" i="1"/>
  <c r="AU751" i="1"/>
  <c r="AO755" i="1"/>
  <c r="AU755" i="1"/>
  <c r="AO759" i="1"/>
  <c r="AU759" i="1"/>
  <c r="AO763" i="1"/>
  <c r="AU763" i="1"/>
  <c r="AO767" i="1"/>
  <c r="AU767" i="1"/>
  <c r="AO771" i="1"/>
  <c r="AU771" i="1"/>
  <c r="AO779" i="1"/>
  <c r="AU779" i="1"/>
  <c r="AO783" i="1"/>
  <c r="AU783" i="1"/>
  <c r="AO787" i="1"/>
  <c r="AU787" i="1"/>
  <c r="AO791" i="1"/>
  <c r="AU791" i="1"/>
  <c r="AO795" i="1"/>
  <c r="AU795" i="1"/>
  <c r="AO799" i="1"/>
  <c r="AU799" i="1"/>
  <c r="AO803" i="1"/>
  <c r="AU803" i="1"/>
  <c r="AO807" i="1"/>
  <c r="AU807" i="1"/>
  <c r="AO811" i="1"/>
  <c r="AU811" i="1"/>
  <c r="AO815" i="1"/>
  <c r="AU815" i="1"/>
  <c r="AO819" i="1"/>
  <c r="AU819" i="1"/>
  <c r="AO823" i="1"/>
  <c r="AU823" i="1"/>
  <c r="AO827" i="1"/>
  <c r="AU827" i="1"/>
  <c r="AO831" i="1"/>
  <c r="AU831" i="1"/>
  <c r="AO835" i="1"/>
  <c r="AU835" i="1"/>
  <c r="AO839" i="1"/>
  <c r="AU839" i="1"/>
  <c r="AO843" i="1"/>
  <c r="AU843" i="1"/>
  <c r="AO847" i="1"/>
  <c r="AU847" i="1"/>
  <c r="AO851" i="1"/>
  <c r="AU851" i="1"/>
  <c r="AO855" i="1"/>
  <c r="AU855" i="1"/>
  <c r="AO859" i="1"/>
  <c r="AU859" i="1"/>
  <c r="AO863" i="1"/>
  <c r="AU863" i="1"/>
  <c r="AO867" i="1"/>
  <c r="AU867" i="1"/>
  <c r="AO871" i="1"/>
  <c r="AU871" i="1"/>
  <c r="AO875" i="1"/>
  <c r="AU875" i="1"/>
  <c r="AO879" i="1"/>
  <c r="AU879" i="1"/>
  <c r="AO883" i="1"/>
  <c r="AU883" i="1"/>
  <c r="AO887" i="1"/>
  <c r="AU887" i="1"/>
  <c r="AO891" i="1"/>
  <c r="AU891" i="1"/>
  <c r="AO895" i="1"/>
  <c r="AU895" i="1"/>
  <c r="AO899" i="1"/>
  <c r="AU899" i="1"/>
  <c r="AO903" i="1"/>
  <c r="AU903" i="1"/>
  <c r="AO20" i="1"/>
  <c r="AU20" i="1"/>
  <c r="AO24" i="1"/>
  <c r="AU24" i="1"/>
  <c r="AO28" i="1"/>
  <c r="AU28" i="1"/>
  <c r="AO32" i="1"/>
  <c r="AU32" i="1"/>
  <c r="AO36" i="1"/>
  <c r="AU36" i="1"/>
  <c r="AO40" i="1"/>
  <c r="AU40" i="1"/>
  <c r="AO44" i="1"/>
  <c r="AU44" i="1"/>
  <c r="AO48" i="1"/>
  <c r="AU48" i="1"/>
  <c r="AO52" i="1"/>
  <c r="AU52" i="1"/>
  <c r="AO56" i="1"/>
  <c r="AU56" i="1"/>
  <c r="AO60" i="1"/>
  <c r="AU60" i="1"/>
  <c r="AO64" i="1"/>
  <c r="AU64" i="1"/>
  <c r="AO68" i="1"/>
  <c r="AU68" i="1"/>
  <c r="AO72" i="1"/>
  <c r="AU72" i="1"/>
  <c r="AO76" i="1"/>
  <c r="AU76" i="1"/>
  <c r="AO80" i="1"/>
  <c r="AU80" i="1"/>
  <c r="AO84" i="1"/>
  <c r="AU84" i="1"/>
  <c r="AO88" i="1"/>
  <c r="AU88" i="1"/>
  <c r="AO92" i="1"/>
  <c r="AU92" i="1"/>
  <c r="AO96" i="1"/>
  <c r="AU96" i="1"/>
  <c r="AO100" i="1"/>
  <c r="AU100" i="1"/>
  <c r="AO104" i="1"/>
  <c r="AU104" i="1"/>
  <c r="AO108" i="1"/>
  <c r="AU108" i="1"/>
  <c r="AO112" i="1"/>
  <c r="AU112" i="1"/>
  <c r="AO116" i="1"/>
  <c r="AU116" i="1"/>
  <c r="AO120" i="1"/>
  <c r="AU120" i="1"/>
  <c r="AO124" i="1"/>
  <c r="AU124" i="1"/>
  <c r="AO128" i="1"/>
  <c r="AU128" i="1"/>
  <c r="AO132" i="1"/>
  <c r="AU132" i="1"/>
  <c r="AO136" i="1"/>
  <c r="AU136" i="1"/>
  <c r="AO140" i="1"/>
  <c r="AU140" i="1"/>
  <c r="AO144" i="1"/>
  <c r="AU144" i="1"/>
  <c r="AO148" i="1"/>
  <c r="AU148" i="1"/>
  <c r="AO152" i="1"/>
  <c r="AU152" i="1"/>
  <c r="AO156" i="1"/>
  <c r="AU156" i="1"/>
  <c r="AO160" i="1"/>
  <c r="AU160" i="1"/>
  <c r="AO164" i="1"/>
  <c r="AU164" i="1"/>
  <c r="AO168" i="1"/>
  <c r="AU168" i="1"/>
  <c r="AO172" i="1"/>
  <c r="AU172" i="1"/>
  <c r="AO176" i="1"/>
  <c r="AU176" i="1"/>
  <c r="AO180" i="1"/>
  <c r="AU180" i="1"/>
  <c r="AO184" i="1"/>
  <c r="AU184" i="1"/>
  <c r="AO188" i="1"/>
  <c r="AU188" i="1"/>
  <c r="AO192" i="1"/>
  <c r="AU192" i="1"/>
  <c r="AO196" i="1"/>
  <c r="AU196" i="1"/>
  <c r="AO200" i="1"/>
  <c r="AU200" i="1"/>
  <c r="AO204" i="1"/>
  <c r="AU204" i="1"/>
  <c r="AO208" i="1"/>
  <c r="AU208" i="1"/>
  <c r="AO212" i="1"/>
  <c r="AU212" i="1"/>
  <c r="AO216" i="1"/>
  <c r="AU216" i="1"/>
  <c r="AO220" i="1"/>
  <c r="AU220" i="1"/>
  <c r="AO224" i="1"/>
  <c r="AU224" i="1"/>
  <c r="AO228" i="1"/>
  <c r="AU228" i="1"/>
  <c r="AO232" i="1"/>
  <c r="AU232" i="1"/>
  <c r="AO236" i="1"/>
  <c r="AU236" i="1"/>
  <c r="AO240" i="1"/>
  <c r="AU240" i="1"/>
  <c r="AO244" i="1"/>
  <c r="AU244" i="1"/>
  <c r="AO248" i="1"/>
  <c r="AU248" i="1"/>
  <c r="AO252" i="1"/>
  <c r="AU252" i="1"/>
  <c r="AO256" i="1"/>
  <c r="AU256" i="1"/>
  <c r="AO260" i="1"/>
  <c r="AU260" i="1"/>
  <c r="AO264" i="1"/>
  <c r="AU264" i="1"/>
  <c r="AO268" i="1"/>
  <c r="AU268" i="1"/>
  <c r="AO272" i="1"/>
  <c r="AU272" i="1"/>
  <c r="AO276" i="1"/>
  <c r="AU276" i="1"/>
  <c r="AO280" i="1"/>
  <c r="AU280" i="1"/>
  <c r="AO284" i="1"/>
  <c r="AU284" i="1"/>
  <c r="AO288" i="1"/>
  <c r="AU288" i="1"/>
  <c r="AO292" i="1"/>
  <c r="AU292" i="1"/>
  <c r="AO296" i="1"/>
  <c r="AU296" i="1"/>
  <c r="AO300" i="1"/>
  <c r="AU300" i="1"/>
  <c r="AO304" i="1"/>
  <c r="AU304" i="1"/>
  <c r="AO308" i="1"/>
  <c r="AU308" i="1"/>
  <c r="AO312" i="1"/>
  <c r="AU312" i="1"/>
  <c r="AO316" i="1"/>
  <c r="AU316" i="1"/>
  <c r="AO320" i="1"/>
  <c r="AU320" i="1"/>
  <c r="AO324" i="1"/>
  <c r="AU324" i="1"/>
  <c r="AO328" i="1"/>
  <c r="AU328" i="1"/>
  <c r="AO332" i="1"/>
  <c r="AU332" i="1"/>
  <c r="AO336" i="1"/>
  <c r="AU336" i="1"/>
  <c r="AO340" i="1"/>
  <c r="AU340" i="1"/>
  <c r="AO344" i="1"/>
  <c r="AU344" i="1"/>
  <c r="AO348" i="1"/>
  <c r="AU348" i="1"/>
  <c r="AO352" i="1"/>
  <c r="AU352" i="1"/>
  <c r="AO356" i="1"/>
  <c r="AU356" i="1"/>
  <c r="AO360" i="1"/>
  <c r="AU360" i="1"/>
  <c r="AO364" i="1"/>
  <c r="AU364" i="1"/>
  <c r="AO368" i="1"/>
  <c r="AU368" i="1"/>
  <c r="AO372" i="1"/>
  <c r="AU372" i="1"/>
  <c r="AO376" i="1"/>
  <c r="AU376" i="1"/>
  <c r="AO380" i="1"/>
  <c r="AU380" i="1"/>
  <c r="AO384" i="1"/>
  <c r="AU384" i="1"/>
  <c r="AO388" i="1"/>
  <c r="AU388" i="1"/>
  <c r="AO392" i="1"/>
  <c r="AU392" i="1"/>
  <c r="AO396" i="1"/>
  <c r="AU396" i="1"/>
  <c r="AO400" i="1"/>
  <c r="AU400" i="1"/>
  <c r="AO404" i="1"/>
  <c r="AU404" i="1"/>
  <c r="AO408" i="1"/>
  <c r="AU408" i="1"/>
  <c r="AO412" i="1"/>
  <c r="AU412" i="1"/>
  <c r="AO416" i="1"/>
  <c r="AU416" i="1"/>
  <c r="AO420" i="1"/>
  <c r="AU420" i="1"/>
  <c r="AO424" i="1"/>
  <c r="AU424" i="1"/>
  <c r="AO428" i="1"/>
  <c r="AU428" i="1"/>
  <c r="AO432" i="1"/>
  <c r="AU432" i="1"/>
  <c r="AO436" i="1"/>
  <c r="AU436" i="1"/>
  <c r="AO440" i="1"/>
  <c r="AU440" i="1"/>
  <c r="AO444" i="1"/>
  <c r="AU444" i="1"/>
  <c r="AO448" i="1"/>
  <c r="AU448" i="1"/>
  <c r="AO452" i="1"/>
  <c r="AU452" i="1"/>
  <c r="AO456" i="1"/>
  <c r="AU456" i="1"/>
  <c r="AO460" i="1"/>
  <c r="AU460" i="1"/>
  <c r="AO464" i="1"/>
  <c r="AU464" i="1"/>
  <c r="AO468" i="1"/>
  <c r="AU468" i="1"/>
  <c r="AO472" i="1"/>
  <c r="AU472" i="1"/>
  <c r="AO476" i="1"/>
  <c r="AU476" i="1"/>
  <c r="AO480" i="1"/>
  <c r="AU480" i="1"/>
  <c r="AO484" i="1"/>
  <c r="AU484" i="1"/>
  <c r="AO488" i="1"/>
  <c r="AU488" i="1"/>
  <c r="AO492" i="1"/>
  <c r="AU492" i="1"/>
  <c r="AO496" i="1"/>
  <c r="AU496" i="1"/>
  <c r="AO500" i="1"/>
  <c r="AU500" i="1"/>
  <c r="AO504" i="1"/>
  <c r="AU504" i="1"/>
  <c r="AO508" i="1"/>
  <c r="AU508" i="1"/>
  <c r="AO512" i="1"/>
  <c r="AU512" i="1"/>
  <c r="AO516" i="1"/>
  <c r="AU516" i="1"/>
  <c r="AO520" i="1"/>
  <c r="AU520" i="1"/>
  <c r="AO524" i="1"/>
  <c r="AU524" i="1"/>
  <c r="AO528" i="1"/>
  <c r="AU528" i="1"/>
  <c r="AO532" i="1"/>
  <c r="AU532" i="1"/>
  <c r="AO536" i="1"/>
  <c r="AU536" i="1"/>
  <c r="AO540" i="1"/>
  <c r="AU540" i="1"/>
  <c r="AO544" i="1"/>
  <c r="AU544" i="1"/>
  <c r="AO548" i="1"/>
  <c r="AU548" i="1"/>
  <c r="AO552" i="1"/>
  <c r="AU552" i="1"/>
  <c r="AO556" i="1"/>
  <c r="AU556" i="1"/>
  <c r="AO560" i="1"/>
  <c r="AU560" i="1"/>
  <c r="AO564" i="1"/>
  <c r="AU564" i="1"/>
  <c r="AO568" i="1"/>
  <c r="AU568" i="1"/>
  <c r="AO572" i="1"/>
  <c r="AU572" i="1"/>
  <c r="AO576" i="1"/>
  <c r="AU576" i="1"/>
  <c r="AO580" i="1"/>
  <c r="AU580" i="1"/>
  <c r="AO584" i="1"/>
  <c r="AU584" i="1"/>
  <c r="AO588" i="1"/>
  <c r="AU588" i="1"/>
  <c r="AO592" i="1"/>
  <c r="AU592" i="1"/>
  <c r="AO596" i="1"/>
  <c r="AU596" i="1"/>
  <c r="AO600" i="1"/>
  <c r="AU600" i="1"/>
  <c r="AO604" i="1"/>
  <c r="AU604" i="1"/>
  <c r="AO608" i="1"/>
  <c r="AU608" i="1"/>
  <c r="AO612" i="1"/>
  <c r="AU612" i="1"/>
  <c r="AO616" i="1"/>
  <c r="AU616" i="1"/>
  <c r="AO620" i="1"/>
  <c r="AU620" i="1"/>
  <c r="AO624" i="1"/>
  <c r="AU624" i="1"/>
  <c r="AO628" i="1"/>
  <c r="AU628" i="1"/>
  <c r="AO632" i="1"/>
  <c r="AU632" i="1"/>
  <c r="AO636" i="1"/>
  <c r="AU636" i="1"/>
  <c r="AO640" i="1"/>
  <c r="AU640" i="1"/>
  <c r="AO644" i="1"/>
  <c r="AU644" i="1"/>
  <c r="AO648" i="1"/>
  <c r="AU648" i="1"/>
  <c r="AO652" i="1"/>
  <c r="AU652" i="1"/>
  <c r="AO656" i="1"/>
  <c r="AU656" i="1"/>
  <c r="AO660" i="1"/>
  <c r="AU660" i="1"/>
  <c r="AO664" i="1"/>
  <c r="AU664" i="1"/>
  <c r="AO668" i="1"/>
  <c r="AU668" i="1"/>
  <c r="AO672" i="1"/>
  <c r="AU672" i="1"/>
  <c r="AO676" i="1"/>
  <c r="AU676" i="1"/>
  <c r="AO680" i="1"/>
  <c r="AU680" i="1"/>
  <c r="AO684" i="1"/>
  <c r="AU684" i="1"/>
  <c r="AO688" i="1"/>
  <c r="AU688" i="1"/>
  <c r="AO692" i="1"/>
  <c r="AU692" i="1"/>
  <c r="AO696" i="1"/>
  <c r="AU696" i="1"/>
  <c r="AO700" i="1"/>
  <c r="AU700" i="1"/>
  <c r="AO704" i="1"/>
  <c r="AU704" i="1"/>
  <c r="AO708" i="1"/>
  <c r="AU708" i="1"/>
  <c r="AO712" i="1"/>
  <c r="AU712" i="1"/>
  <c r="AO716" i="1"/>
  <c r="AU716" i="1"/>
  <c r="AO720" i="1"/>
  <c r="AU720" i="1"/>
  <c r="AO724" i="1"/>
  <c r="AU724" i="1"/>
  <c r="AO728" i="1"/>
  <c r="AU728" i="1"/>
  <c r="AO732" i="1"/>
  <c r="AU732" i="1"/>
  <c r="AO736" i="1"/>
  <c r="AU736" i="1"/>
  <c r="AO740" i="1"/>
  <c r="AU740" i="1"/>
  <c r="AO744" i="1"/>
  <c r="AU744" i="1"/>
  <c r="AO748" i="1"/>
  <c r="AU748" i="1"/>
  <c r="AO752" i="1"/>
  <c r="AU752" i="1"/>
  <c r="AO756" i="1"/>
  <c r="AU756" i="1"/>
  <c r="AO760" i="1"/>
  <c r="AU760" i="1"/>
  <c r="AO764" i="1"/>
  <c r="AU764" i="1"/>
  <c r="AO768" i="1"/>
  <c r="AU768" i="1"/>
  <c r="AO772" i="1"/>
  <c r="AU772" i="1"/>
  <c r="AO776" i="1"/>
  <c r="AU776" i="1"/>
  <c r="AO780" i="1"/>
  <c r="AU780" i="1"/>
  <c r="AO784" i="1"/>
  <c r="AU784" i="1"/>
  <c r="AO788" i="1"/>
  <c r="AU788" i="1"/>
  <c r="AO792" i="1"/>
  <c r="AU792" i="1"/>
  <c r="AO796" i="1"/>
  <c r="AU796" i="1"/>
  <c r="AO800" i="1"/>
  <c r="AU800" i="1"/>
  <c r="AO804" i="1"/>
  <c r="AU804" i="1"/>
  <c r="AO808" i="1"/>
  <c r="AU808" i="1"/>
  <c r="AO812" i="1"/>
  <c r="AU812" i="1"/>
  <c r="AO816" i="1"/>
  <c r="AU816" i="1"/>
  <c r="AO820" i="1"/>
  <c r="AU820" i="1"/>
  <c r="AO824" i="1"/>
  <c r="AU824" i="1"/>
  <c r="AO828" i="1"/>
  <c r="AU828" i="1"/>
  <c r="AO832" i="1"/>
  <c r="AU832" i="1"/>
  <c r="AO836" i="1"/>
  <c r="AU836" i="1"/>
  <c r="AO840" i="1"/>
  <c r="AU840" i="1"/>
  <c r="AO844" i="1"/>
  <c r="AU844" i="1"/>
  <c r="AO848" i="1"/>
  <c r="AU848" i="1"/>
  <c r="AO852" i="1"/>
  <c r="AU852" i="1"/>
  <c r="AO856" i="1"/>
  <c r="AU856" i="1"/>
  <c r="AO860" i="1"/>
  <c r="AU860" i="1"/>
  <c r="AO864" i="1"/>
  <c r="AU864" i="1"/>
  <c r="AO868" i="1"/>
  <c r="AU868" i="1"/>
  <c r="AO872" i="1"/>
  <c r="AU872" i="1"/>
  <c r="AO876" i="1"/>
  <c r="AU876" i="1"/>
  <c r="AO880" i="1"/>
  <c r="AU880" i="1"/>
  <c r="AO884" i="1"/>
  <c r="AU884" i="1"/>
  <c r="AO888" i="1"/>
  <c r="AU888" i="1"/>
  <c r="AO892" i="1"/>
  <c r="AU892" i="1"/>
  <c r="AO896" i="1"/>
  <c r="AU896" i="1"/>
  <c r="AO900" i="1"/>
  <c r="AU900" i="1"/>
  <c r="AO4" i="1"/>
  <c r="AU4" i="1"/>
  <c r="AO6" i="1"/>
  <c r="AU6" i="1"/>
  <c r="AO8" i="1"/>
  <c r="AU8" i="1"/>
  <c r="AO10" i="1"/>
  <c r="AU10" i="1"/>
  <c r="AO13" i="1"/>
  <c r="AU13" i="1"/>
  <c r="AO15" i="1"/>
  <c r="AU15" i="1"/>
  <c r="AO18" i="1"/>
  <c r="AU18" i="1"/>
  <c r="AO26" i="1"/>
  <c r="AU26" i="1"/>
  <c r="AO34" i="1"/>
  <c r="AU34" i="1"/>
  <c r="AO42" i="1"/>
  <c r="AU42" i="1"/>
  <c r="AO50" i="1"/>
  <c r="AU50" i="1"/>
  <c r="AO58" i="1"/>
  <c r="AU58" i="1"/>
  <c r="AO66" i="1"/>
  <c r="AU66" i="1"/>
  <c r="AO74" i="1"/>
  <c r="AU74" i="1"/>
  <c r="AO82" i="1"/>
  <c r="AU82" i="1"/>
  <c r="AO86" i="1"/>
  <c r="AU86" i="1"/>
  <c r="AO94" i="1"/>
  <c r="AU94" i="1"/>
  <c r="AO102" i="1"/>
  <c r="AU102" i="1"/>
  <c r="AO110" i="1"/>
  <c r="AU110" i="1"/>
  <c r="AO118" i="1"/>
  <c r="AU118" i="1"/>
  <c r="AO126" i="1"/>
  <c r="AU126" i="1"/>
  <c r="AO134" i="1"/>
  <c r="AU134" i="1"/>
  <c r="AO138" i="1"/>
  <c r="AU138" i="1"/>
  <c r="AO146" i="1"/>
  <c r="AU146" i="1"/>
  <c r="AO154" i="1"/>
  <c r="AU154" i="1"/>
  <c r="AO162" i="1"/>
  <c r="AU162" i="1"/>
  <c r="AO170" i="1"/>
  <c r="AU170" i="1"/>
  <c r="AO178" i="1"/>
  <c r="AU178" i="1"/>
  <c r="AO186" i="1"/>
  <c r="AU186" i="1"/>
  <c r="AO194" i="1"/>
  <c r="AU194" i="1"/>
  <c r="AO202" i="1"/>
  <c r="AU202" i="1"/>
  <c r="AO210" i="1"/>
  <c r="AU210" i="1"/>
  <c r="AO218" i="1"/>
  <c r="AU218" i="1"/>
  <c r="AO226" i="1"/>
  <c r="AU226" i="1"/>
  <c r="AO234" i="1"/>
  <c r="AU234" i="1"/>
  <c r="AO242" i="1"/>
  <c r="AU242" i="1"/>
  <c r="AO246" i="1"/>
  <c r="AU246" i="1"/>
  <c r="AO254" i="1"/>
  <c r="AU254" i="1"/>
  <c r="AO262" i="1"/>
  <c r="AU262" i="1"/>
  <c r="AO270" i="1"/>
  <c r="AU270" i="1"/>
  <c r="AO278" i="1"/>
  <c r="AU278" i="1"/>
  <c r="AO286" i="1"/>
  <c r="AU286" i="1"/>
  <c r="AO294" i="1"/>
  <c r="AU294" i="1"/>
  <c r="AO306" i="1"/>
  <c r="AU306" i="1"/>
  <c r="AO314" i="1"/>
  <c r="AU314" i="1"/>
  <c r="AO322" i="1"/>
  <c r="AU322" i="1"/>
  <c r="AO334" i="1"/>
  <c r="AU334" i="1"/>
  <c r="AO342" i="1"/>
  <c r="AU342" i="1"/>
  <c r="AO350" i="1"/>
  <c r="AU350" i="1"/>
  <c r="AO358" i="1"/>
  <c r="AU358" i="1"/>
  <c r="AO366" i="1"/>
  <c r="AU366" i="1"/>
  <c r="AO374" i="1"/>
  <c r="AU374" i="1"/>
  <c r="AO382" i="1"/>
  <c r="AU382" i="1"/>
  <c r="AO390" i="1"/>
  <c r="AU390" i="1"/>
  <c r="AO398" i="1"/>
  <c r="AU398" i="1"/>
  <c r="AO406" i="1"/>
  <c r="AU406" i="1"/>
  <c r="AO414" i="1"/>
  <c r="AU414" i="1"/>
  <c r="AO422" i="1"/>
  <c r="AU422" i="1"/>
  <c r="AO430" i="1"/>
  <c r="AU430" i="1"/>
  <c r="AO438" i="1"/>
  <c r="AU438" i="1"/>
  <c r="AO446" i="1"/>
  <c r="AU446" i="1"/>
  <c r="AO454" i="1"/>
  <c r="AU454" i="1"/>
  <c r="AO462" i="1"/>
  <c r="AU462" i="1"/>
  <c r="AO470" i="1"/>
  <c r="AU470" i="1"/>
  <c r="AO482" i="1"/>
  <c r="AU482" i="1"/>
  <c r="AO486" i="1"/>
  <c r="AU486" i="1"/>
  <c r="AO494" i="1"/>
  <c r="AU494" i="1"/>
  <c r="AO502" i="1"/>
  <c r="AU502" i="1"/>
  <c r="AO510" i="1"/>
  <c r="AU510" i="1"/>
  <c r="AO518" i="1"/>
  <c r="AU518" i="1"/>
  <c r="AO526" i="1"/>
  <c r="AU526" i="1"/>
  <c r="AO534" i="1"/>
  <c r="AU534" i="1"/>
  <c r="AO542" i="1"/>
  <c r="AU542" i="1"/>
  <c r="AO550" i="1"/>
  <c r="AU550" i="1"/>
  <c r="AO558" i="1"/>
  <c r="AU558" i="1"/>
  <c r="AO566" i="1"/>
  <c r="AU566" i="1"/>
  <c r="AO578" i="1"/>
  <c r="AU578" i="1"/>
  <c r="AO586" i="1"/>
  <c r="AU586" i="1"/>
  <c r="AO594" i="1"/>
  <c r="AU594" i="1"/>
  <c r="AO598" i="1"/>
  <c r="AU598" i="1"/>
  <c r="AO606" i="1"/>
  <c r="AU606" i="1"/>
  <c r="AO614" i="1"/>
  <c r="AU614" i="1"/>
  <c r="AO622" i="1"/>
  <c r="AU622" i="1"/>
  <c r="AO630" i="1"/>
  <c r="AU630" i="1"/>
  <c r="AO638" i="1"/>
  <c r="AU638" i="1"/>
  <c r="AO646" i="1"/>
  <c r="AU646" i="1"/>
  <c r="AO654" i="1"/>
  <c r="AU654" i="1"/>
  <c r="AO662" i="1"/>
  <c r="AU662" i="1"/>
  <c r="AO670" i="1"/>
  <c r="AU670" i="1"/>
  <c r="AO682" i="1"/>
  <c r="AU682" i="1"/>
  <c r="AO690" i="1"/>
  <c r="AU690" i="1"/>
  <c r="AO694" i="1"/>
  <c r="AU694" i="1"/>
  <c r="AO702" i="1"/>
  <c r="AU702" i="1"/>
  <c r="AO710" i="1"/>
  <c r="AU710" i="1"/>
  <c r="AO718" i="1"/>
  <c r="AU718" i="1"/>
  <c r="AO726" i="1"/>
  <c r="AU726" i="1"/>
  <c r="AO734" i="1"/>
  <c r="AU734" i="1"/>
  <c r="AO742" i="1"/>
  <c r="AU742" i="1"/>
  <c r="AO750" i="1"/>
  <c r="AU750" i="1"/>
  <c r="AO758" i="1"/>
  <c r="AU758" i="1"/>
  <c r="AO766" i="1"/>
  <c r="AU766" i="1"/>
  <c r="AO774" i="1"/>
  <c r="AU774" i="1"/>
  <c r="AO782" i="1"/>
  <c r="AU782" i="1"/>
  <c r="AO790" i="1"/>
  <c r="AU790" i="1"/>
  <c r="AO798" i="1"/>
  <c r="AU798" i="1"/>
  <c r="AO802" i="1"/>
  <c r="AU802" i="1"/>
  <c r="AO810" i="1"/>
  <c r="AU810" i="1"/>
  <c r="AO818" i="1"/>
  <c r="AU818" i="1"/>
  <c r="AO826" i="1"/>
  <c r="AU826" i="1"/>
  <c r="AO834" i="1"/>
  <c r="AU834" i="1"/>
  <c r="AO842" i="1"/>
  <c r="AU842" i="1"/>
  <c r="AO846" i="1"/>
  <c r="AU846" i="1"/>
  <c r="AO854" i="1"/>
  <c r="AU854" i="1"/>
  <c r="AO862" i="1"/>
  <c r="AU862" i="1"/>
  <c r="AO870" i="1"/>
  <c r="AU870" i="1"/>
  <c r="AO878" i="1"/>
  <c r="AU878" i="1"/>
  <c r="AO886" i="1"/>
  <c r="AU886" i="1"/>
  <c r="AO894" i="1"/>
  <c r="AU894" i="1"/>
  <c r="AO902" i="1"/>
  <c r="AU902" i="1"/>
  <c r="AO23" i="1"/>
  <c r="AU23" i="1"/>
  <c r="AO31" i="1"/>
  <c r="AU31" i="1"/>
  <c r="AO35" i="1"/>
  <c r="AU35" i="1"/>
  <c r="AO43" i="1"/>
  <c r="AU43" i="1"/>
  <c r="AO55" i="1"/>
  <c r="AU55" i="1"/>
  <c r="AO63" i="1"/>
  <c r="AU63" i="1"/>
  <c r="AO71" i="1"/>
  <c r="AU71" i="1"/>
  <c r="AO79" i="1"/>
  <c r="AU79" i="1"/>
  <c r="AO87" i="1"/>
  <c r="AU87" i="1"/>
  <c r="AO95" i="1"/>
  <c r="AU95" i="1"/>
  <c r="AO103" i="1"/>
  <c r="AU103" i="1"/>
  <c r="AO111" i="1"/>
  <c r="AU111" i="1"/>
  <c r="AO119" i="1"/>
  <c r="AU119" i="1"/>
  <c r="AO127" i="1"/>
  <c r="AU127" i="1"/>
  <c r="AO135" i="1"/>
  <c r="AU135" i="1"/>
  <c r="AO143" i="1"/>
  <c r="AU143" i="1"/>
  <c r="AO147" i="1"/>
  <c r="AU147" i="1"/>
  <c r="AO159" i="1"/>
  <c r="AU159" i="1"/>
  <c r="AO167" i="1"/>
  <c r="AU167" i="1"/>
  <c r="AO175" i="1"/>
  <c r="AU175" i="1"/>
  <c r="AO183" i="1"/>
  <c r="AU183" i="1"/>
  <c r="AO191" i="1"/>
  <c r="AU191" i="1"/>
  <c r="AO199" i="1"/>
  <c r="AU199" i="1"/>
  <c r="AO207" i="1"/>
  <c r="AU207" i="1"/>
  <c r="AO215" i="1"/>
  <c r="AU215" i="1"/>
  <c r="AO223" i="1"/>
  <c r="AU223" i="1"/>
  <c r="AO231" i="1"/>
  <c r="AU231" i="1"/>
  <c r="AO239" i="1"/>
  <c r="AU239" i="1"/>
  <c r="AO247" i="1"/>
  <c r="AU247" i="1"/>
  <c r="AO255" i="1"/>
  <c r="AU255" i="1"/>
  <c r="AO263" i="1"/>
  <c r="AU263" i="1"/>
  <c r="AO271" i="1"/>
  <c r="AU271" i="1"/>
  <c r="AO279" i="1"/>
  <c r="AU279" i="1"/>
  <c r="AO287" i="1"/>
  <c r="AU287" i="1"/>
  <c r="AO295" i="1"/>
  <c r="AU295" i="1"/>
  <c r="AO303" i="1"/>
  <c r="AU303" i="1"/>
  <c r="AO311" i="1"/>
  <c r="AU311" i="1"/>
  <c r="AO319" i="1"/>
  <c r="AU319" i="1"/>
  <c r="AO327" i="1"/>
  <c r="AU327" i="1"/>
  <c r="AO331" i="1"/>
  <c r="AU331" i="1"/>
  <c r="AO339" i="1"/>
  <c r="AU339" i="1"/>
  <c r="AO347" i="1"/>
  <c r="AU347" i="1"/>
  <c r="AO355" i="1"/>
  <c r="AU355" i="1"/>
  <c r="AO367" i="1"/>
  <c r="AU367" i="1"/>
  <c r="AO375" i="1"/>
  <c r="AU375" i="1"/>
  <c r="AO383" i="1"/>
  <c r="AU383" i="1"/>
  <c r="AO387" i="1"/>
  <c r="AU387" i="1"/>
  <c r="AO395" i="1"/>
  <c r="AU395" i="1"/>
  <c r="AO403" i="1"/>
  <c r="AU403" i="1"/>
  <c r="AO415" i="1"/>
  <c r="AU415" i="1"/>
  <c r="AO423" i="1"/>
  <c r="AU423" i="1"/>
  <c r="AO431" i="1"/>
  <c r="AU431" i="1"/>
  <c r="AO439" i="1"/>
  <c r="AU439" i="1"/>
  <c r="AO447" i="1"/>
  <c r="AU447" i="1"/>
  <c r="AO455" i="1"/>
  <c r="AU455" i="1"/>
  <c r="AO463" i="1"/>
  <c r="AU463" i="1"/>
  <c r="AO471" i="1"/>
  <c r="AU471" i="1"/>
  <c r="AO479" i="1"/>
  <c r="AU479" i="1"/>
  <c r="AO487" i="1"/>
  <c r="AU487" i="1"/>
  <c r="AO495" i="1"/>
  <c r="AU495" i="1"/>
  <c r="AO503" i="1"/>
  <c r="AU503" i="1"/>
  <c r="AO507" i="1"/>
  <c r="AU507" i="1"/>
  <c r="AO515" i="1"/>
  <c r="AU515" i="1"/>
  <c r="AO523" i="1"/>
  <c r="AU523" i="1"/>
  <c r="AO531" i="1"/>
  <c r="AU531" i="1"/>
  <c r="AO539" i="1"/>
  <c r="AU539" i="1"/>
  <c r="AO547" i="1"/>
  <c r="AU547" i="1"/>
  <c r="AO555" i="1"/>
  <c r="AU555" i="1"/>
  <c r="AO563" i="1"/>
  <c r="AU563" i="1"/>
  <c r="AO571" i="1"/>
  <c r="AU571" i="1"/>
  <c r="AO579" i="1"/>
  <c r="AU579" i="1"/>
  <c r="AO587" i="1"/>
  <c r="AU587" i="1"/>
  <c r="AO595" i="1"/>
  <c r="AU595" i="1"/>
  <c r="AO603" i="1"/>
  <c r="AU603" i="1"/>
  <c r="AO615" i="1"/>
  <c r="AU615" i="1"/>
  <c r="AO623" i="1"/>
  <c r="AU623" i="1"/>
  <c r="AO631" i="1"/>
  <c r="AU631" i="1"/>
  <c r="AO643" i="1"/>
  <c r="AU643" i="1"/>
  <c r="AO667" i="1"/>
  <c r="AU667" i="1"/>
  <c r="AO775" i="1"/>
  <c r="AU775" i="1"/>
  <c r="AO17" i="1"/>
  <c r="AU17" i="1"/>
  <c r="AO21" i="1"/>
  <c r="AU21" i="1"/>
  <c r="AO25" i="1"/>
  <c r="AU25" i="1"/>
  <c r="AO29" i="1"/>
  <c r="AU29" i="1"/>
  <c r="AO33" i="1"/>
  <c r="AU33" i="1"/>
  <c r="AO37" i="1"/>
  <c r="AU37" i="1"/>
  <c r="AO41" i="1"/>
  <c r="AU41" i="1"/>
  <c r="AO45" i="1"/>
  <c r="AU45" i="1"/>
  <c r="AO49" i="1"/>
  <c r="AU49" i="1"/>
  <c r="AO53" i="1"/>
  <c r="AU53" i="1"/>
  <c r="AO57" i="1"/>
  <c r="AU57" i="1"/>
  <c r="AO61" i="1"/>
  <c r="AU61" i="1"/>
  <c r="AO65" i="1"/>
  <c r="AU65" i="1"/>
  <c r="AO69" i="1"/>
  <c r="AU69" i="1"/>
  <c r="AO73" i="1"/>
  <c r="AU73" i="1"/>
  <c r="AO77" i="1"/>
  <c r="AU77" i="1"/>
  <c r="AO81" i="1"/>
  <c r="AU81" i="1"/>
  <c r="AO85" i="1"/>
  <c r="AU85" i="1"/>
  <c r="AO89" i="1"/>
  <c r="AU89" i="1"/>
  <c r="AO93" i="1"/>
  <c r="AU93" i="1"/>
  <c r="AO97" i="1"/>
  <c r="AU97" i="1"/>
  <c r="AO101" i="1"/>
  <c r="AU101" i="1"/>
  <c r="AO105" i="1"/>
  <c r="AU105" i="1"/>
  <c r="AO109" i="1"/>
  <c r="AU109" i="1"/>
  <c r="AO113" i="1"/>
  <c r="AU113" i="1"/>
  <c r="AO117" i="1"/>
  <c r="AU117" i="1"/>
  <c r="AO121" i="1"/>
  <c r="AU121" i="1"/>
  <c r="AO125" i="1"/>
  <c r="AU125" i="1"/>
  <c r="AO129" i="1"/>
  <c r="AU129" i="1"/>
  <c r="AO133" i="1"/>
  <c r="AU133" i="1"/>
  <c r="AO137" i="1"/>
  <c r="AU137" i="1"/>
  <c r="AO141" i="1"/>
  <c r="AU141" i="1"/>
  <c r="AO145" i="1"/>
  <c r="AU145" i="1"/>
  <c r="AO149" i="1"/>
  <c r="AU149" i="1"/>
  <c r="AO153" i="1"/>
  <c r="AU153" i="1"/>
  <c r="AO157" i="1"/>
  <c r="AU157" i="1"/>
  <c r="AO161" i="1"/>
  <c r="AU161" i="1"/>
  <c r="AO165" i="1"/>
  <c r="AU165" i="1"/>
  <c r="AO169" i="1"/>
  <c r="AU169" i="1"/>
  <c r="AO173" i="1"/>
  <c r="AU173" i="1"/>
  <c r="AO177" i="1"/>
  <c r="AU177" i="1"/>
  <c r="AO181" i="1"/>
  <c r="AU181" i="1"/>
  <c r="AO185" i="1"/>
  <c r="AU185" i="1"/>
  <c r="AO189" i="1"/>
  <c r="AU189" i="1"/>
  <c r="AO193" i="1"/>
  <c r="AU193" i="1"/>
  <c r="AO197" i="1"/>
  <c r="AU197" i="1"/>
  <c r="AO201" i="1"/>
  <c r="AU201" i="1"/>
  <c r="AO205" i="1"/>
  <c r="AU205" i="1"/>
  <c r="AO209" i="1"/>
  <c r="AU209" i="1"/>
  <c r="AO213" i="1"/>
  <c r="AU213" i="1"/>
  <c r="AO217" i="1"/>
  <c r="AU217" i="1"/>
  <c r="AO221" i="1"/>
  <c r="AU221" i="1"/>
  <c r="AO225" i="1"/>
  <c r="AU225" i="1"/>
  <c r="AO229" i="1"/>
  <c r="AU229" i="1"/>
  <c r="AO233" i="1"/>
  <c r="AU233" i="1"/>
  <c r="AO237" i="1"/>
  <c r="AU237" i="1"/>
  <c r="AO241" i="1"/>
  <c r="AU241" i="1"/>
  <c r="AO245" i="1"/>
  <c r="AU245" i="1"/>
  <c r="AO249" i="1"/>
  <c r="AU249" i="1"/>
  <c r="AO253" i="1"/>
  <c r="AU253" i="1"/>
  <c r="AO257" i="1"/>
  <c r="AU257" i="1"/>
  <c r="AO261" i="1"/>
  <c r="AU261" i="1"/>
  <c r="AO265" i="1"/>
  <c r="AU265" i="1"/>
  <c r="AO269" i="1"/>
  <c r="AU269" i="1"/>
  <c r="AO273" i="1"/>
  <c r="AU273" i="1"/>
  <c r="AO277" i="1"/>
  <c r="AU277" i="1"/>
  <c r="AO281" i="1"/>
  <c r="AU281" i="1"/>
  <c r="AO285" i="1"/>
  <c r="AU285" i="1"/>
  <c r="AO289" i="1"/>
  <c r="AU289" i="1"/>
  <c r="AO293" i="1"/>
  <c r="AU293" i="1"/>
  <c r="AO297" i="1"/>
  <c r="AU297" i="1"/>
  <c r="AO301" i="1"/>
  <c r="AU301" i="1"/>
  <c r="AO305" i="1"/>
  <c r="AU305" i="1"/>
  <c r="AO309" i="1"/>
  <c r="AU309" i="1"/>
  <c r="AO313" i="1"/>
  <c r="AU313" i="1"/>
  <c r="AO317" i="1"/>
  <c r="AU317" i="1"/>
  <c r="AO321" i="1"/>
  <c r="AU321" i="1"/>
  <c r="AO325" i="1"/>
  <c r="AU325" i="1"/>
  <c r="AO329" i="1"/>
  <c r="AU329" i="1"/>
  <c r="AO333" i="1"/>
  <c r="AU333" i="1"/>
  <c r="AO337" i="1"/>
  <c r="AU337" i="1"/>
  <c r="AO341" i="1"/>
  <c r="AU341" i="1"/>
  <c r="AO345" i="1"/>
  <c r="AU345" i="1"/>
  <c r="AO349" i="1"/>
  <c r="AU349" i="1"/>
  <c r="AO353" i="1"/>
  <c r="AU353" i="1"/>
  <c r="AO357" i="1"/>
  <c r="AU357" i="1"/>
  <c r="AO361" i="1"/>
  <c r="AU361" i="1"/>
  <c r="AO365" i="1"/>
  <c r="AU365" i="1"/>
  <c r="AO369" i="1"/>
  <c r="AU369" i="1"/>
  <c r="AO373" i="1"/>
  <c r="AU373" i="1"/>
  <c r="AO377" i="1"/>
  <c r="AU377" i="1"/>
  <c r="AO381" i="1"/>
  <c r="AU381" i="1"/>
  <c r="AO385" i="1"/>
  <c r="AU385" i="1"/>
  <c r="AO389" i="1"/>
  <c r="AU389" i="1"/>
  <c r="AO393" i="1"/>
  <c r="AU393" i="1"/>
  <c r="AO397" i="1"/>
  <c r="AU397" i="1"/>
  <c r="AO401" i="1"/>
  <c r="AU401" i="1"/>
  <c r="AO405" i="1"/>
  <c r="AU405" i="1"/>
  <c r="AO409" i="1"/>
  <c r="AU409" i="1"/>
  <c r="AO413" i="1"/>
  <c r="AU413" i="1"/>
  <c r="AO417" i="1"/>
  <c r="AU417" i="1"/>
  <c r="AO421" i="1"/>
  <c r="AU421" i="1"/>
  <c r="AO425" i="1"/>
  <c r="AU425" i="1"/>
  <c r="AO429" i="1"/>
  <c r="AU429" i="1"/>
  <c r="AO433" i="1"/>
  <c r="AU433" i="1"/>
  <c r="AO437" i="1"/>
  <c r="AU437" i="1"/>
  <c r="AO441" i="1"/>
  <c r="AU441" i="1"/>
  <c r="AO445" i="1"/>
  <c r="AU445" i="1"/>
  <c r="AO449" i="1"/>
  <c r="AU449" i="1"/>
  <c r="AO453" i="1"/>
  <c r="AU453" i="1"/>
  <c r="AO457" i="1"/>
  <c r="AU457" i="1"/>
  <c r="AO461" i="1"/>
  <c r="AU461" i="1"/>
  <c r="AO465" i="1"/>
  <c r="AU465" i="1"/>
  <c r="AO469" i="1"/>
  <c r="AU469" i="1"/>
  <c r="AO473" i="1"/>
  <c r="AU473" i="1"/>
  <c r="AO477" i="1"/>
  <c r="AU477" i="1"/>
  <c r="AO481" i="1"/>
  <c r="AU481" i="1"/>
  <c r="AO485" i="1"/>
  <c r="AU485" i="1"/>
  <c r="AO489" i="1"/>
  <c r="AU489" i="1"/>
  <c r="AO493" i="1"/>
  <c r="AU493" i="1"/>
  <c r="AO497" i="1"/>
  <c r="AU497" i="1"/>
  <c r="AO501" i="1"/>
  <c r="AU501" i="1"/>
  <c r="AO505" i="1"/>
  <c r="AU505" i="1"/>
  <c r="AO509" i="1"/>
  <c r="AU509" i="1"/>
  <c r="AO513" i="1"/>
  <c r="AU513" i="1"/>
  <c r="AO517" i="1"/>
  <c r="AU517" i="1"/>
  <c r="AO521" i="1"/>
  <c r="AU521" i="1"/>
  <c r="AO525" i="1"/>
  <c r="AU525" i="1"/>
  <c r="AO529" i="1"/>
  <c r="AU529" i="1"/>
  <c r="AO533" i="1"/>
  <c r="AU533" i="1"/>
  <c r="AO537" i="1"/>
  <c r="AU537" i="1"/>
  <c r="AO541" i="1"/>
  <c r="AU541" i="1"/>
  <c r="AO545" i="1"/>
  <c r="AU545" i="1"/>
  <c r="AO549" i="1"/>
  <c r="AU549" i="1"/>
  <c r="AO553" i="1"/>
  <c r="AU553" i="1"/>
  <c r="AO557" i="1"/>
  <c r="AU557" i="1"/>
  <c r="AO561" i="1"/>
  <c r="AU561" i="1"/>
  <c r="AO565" i="1"/>
  <c r="AU565" i="1"/>
  <c r="AO569" i="1"/>
  <c r="AU569" i="1"/>
  <c r="AO573" i="1"/>
  <c r="AU573" i="1"/>
  <c r="AO577" i="1"/>
  <c r="AU577" i="1"/>
  <c r="AO581" i="1"/>
  <c r="AU581" i="1"/>
  <c r="AO585" i="1"/>
  <c r="AU585" i="1"/>
  <c r="AO589" i="1"/>
  <c r="AU589" i="1"/>
  <c r="AO593" i="1"/>
  <c r="AU593" i="1"/>
  <c r="AO597" i="1"/>
  <c r="AU597" i="1"/>
  <c r="AO601" i="1"/>
  <c r="AU601" i="1"/>
  <c r="AO605" i="1"/>
  <c r="AU605" i="1"/>
  <c r="AO609" i="1"/>
  <c r="AU609" i="1"/>
  <c r="AO613" i="1"/>
  <c r="AU613" i="1"/>
  <c r="AO617" i="1"/>
  <c r="AU617" i="1"/>
  <c r="AO621" i="1"/>
  <c r="AU621" i="1"/>
  <c r="AO625" i="1"/>
  <c r="AU625" i="1"/>
  <c r="AO629" i="1"/>
  <c r="AU629" i="1"/>
  <c r="AO633" i="1"/>
  <c r="AU633" i="1"/>
  <c r="AO637" i="1"/>
  <c r="AU637" i="1"/>
  <c r="AO641" i="1"/>
  <c r="AU641" i="1"/>
  <c r="AO645" i="1"/>
  <c r="AU645" i="1"/>
  <c r="AO649" i="1"/>
  <c r="AU649" i="1"/>
  <c r="AO653" i="1"/>
  <c r="AU653" i="1"/>
  <c r="AO657" i="1"/>
  <c r="AU657" i="1"/>
  <c r="AO661" i="1"/>
  <c r="AU661" i="1"/>
  <c r="AO665" i="1"/>
  <c r="AU665" i="1"/>
  <c r="AO669" i="1"/>
  <c r="AU669" i="1"/>
  <c r="AO673" i="1"/>
  <c r="AU673" i="1"/>
  <c r="AO677" i="1"/>
  <c r="AU677" i="1"/>
  <c r="AO681" i="1"/>
  <c r="AU681" i="1"/>
  <c r="AO685" i="1"/>
  <c r="AU685" i="1"/>
  <c r="AO689" i="1"/>
  <c r="AU689" i="1"/>
  <c r="AO693" i="1"/>
  <c r="AU693" i="1"/>
  <c r="AO697" i="1"/>
  <c r="AU697" i="1"/>
  <c r="AO701" i="1"/>
  <c r="AU701" i="1"/>
  <c r="AO705" i="1"/>
  <c r="AU705" i="1"/>
  <c r="AO709" i="1"/>
  <c r="AU709" i="1"/>
  <c r="AO713" i="1"/>
  <c r="AU713" i="1"/>
  <c r="AO717" i="1"/>
  <c r="AU717" i="1"/>
  <c r="AO721" i="1"/>
  <c r="AU721" i="1"/>
  <c r="AO725" i="1"/>
  <c r="AU725" i="1"/>
  <c r="AO729" i="1"/>
  <c r="AU729" i="1"/>
  <c r="AO733" i="1"/>
  <c r="AU733" i="1"/>
  <c r="AO737" i="1"/>
  <c r="AU737" i="1"/>
  <c r="AO741" i="1"/>
  <c r="AU741" i="1"/>
  <c r="AO745" i="1"/>
  <c r="AU745" i="1"/>
  <c r="AO749" i="1"/>
  <c r="AU749" i="1"/>
  <c r="AO753" i="1"/>
  <c r="AU753" i="1"/>
  <c r="AO757" i="1"/>
  <c r="AU757" i="1"/>
  <c r="AO761" i="1"/>
  <c r="AU761" i="1"/>
  <c r="AO765" i="1"/>
  <c r="AU765" i="1"/>
  <c r="AO769" i="1"/>
  <c r="AU769" i="1"/>
  <c r="AO773" i="1"/>
  <c r="AU773" i="1"/>
  <c r="AO777" i="1"/>
  <c r="AU777" i="1"/>
  <c r="AO781" i="1"/>
  <c r="AU781" i="1"/>
  <c r="AO785" i="1"/>
  <c r="AU785" i="1"/>
  <c r="AO789" i="1"/>
  <c r="AU789" i="1"/>
  <c r="AO793" i="1"/>
  <c r="AU793" i="1"/>
  <c r="AO797" i="1"/>
  <c r="AU797" i="1"/>
  <c r="AO801" i="1"/>
  <c r="AU801" i="1"/>
  <c r="AO805" i="1"/>
  <c r="AU805" i="1"/>
  <c r="AO809" i="1"/>
  <c r="AU809" i="1"/>
  <c r="AO813" i="1"/>
  <c r="AU813" i="1"/>
  <c r="AO817" i="1"/>
  <c r="AU817" i="1"/>
  <c r="AO821" i="1"/>
  <c r="AU821" i="1"/>
  <c r="AO825" i="1"/>
  <c r="AU825" i="1"/>
  <c r="AO829" i="1"/>
  <c r="AU829" i="1"/>
  <c r="AO833" i="1"/>
  <c r="AU833" i="1"/>
  <c r="AO837" i="1"/>
  <c r="AU837" i="1"/>
  <c r="AO841" i="1"/>
  <c r="AU841" i="1"/>
  <c r="AO845" i="1"/>
  <c r="AU845" i="1"/>
  <c r="AO849" i="1"/>
  <c r="AU849" i="1"/>
  <c r="AO853" i="1"/>
  <c r="AU853" i="1"/>
  <c r="AO857" i="1"/>
  <c r="AU857" i="1"/>
  <c r="AO861" i="1"/>
  <c r="AU861" i="1"/>
  <c r="AO865" i="1"/>
  <c r="AU865" i="1"/>
  <c r="AO869" i="1"/>
  <c r="AU869" i="1"/>
  <c r="AO873" i="1"/>
  <c r="AU873" i="1"/>
  <c r="AO877" i="1"/>
  <c r="AU877" i="1"/>
  <c r="AO881" i="1"/>
  <c r="AU881" i="1"/>
  <c r="AO885" i="1"/>
  <c r="AU885" i="1"/>
  <c r="AO889" i="1"/>
  <c r="AU889" i="1"/>
  <c r="AO893" i="1"/>
  <c r="AU893" i="1"/>
  <c r="AO897" i="1"/>
  <c r="AU897" i="1"/>
  <c r="AO901" i="1"/>
  <c r="AU901" i="1"/>
  <c r="AS58" i="1"/>
  <c r="AS69" i="1"/>
  <c r="AS62" i="1"/>
  <c r="AS54" i="1"/>
  <c r="AS61" i="1"/>
  <c r="AS56" i="1"/>
  <c r="AS64" i="1"/>
  <c r="AS57" i="1"/>
  <c r="AS50" i="1"/>
  <c r="BR3" i="1"/>
  <c r="BR7" i="1"/>
  <c r="BA11" i="1" s="1"/>
  <c r="BR15" i="1"/>
  <c r="BV15" i="1" s="1"/>
  <c r="BR9" i="1"/>
  <c r="BR5" i="1"/>
  <c r="BR11" i="1"/>
  <c r="BR13" i="1"/>
  <c r="BV2" i="1"/>
  <c r="BP4" i="1"/>
  <c r="BT4" i="1"/>
  <c r="BP6" i="1"/>
  <c r="BT6" i="1"/>
  <c r="BP8" i="1"/>
  <c r="BT8" i="1"/>
  <c r="BP10" i="1"/>
  <c r="BT10" i="1"/>
  <c r="BP12" i="1"/>
  <c r="BT12" i="1"/>
  <c r="BP14" i="1"/>
  <c r="BV14" i="1" s="1"/>
  <c r="BT14" i="1"/>
  <c r="BP16" i="1"/>
  <c r="BV16" i="1" s="1"/>
  <c r="BA9" i="1"/>
  <c r="BP3" i="1"/>
  <c r="BT3" i="1"/>
  <c r="BR4" i="1"/>
  <c r="BP5" i="1"/>
  <c r="BT5" i="1"/>
  <c r="BR6" i="1"/>
  <c r="BP7" i="1"/>
  <c r="AZ10" i="1" s="1"/>
  <c r="BT7" i="1"/>
  <c r="BB38" i="1" s="1"/>
  <c r="AY38" i="1" s="1"/>
  <c r="BR8" i="1"/>
  <c r="BP9" i="1"/>
  <c r="BV9" i="1" s="1"/>
  <c r="BT9" i="1"/>
  <c r="BR10" i="1"/>
  <c r="BP11" i="1"/>
  <c r="BT11" i="1"/>
  <c r="BR12" i="1"/>
  <c r="BP13" i="1"/>
  <c r="BT13" i="1"/>
  <c r="AZ47" i="1" l="1"/>
  <c r="AZ48" i="1"/>
  <c r="AZ51" i="1"/>
  <c r="AZ4" i="1"/>
  <c r="AZ27" i="1"/>
  <c r="O27" i="1" s="1"/>
  <c r="BV5" i="1"/>
  <c r="AZ33" i="1"/>
  <c r="O33" i="1" s="1"/>
  <c r="AZ40" i="1"/>
  <c r="O40" i="1" s="1"/>
  <c r="BB4" i="1"/>
  <c r="AY4" i="1" s="1"/>
  <c r="Q4" i="1" s="1"/>
  <c r="BB19" i="1"/>
  <c r="AY19" i="1" s="1"/>
  <c r="BB9" i="1"/>
  <c r="AY9" i="1" s="1"/>
  <c r="Q9" i="1" s="1"/>
  <c r="AZ45" i="1"/>
  <c r="O45" i="1" s="1"/>
  <c r="BB42" i="1"/>
  <c r="AY42" i="1" s="1"/>
  <c r="Q42" i="1" s="1"/>
  <c r="BB33" i="1"/>
  <c r="AY33" i="1" s="1"/>
  <c r="AZ38" i="1"/>
  <c r="O38" i="1" s="1"/>
  <c r="AZ44" i="1"/>
  <c r="O44" i="1" s="1"/>
  <c r="AZ37" i="1"/>
  <c r="AZ25" i="1"/>
  <c r="O25" i="1" s="1"/>
  <c r="AZ60" i="1"/>
  <c r="O60" i="1" s="1"/>
  <c r="BB26" i="1"/>
  <c r="AY26" i="1" s="1"/>
  <c r="Q26" i="1" s="1"/>
  <c r="AZ41" i="1"/>
  <c r="AZ55" i="1"/>
  <c r="O55" i="1" s="1"/>
  <c r="BB60" i="1"/>
  <c r="AY60" i="1" s="1"/>
  <c r="BB46" i="1"/>
  <c r="AY46" i="1" s="1"/>
  <c r="Q46" i="1" s="1"/>
  <c r="AZ46" i="1"/>
  <c r="BB30" i="1"/>
  <c r="AY30" i="1" s="1"/>
  <c r="BB22" i="1"/>
  <c r="AY22" i="1" s="1"/>
  <c r="Q22" i="1" s="1"/>
  <c r="BB21" i="1"/>
  <c r="AY21" i="1" s="1"/>
  <c r="BB11" i="1"/>
  <c r="AY11" i="1" s="1"/>
  <c r="AZ17" i="1"/>
  <c r="O17" i="1" s="1"/>
  <c r="AZ8" i="1"/>
  <c r="O8" i="1" s="1"/>
  <c r="BB49" i="1"/>
  <c r="AY49" i="1" s="1"/>
  <c r="Q49" i="1" s="1"/>
  <c r="BB37" i="1"/>
  <c r="AY37" i="1" s="1"/>
  <c r="BB20" i="1"/>
  <c r="AY20" i="1" s="1"/>
  <c r="Q20" i="1" s="1"/>
  <c r="BB51" i="1"/>
  <c r="AY51" i="1" s="1"/>
  <c r="Q51" i="1" s="1"/>
  <c r="BB47" i="1"/>
  <c r="AY47" i="1" s="1"/>
  <c r="Q47" i="1" s="1"/>
  <c r="BB44" i="1"/>
  <c r="AY44" i="1" s="1"/>
  <c r="BB52" i="1"/>
  <c r="AY52" i="1" s="1"/>
  <c r="AZ53" i="1"/>
  <c r="O53" i="1" s="1"/>
  <c r="AZ36" i="1"/>
  <c r="O36" i="1" s="1"/>
  <c r="AZ32" i="1"/>
  <c r="BB35" i="1"/>
  <c r="AY35" i="1" s="1"/>
  <c r="BB14" i="1"/>
  <c r="AY14" i="1" s="1"/>
  <c r="Q14" i="1" s="1"/>
  <c r="BB28" i="1"/>
  <c r="AY28" i="1" s="1"/>
  <c r="Q28" i="1" s="1"/>
  <c r="BB10" i="1"/>
  <c r="AY10" i="1" s="1"/>
  <c r="AZ24" i="1"/>
  <c r="AZ13" i="1"/>
  <c r="O13" i="1" s="1"/>
  <c r="O10" i="1"/>
  <c r="O37" i="1"/>
  <c r="O46" i="1"/>
  <c r="AZ42" i="1"/>
  <c r="AZ30" i="1"/>
  <c r="AZ20" i="1"/>
  <c r="AZ21" i="1"/>
  <c r="AZ18" i="1"/>
  <c r="AZ6" i="1"/>
  <c r="AZ11" i="1"/>
  <c r="O11" i="1" s="1"/>
  <c r="AZ9" i="1"/>
  <c r="O9" i="1" s="1"/>
  <c r="O47" i="1"/>
  <c r="O24" i="1"/>
  <c r="BV13" i="1"/>
  <c r="BA19" i="1"/>
  <c r="O48" i="1"/>
  <c r="O32" i="1"/>
  <c r="BB34" i="1"/>
  <c r="AY34" i="1" s="1"/>
  <c r="BB27" i="1"/>
  <c r="AY27" i="1" s="1"/>
  <c r="Q27" i="1" s="1"/>
  <c r="BB17" i="1"/>
  <c r="AY17" i="1" s="1"/>
  <c r="Q17" i="1" s="1"/>
  <c r="BB16" i="1"/>
  <c r="AY16" i="1" s="1"/>
  <c r="Q16" i="1" s="1"/>
  <c r="BB15" i="1"/>
  <c r="AY15" i="1" s="1"/>
  <c r="BB5" i="1"/>
  <c r="AY5" i="1" s="1"/>
  <c r="Q5" i="1" s="1"/>
  <c r="BB12" i="1"/>
  <c r="AY12" i="1" s="1"/>
  <c r="BB7" i="1"/>
  <c r="AY7" i="1" s="1"/>
  <c r="Q7" i="1" s="1"/>
  <c r="AZ34" i="1"/>
  <c r="AZ29" i="1"/>
  <c r="AZ35" i="1"/>
  <c r="AZ26" i="1"/>
  <c r="AZ28" i="1"/>
  <c r="AZ14" i="1"/>
  <c r="AZ7" i="1"/>
  <c r="O7" i="1" s="1"/>
  <c r="AZ5" i="1"/>
  <c r="O41" i="1"/>
  <c r="O51" i="1"/>
  <c r="BB36" i="1"/>
  <c r="AY36" i="1" s="1"/>
  <c r="Q36" i="1" s="1"/>
  <c r="BB43" i="1"/>
  <c r="AY43" i="1" s="1"/>
  <c r="BB55" i="1"/>
  <c r="AY55" i="1" s="1"/>
  <c r="Q55" i="1" s="1"/>
  <c r="BB53" i="1"/>
  <c r="AY53" i="1" s="1"/>
  <c r="Q53" i="1" s="1"/>
  <c r="BB39" i="1"/>
  <c r="AY39" i="1" s="1"/>
  <c r="Q39" i="1" s="1"/>
  <c r="BV4" i="1"/>
  <c r="BA6" i="1"/>
  <c r="BA13" i="1"/>
  <c r="BB41" i="1"/>
  <c r="AY41" i="1" s="1"/>
  <c r="Q41" i="1" s="1"/>
  <c r="BB48" i="1"/>
  <c r="AY48" i="1" s="1"/>
  <c r="Q48" i="1" s="1"/>
  <c r="AZ52" i="1"/>
  <c r="BC52" i="1" s="1"/>
  <c r="P52" i="1" s="1"/>
  <c r="BB45" i="1"/>
  <c r="AY45" i="1" s="1"/>
  <c r="Q45" i="1" s="1"/>
  <c r="AZ49" i="1"/>
  <c r="AZ43" i="1"/>
  <c r="AZ39" i="1"/>
  <c r="BB23" i="1"/>
  <c r="AY23" i="1" s="1"/>
  <c r="Q23" i="1" s="1"/>
  <c r="BB31" i="1"/>
  <c r="AY31" i="1" s="1"/>
  <c r="Q31" i="1" s="1"/>
  <c r="BB29" i="1"/>
  <c r="AY29" i="1" s="1"/>
  <c r="Q29" i="1" s="1"/>
  <c r="BB18" i="1"/>
  <c r="AY18" i="1" s="1"/>
  <c r="Q18" i="1" s="1"/>
  <c r="BB25" i="1"/>
  <c r="AY25" i="1" s="1"/>
  <c r="Q25" i="1" s="1"/>
  <c r="BB24" i="1"/>
  <c r="AY24" i="1" s="1"/>
  <c r="Q24" i="1" s="1"/>
  <c r="BB13" i="1"/>
  <c r="AY13" i="1" s="1"/>
  <c r="BB8" i="1"/>
  <c r="AY8" i="1" s="1"/>
  <c r="Q8" i="1" s="1"/>
  <c r="BB6" i="1"/>
  <c r="AY6" i="1" s="1"/>
  <c r="Q6" i="1" s="1"/>
  <c r="BB32" i="1"/>
  <c r="AY32" i="1" s="1"/>
  <c r="Q32" i="1" s="1"/>
  <c r="AZ23" i="1"/>
  <c r="AZ31" i="1"/>
  <c r="AZ19" i="1"/>
  <c r="AZ15" i="1"/>
  <c r="AZ22" i="1"/>
  <c r="AZ16" i="1"/>
  <c r="AZ12" i="1"/>
  <c r="O12" i="1" s="1"/>
  <c r="BB40" i="1"/>
  <c r="AY40" i="1" s="1"/>
  <c r="Q40" i="1" s="1"/>
  <c r="AS67" i="1"/>
  <c r="AZ58" i="1"/>
  <c r="BB58" i="1"/>
  <c r="AY58" i="1" s="1"/>
  <c r="Q58" i="1" s="1"/>
  <c r="AS73" i="1"/>
  <c r="BA73" i="1" s="1"/>
  <c r="BB64" i="1"/>
  <c r="AY64" i="1" s="1"/>
  <c r="AZ64" i="1"/>
  <c r="AS71" i="1"/>
  <c r="BB62" i="1"/>
  <c r="AY62" i="1" s="1"/>
  <c r="AZ62" i="1"/>
  <c r="AS66" i="1"/>
  <c r="BA66" i="1" s="1"/>
  <c r="BB57" i="1"/>
  <c r="AY57" i="1" s="1"/>
  <c r="Q57" i="1" s="1"/>
  <c r="AZ57" i="1"/>
  <c r="AS63" i="1"/>
  <c r="BA63" i="1" s="1"/>
  <c r="AZ54" i="1"/>
  <c r="BB54" i="1"/>
  <c r="AY54" i="1" s="1"/>
  <c r="Q54" i="1" s="1"/>
  <c r="AS70" i="1"/>
  <c r="BA70" i="1" s="1"/>
  <c r="BB61" i="1"/>
  <c r="AY61" i="1" s="1"/>
  <c r="AZ61" i="1"/>
  <c r="AS65" i="1"/>
  <c r="BA65" i="1" s="1"/>
  <c r="BB56" i="1"/>
  <c r="AY56" i="1" s="1"/>
  <c r="Q56" i="1" s="1"/>
  <c r="AZ56" i="1"/>
  <c r="AS78" i="1"/>
  <c r="BA78" i="1" s="1"/>
  <c r="BB69" i="1"/>
  <c r="AY69" i="1" s="1"/>
  <c r="Q69" i="1" s="1"/>
  <c r="AZ69" i="1"/>
  <c r="AS59" i="1"/>
  <c r="BA59" i="1" s="1"/>
  <c r="BB50" i="1"/>
  <c r="AY50" i="1" s="1"/>
  <c r="Q50" i="1" s="1"/>
  <c r="AZ50" i="1"/>
  <c r="BA14" i="1"/>
  <c r="Q60" i="1"/>
  <c r="Q37" i="1"/>
  <c r="Q44" i="1"/>
  <c r="BA26" i="1"/>
  <c r="BA33" i="1"/>
  <c r="BA24" i="1"/>
  <c r="BA49" i="1"/>
  <c r="BA40" i="1"/>
  <c r="BA31" i="1"/>
  <c r="BA54" i="1"/>
  <c r="BA22" i="1"/>
  <c r="BA56" i="1"/>
  <c r="BA47" i="1"/>
  <c r="BA38" i="1"/>
  <c r="BA20" i="1"/>
  <c r="BV6" i="1"/>
  <c r="BA12" i="1"/>
  <c r="BA15" i="1"/>
  <c r="BA4" i="1"/>
  <c r="BV12" i="1"/>
  <c r="BV10" i="1"/>
  <c r="BV8" i="1"/>
  <c r="BV3" i="1"/>
  <c r="BA10" i="1"/>
  <c r="BA17" i="1"/>
  <c r="BA18" i="1"/>
  <c r="BA62" i="1"/>
  <c r="BA50" i="1"/>
  <c r="BA43" i="1"/>
  <c r="BA27" i="1"/>
  <c r="BA52" i="1"/>
  <c r="BA36" i="1"/>
  <c r="BA61" i="1"/>
  <c r="BA45" i="1"/>
  <c r="BA29" i="1"/>
  <c r="BA34" i="1"/>
  <c r="Q33" i="1"/>
  <c r="Q38" i="1"/>
  <c r="BA46" i="1"/>
  <c r="BA55" i="1"/>
  <c r="BA39" i="1"/>
  <c r="BA23" i="1"/>
  <c r="BA64" i="1"/>
  <c r="BA48" i="1"/>
  <c r="BA32" i="1"/>
  <c r="BA57" i="1"/>
  <c r="BA41" i="1"/>
  <c r="BA25" i="1"/>
  <c r="BA30" i="1"/>
  <c r="Q52" i="1"/>
  <c r="Q61" i="1"/>
  <c r="Q34" i="1"/>
  <c r="BC34" i="1"/>
  <c r="P34" i="1" s="1"/>
  <c r="BD34" i="1"/>
  <c r="BV11" i="1"/>
  <c r="BA16" i="1"/>
  <c r="BA8" i="1"/>
  <c r="BA21" i="1"/>
  <c r="BA58" i="1"/>
  <c r="BA67" i="1"/>
  <c r="BA51" i="1"/>
  <c r="BA35" i="1"/>
  <c r="BA60" i="1"/>
  <c r="BA44" i="1"/>
  <c r="BA28" i="1"/>
  <c r="BA69" i="1"/>
  <c r="BA53" i="1"/>
  <c r="BA37" i="1"/>
  <c r="BA42" i="1"/>
  <c r="Q43" i="1"/>
  <c r="Q64" i="1"/>
  <c r="Q62" i="1"/>
  <c r="Q30" i="1"/>
  <c r="Q35" i="1"/>
  <c r="BA5" i="1"/>
  <c r="BA7" i="1"/>
  <c r="Q10" i="1"/>
  <c r="Q21" i="1"/>
  <c r="BV7" i="1"/>
  <c r="Q19" i="1"/>
  <c r="Q15" i="1"/>
  <c r="Q13" i="1"/>
  <c r="Q11" i="1"/>
  <c r="Q12" i="1"/>
  <c r="O4" i="1" l="1"/>
  <c r="BC4" i="1"/>
  <c r="BD4" i="1"/>
  <c r="O69" i="1"/>
  <c r="O57" i="1"/>
  <c r="O15" i="1"/>
  <c r="O49" i="1"/>
  <c r="O14" i="1"/>
  <c r="O30" i="1"/>
  <c r="BD27" i="1"/>
  <c r="O50" i="1"/>
  <c r="O19" i="1"/>
  <c r="O5" i="1"/>
  <c r="O28" i="1"/>
  <c r="O34" i="1"/>
  <c r="O18" i="1"/>
  <c r="O42" i="1"/>
  <c r="O29" i="1"/>
  <c r="O6" i="1"/>
  <c r="O61" i="1"/>
  <c r="O54" i="1"/>
  <c r="O64" i="1"/>
  <c r="O58" i="1"/>
  <c r="O16" i="1"/>
  <c r="O31" i="1"/>
  <c r="O39" i="1"/>
  <c r="O52" i="1"/>
  <c r="O26" i="1"/>
  <c r="O21" i="1"/>
  <c r="O56" i="1"/>
  <c r="O62" i="1"/>
  <c r="O22" i="1"/>
  <c r="O23" i="1"/>
  <c r="O43" i="1"/>
  <c r="O35" i="1"/>
  <c r="O20" i="1"/>
  <c r="AS76" i="1"/>
  <c r="AZ67" i="1"/>
  <c r="BB67" i="1"/>
  <c r="AY67" i="1" s="1"/>
  <c r="Q67" i="1" s="1"/>
  <c r="AS80" i="1"/>
  <c r="BB71" i="1"/>
  <c r="AY71" i="1" s="1"/>
  <c r="Q71" i="1" s="1"/>
  <c r="AZ71" i="1"/>
  <c r="BA71" i="1"/>
  <c r="AS75" i="1"/>
  <c r="BB66" i="1"/>
  <c r="AY66" i="1" s="1"/>
  <c r="Q66" i="1" s="1"/>
  <c r="AZ66" i="1"/>
  <c r="AS74" i="1"/>
  <c r="BB65" i="1"/>
  <c r="AY65" i="1" s="1"/>
  <c r="Q65" i="1" s="1"/>
  <c r="AZ65" i="1"/>
  <c r="BC65" i="1" s="1"/>
  <c r="AS72" i="1"/>
  <c r="BB63" i="1"/>
  <c r="AY63" i="1" s="1"/>
  <c r="Q63" i="1" s="1"/>
  <c r="AZ63" i="1"/>
  <c r="AS87" i="1"/>
  <c r="BB78" i="1"/>
  <c r="AY78" i="1" s="1"/>
  <c r="Q78" i="1" s="1"/>
  <c r="AZ78" i="1"/>
  <c r="AS79" i="1"/>
  <c r="BB70" i="1"/>
  <c r="AY70" i="1" s="1"/>
  <c r="Q70" i="1" s="1"/>
  <c r="AZ70" i="1"/>
  <c r="AS82" i="1"/>
  <c r="AZ73" i="1"/>
  <c r="BB73" i="1"/>
  <c r="AY73" i="1" s="1"/>
  <c r="Q73" i="1" s="1"/>
  <c r="AS68" i="1"/>
  <c r="AZ59" i="1"/>
  <c r="BB59" i="1"/>
  <c r="AY59" i="1" s="1"/>
  <c r="Q59" i="1" s="1"/>
  <c r="BC2" i="1"/>
  <c r="P4" i="1"/>
  <c r="BC27" i="1"/>
  <c r="P27" i="1" s="1"/>
  <c r="BC36" i="1"/>
  <c r="P36" i="1" s="1"/>
  <c r="BD65" i="1"/>
  <c r="BD33" i="1"/>
  <c r="BC33" i="1"/>
  <c r="P33" i="1" s="1"/>
  <c r="BC58" i="1"/>
  <c r="P58" i="1" s="1"/>
  <c r="BD58" i="1"/>
  <c r="BD57" i="1"/>
  <c r="BC57" i="1"/>
  <c r="P57" i="1" s="1"/>
  <c r="AX36" i="1"/>
  <c r="BD64" i="1"/>
  <c r="BC64" i="1"/>
  <c r="P64" i="1" s="1"/>
  <c r="BC55" i="1"/>
  <c r="P55" i="1" s="1"/>
  <c r="BD55" i="1"/>
  <c r="BC46" i="1"/>
  <c r="P46" i="1" s="1"/>
  <c r="BD46" i="1"/>
  <c r="BD61" i="1"/>
  <c r="BC61" i="1"/>
  <c r="P61" i="1" s="1"/>
  <c r="BD24" i="1"/>
  <c r="BC24" i="1"/>
  <c r="P24" i="1" s="1"/>
  <c r="BD53" i="1"/>
  <c r="BC53" i="1"/>
  <c r="P53" i="1" s="1"/>
  <c r="AX52" i="1"/>
  <c r="BC40" i="1"/>
  <c r="P40" i="1" s="1"/>
  <c r="BD40" i="1"/>
  <c r="BD31" i="1"/>
  <c r="BC31" i="1"/>
  <c r="P31" i="1" s="1"/>
  <c r="BD22" i="1"/>
  <c r="BC22" i="1"/>
  <c r="P22" i="1" s="1"/>
  <c r="BD25" i="1"/>
  <c r="BD28" i="1"/>
  <c r="BC28" i="1"/>
  <c r="P28" i="1" s="1"/>
  <c r="BD69" i="1"/>
  <c r="BC69" i="1"/>
  <c r="P69" i="1" s="1"/>
  <c r="BD50" i="1"/>
  <c r="BD37" i="1"/>
  <c r="BC37" i="1"/>
  <c r="P37" i="1" s="1"/>
  <c r="BD62" i="1"/>
  <c r="BC62" i="1"/>
  <c r="P62" i="1" s="1"/>
  <c r="BC41" i="1"/>
  <c r="P41" i="1" s="1"/>
  <c r="BD43" i="1"/>
  <c r="AX34" i="1"/>
  <c r="BE34" i="1"/>
  <c r="BC56" i="1"/>
  <c r="P56" i="1" s="1"/>
  <c r="BD56" i="1"/>
  <c r="BD47" i="1"/>
  <c r="BC47" i="1"/>
  <c r="P47" i="1" s="1"/>
  <c r="BD38" i="1"/>
  <c r="BC38" i="1"/>
  <c r="P38" i="1" s="1"/>
  <c r="BD52" i="1"/>
  <c r="BE52" i="1" s="1"/>
  <c r="BD44" i="1"/>
  <c r="BC44" i="1"/>
  <c r="P44" i="1" s="1"/>
  <c r="BC35" i="1"/>
  <c r="P35" i="1" s="1"/>
  <c r="BD35" i="1"/>
  <c r="BC26" i="1"/>
  <c r="P26" i="1" s="1"/>
  <c r="BD26" i="1"/>
  <c r="BD36" i="1"/>
  <c r="BC50" i="1"/>
  <c r="P50" i="1" s="1"/>
  <c r="BC32" i="1"/>
  <c r="P32" i="1" s="1"/>
  <c r="BD32" i="1"/>
  <c r="BD23" i="1"/>
  <c r="BC23" i="1"/>
  <c r="P23" i="1" s="1"/>
  <c r="BD29" i="1"/>
  <c r="BC29" i="1"/>
  <c r="P29" i="1" s="1"/>
  <c r="BC54" i="1"/>
  <c r="P54" i="1" s="1"/>
  <c r="BD54" i="1"/>
  <c r="BC25" i="1"/>
  <c r="P25" i="1" s="1"/>
  <c r="BC60" i="1"/>
  <c r="P60" i="1" s="1"/>
  <c r="BD60" i="1"/>
  <c r="BC51" i="1"/>
  <c r="P51" i="1" s="1"/>
  <c r="BD51" i="1"/>
  <c r="BD42" i="1"/>
  <c r="BC42" i="1"/>
  <c r="P42" i="1" s="1"/>
  <c r="BC45" i="1"/>
  <c r="P45" i="1" s="1"/>
  <c r="BD45" i="1"/>
  <c r="BC48" i="1"/>
  <c r="P48" i="1" s="1"/>
  <c r="BD48" i="1"/>
  <c r="BC39" i="1"/>
  <c r="P39" i="1" s="1"/>
  <c r="BD39" i="1"/>
  <c r="BC30" i="1"/>
  <c r="P30" i="1" s="1"/>
  <c r="BD30" i="1"/>
  <c r="BD49" i="1"/>
  <c r="BC49" i="1"/>
  <c r="P49" i="1" s="1"/>
  <c r="BD41" i="1"/>
  <c r="BC43" i="1"/>
  <c r="P43" i="1" s="1"/>
  <c r="BD9" i="1"/>
  <c r="BD12" i="1"/>
  <c r="BD6" i="1"/>
  <c r="BD7" i="1"/>
  <c r="BD11" i="1"/>
  <c r="BD10" i="1"/>
  <c r="BD8" i="1"/>
  <c r="BD5" i="1"/>
  <c r="BD18" i="1"/>
  <c r="BD19" i="1"/>
  <c r="BD16" i="1"/>
  <c r="BD14" i="1"/>
  <c r="BD15" i="1"/>
  <c r="BD17" i="1"/>
  <c r="BD20" i="1"/>
  <c r="BD13" i="1"/>
  <c r="BD21" i="1"/>
  <c r="BC8" i="1"/>
  <c r="P8" i="1" s="1"/>
  <c r="BC5" i="1"/>
  <c r="P5" i="1" s="1"/>
  <c r="BC14" i="1"/>
  <c r="P14" i="1" s="1"/>
  <c r="BC20" i="1"/>
  <c r="P20" i="1" s="1"/>
  <c r="BC10" i="1"/>
  <c r="P10" i="1" s="1"/>
  <c r="BC7" i="1"/>
  <c r="P7" i="1" s="1"/>
  <c r="BC13" i="1"/>
  <c r="P13" i="1" s="1"/>
  <c r="BC19" i="1"/>
  <c r="P19" i="1" s="1"/>
  <c r="BC12" i="1"/>
  <c r="P12" i="1" s="1"/>
  <c r="BC15" i="1"/>
  <c r="P15" i="1" s="1"/>
  <c r="BC17" i="1"/>
  <c r="P17" i="1" s="1"/>
  <c r="BC18" i="1"/>
  <c r="P18" i="1" s="1"/>
  <c r="BC21" i="1"/>
  <c r="P21" i="1" s="1"/>
  <c r="BC6" i="1"/>
  <c r="P6" i="1" s="1"/>
  <c r="BC9" i="1"/>
  <c r="P9" i="1" s="1"/>
  <c r="BC11" i="1"/>
  <c r="P11" i="1" s="1"/>
  <c r="BC16" i="1"/>
  <c r="P16" i="1" s="1"/>
  <c r="BD73" i="1" l="1"/>
  <c r="BC66" i="1"/>
  <c r="P66" i="1" s="1"/>
  <c r="BC73" i="1"/>
  <c r="P73" i="1" s="1"/>
  <c r="BC71" i="1"/>
  <c r="P71" i="1" s="1"/>
  <c r="BE36" i="1"/>
  <c r="P65" i="1"/>
  <c r="AX65" i="1"/>
  <c r="O78" i="1"/>
  <c r="BC67" i="1"/>
  <c r="P67" i="1" s="1"/>
  <c r="O66" i="1"/>
  <c r="O71" i="1"/>
  <c r="O67" i="1"/>
  <c r="O70" i="1"/>
  <c r="BD70" i="1"/>
  <c r="BD66" i="1"/>
  <c r="BD71" i="1"/>
  <c r="BD67" i="1"/>
  <c r="O65" i="1"/>
  <c r="BC70" i="1"/>
  <c r="P70" i="1" s="1"/>
  <c r="AX27" i="1"/>
  <c r="O73" i="1"/>
  <c r="O63" i="1"/>
  <c r="AS85" i="1"/>
  <c r="AZ76" i="1"/>
  <c r="BB76" i="1"/>
  <c r="AY76" i="1" s="1"/>
  <c r="Q76" i="1" s="1"/>
  <c r="BA76" i="1"/>
  <c r="AS91" i="1"/>
  <c r="BB82" i="1"/>
  <c r="AY82" i="1" s="1"/>
  <c r="Q82" i="1" s="1"/>
  <c r="AZ82" i="1"/>
  <c r="BA82" i="1"/>
  <c r="BC63" i="1"/>
  <c r="P63" i="1" s="1"/>
  <c r="AS81" i="1"/>
  <c r="AZ72" i="1"/>
  <c r="BB72" i="1"/>
  <c r="AY72" i="1" s="1"/>
  <c r="Q72" i="1" s="1"/>
  <c r="BA72" i="1"/>
  <c r="AS83" i="1"/>
  <c r="BB74" i="1"/>
  <c r="AY74" i="1" s="1"/>
  <c r="Q74" i="1" s="1"/>
  <c r="AZ74" i="1"/>
  <c r="BA74" i="1"/>
  <c r="BD63" i="1"/>
  <c r="BC78" i="1"/>
  <c r="P78" i="1" s="1"/>
  <c r="AS96" i="1"/>
  <c r="BB87" i="1"/>
  <c r="AY87" i="1" s="1"/>
  <c r="Q87" i="1" s="1"/>
  <c r="AZ87" i="1"/>
  <c r="BA87" i="1"/>
  <c r="BD78" i="1"/>
  <c r="AS88" i="1"/>
  <c r="BB79" i="1"/>
  <c r="AY79" i="1" s="1"/>
  <c r="Q79" i="1" s="1"/>
  <c r="AZ79" i="1"/>
  <c r="BA79" i="1"/>
  <c r="AS84" i="1"/>
  <c r="BB75" i="1"/>
  <c r="AY75" i="1" s="1"/>
  <c r="Q75" i="1" s="1"/>
  <c r="AZ75" i="1"/>
  <c r="BA75" i="1"/>
  <c r="AS89" i="1"/>
  <c r="BB80" i="1"/>
  <c r="AY80" i="1" s="1"/>
  <c r="Q80" i="1" s="1"/>
  <c r="AZ80" i="1"/>
  <c r="BA80" i="1"/>
  <c r="O59" i="1"/>
  <c r="BD59" i="1"/>
  <c r="BC59" i="1"/>
  <c r="AS77" i="1"/>
  <c r="AZ68" i="1"/>
  <c r="BB68" i="1"/>
  <c r="AY68" i="1" s="1"/>
  <c r="Q68" i="1" s="1"/>
  <c r="BA68" i="1"/>
  <c r="BE4" i="1"/>
  <c r="BE65" i="1"/>
  <c r="BE27" i="1"/>
  <c r="BE64" i="1"/>
  <c r="AX48" i="1"/>
  <c r="BE48" i="1"/>
  <c r="AX45" i="1"/>
  <c r="BE45" i="1"/>
  <c r="AX60" i="1"/>
  <c r="BE60" i="1"/>
  <c r="AX32" i="1"/>
  <c r="BE32" i="1"/>
  <c r="AX62" i="1"/>
  <c r="BE62" i="1"/>
  <c r="BE31" i="1"/>
  <c r="AX31" i="1"/>
  <c r="AX40" i="1"/>
  <c r="BE40" i="1"/>
  <c r="AX55" i="1"/>
  <c r="BE55" i="1"/>
  <c r="AX57" i="1"/>
  <c r="BE57" i="1"/>
  <c r="AX58" i="1"/>
  <c r="BE58" i="1"/>
  <c r="BE42" i="1"/>
  <c r="AX42" i="1"/>
  <c r="AX54" i="1"/>
  <c r="BE54" i="1"/>
  <c r="BE29" i="1"/>
  <c r="AX29" i="1"/>
  <c r="BE37" i="1"/>
  <c r="AX37" i="1"/>
  <c r="BE22" i="1"/>
  <c r="AX22" i="1"/>
  <c r="AX46" i="1"/>
  <c r="BE46" i="1"/>
  <c r="AX33" i="1"/>
  <c r="BE33" i="1"/>
  <c r="AX49" i="1"/>
  <c r="BE49" i="1"/>
  <c r="AX30" i="1"/>
  <c r="BE30" i="1"/>
  <c r="AX39" i="1"/>
  <c r="BE39" i="1"/>
  <c r="AX51" i="1"/>
  <c r="BE51" i="1"/>
  <c r="AX25" i="1"/>
  <c r="BE25" i="1"/>
  <c r="AX26" i="1"/>
  <c r="BE26" i="1"/>
  <c r="AX35" i="1"/>
  <c r="BE35" i="1"/>
  <c r="BE47" i="1"/>
  <c r="AX47" i="1"/>
  <c r="AX56" i="1"/>
  <c r="BE56" i="1"/>
  <c r="BE73" i="1"/>
  <c r="AX73" i="1"/>
  <c r="AX24" i="1"/>
  <c r="BE24" i="1"/>
  <c r="BE61" i="1"/>
  <c r="AX61" i="1"/>
  <c r="AX64" i="1"/>
  <c r="AX43" i="1"/>
  <c r="BE43" i="1"/>
  <c r="AX66" i="1"/>
  <c r="BE66" i="1"/>
  <c r="BE23" i="1"/>
  <c r="AX23" i="1"/>
  <c r="AX50" i="1"/>
  <c r="BE50" i="1"/>
  <c r="AX44" i="1"/>
  <c r="BE44" i="1"/>
  <c r="AX38" i="1"/>
  <c r="BE38" i="1"/>
  <c r="AX41" i="1"/>
  <c r="BE41" i="1"/>
  <c r="BE71" i="1"/>
  <c r="BE69" i="1"/>
  <c r="AX69" i="1"/>
  <c r="AX28" i="1"/>
  <c r="BE28" i="1"/>
  <c r="AX53" i="1"/>
  <c r="BE53" i="1"/>
  <c r="BE7" i="1"/>
  <c r="AX7" i="1"/>
  <c r="AX10" i="1"/>
  <c r="BE10" i="1"/>
  <c r="AX5" i="1"/>
  <c r="BE5" i="1"/>
  <c r="BE16" i="1"/>
  <c r="AX16" i="1"/>
  <c r="AX9" i="1"/>
  <c r="BE9" i="1"/>
  <c r="BE18" i="1"/>
  <c r="AX18" i="1"/>
  <c r="AX17" i="1"/>
  <c r="BE17" i="1"/>
  <c r="AX14" i="1"/>
  <c r="BE14" i="1"/>
  <c r="BE8" i="1"/>
  <c r="AX8" i="1"/>
  <c r="AX21" i="1"/>
  <c r="BE21" i="1"/>
  <c r="AX6" i="1"/>
  <c r="BE6" i="1"/>
  <c r="BE15" i="1"/>
  <c r="AX15" i="1"/>
  <c r="BE19" i="1"/>
  <c r="AX19" i="1"/>
  <c r="BE11" i="1"/>
  <c r="AX11" i="1"/>
  <c r="BE12" i="1"/>
  <c r="AX12" i="1"/>
  <c r="AX13" i="1"/>
  <c r="BE13" i="1"/>
  <c r="BE20" i="1"/>
  <c r="AX20" i="1"/>
  <c r="AX4" i="1"/>
  <c r="AX71" i="1" l="1"/>
  <c r="AX78" i="1"/>
  <c r="BE78" i="1"/>
  <c r="AX70" i="1"/>
  <c r="BE70" i="1"/>
  <c r="BE67" i="1"/>
  <c r="BE63" i="1"/>
  <c r="AX63" i="1"/>
  <c r="AX67" i="1"/>
  <c r="O76" i="1"/>
  <c r="BC76" i="1"/>
  <c r="BD76" i="1"/>
  <c r="AS94" i="1"/>
  <c r="BB85" i="1"/>
  <c r="AY85" i="1" s="1"/>
  <c r="Q85" i="1" s="1"/>
  <c r="AZ85" i="1"/>
  <c r="BA85" i="1"/>
  <c r="AS105" i="1"/>
  <c r="BB96" i="1"/>
  <c r="AY96" i="1" s="1"/>
  <c r="Q96" i="1" s="1"/>
  <c r="AZ96" i="1"/>
  <c r="BA96" i="1"/>
  <c r="O80" i="1"/>
  <c r="BC80" i="1"/>
  <c r="BD80" i="1"/>
  <c r="O75" i="1"/>
  <c r="BC75" i="1"/>
  <c r="BD75" i="1"/>
  <c r="O79" i="1"/>
  <c r="BC79" i="1"/>
  <c r="BD79" i="1"/>
  <c r="O72" i="1"/>
  <c r="BD72" i="1"/>
  <c r="BC72" i="1"/>
  <c r="O82" i="1"/>
  <c r="BC82" i="1"/>
  <c r="BD82" i="1"/>
  <c r="O87" i="1"/>
  <c r="BC87" i="1"/>
  <c r="BD87" i="1"/>
  <c r="AS92" i="1"/>
  <c r="BB83" i="1"/>
  <c r="AY83" i="1" s="1"/>
  <c r="Q83" i="1" s="1"/>
  <c r="AZ83" i="1"/>
  <c r="BA83" i="1"/>
  <c r="AS90" i="1"/>
  <c r="BB81" i="1"/>
  <c r="AY81" i="1" s="1"/>
  <c r="Q81" i="1" s="1"/>
  <c r="AZ81" i="1"/>
  <c r="BA81" i="1"/>
  <c r="O74" i="1"/>
  <c r="BC74" i="1"/>
  <c r="BD74" i="1"/>
  <c r="AS98" i="1"/>
  <c r="BB89" i="1"/>
  <c r="AY89" i="1" s="1"/>
  <c r="Q89" i="1" s="1"/>
  <c r="AZ89" i="1"/>
  <c r="BA89" i="1"/>
  <c r="AS93" i="1"/>
  <c r="BB84" i="1"/>
  <c r="AY84" i="1" s="1"/>
  <c r="Q84" i="1" s="1"/>
  <c r="AZ84" i="1"/>
  <c r="BA84" i="1"/>
  <c r="AS97" i="1"/>
  <c r="BB88" i="1"/>
  <c r="AY88" i="1" s="1"/>
  <c r="Q88" i="1" s="1"/>
  <c r="AZ88" i="1"/>
  <c r="BA88" i="1"/>
  <c r="AS100" i="1"/>
  <c r="BB91" i="1"/>
  <c r="AY91" i="1" s="1"/>
  <c r="Q91" i="1" s="1"/>
  <c r="AZ91" i="1"/>
  <c r="BA91" i="1"/>
  <c r="AS86" i="1"/>
  <c r="AZ77" i="1"/>
  <c r="BB77" i="1"/>
  <c r="AY77" i="1" s="1"/>
  <c r="Q77" i="1" s="1"/>
  <c r="BA77" i="1"/>
  <c r="P59" i="1"/>
  <c r="AX59" i="1"/>
  <c r="BE59" i="1"/>
  <c r="O68" i="1"/>
  <c r="BC68" i="1"/>
  <c r="BD68" i="1"/>
  <c r="AS103" i="1" l="1"/>
  <c r="AZ94" i="1"/>
  <c r="BB94" i="1"/>
  <c r="AY94" i="1" s="1"/>
  <c r="Q94" i="1" s="1"/>
  <c r="BA94" i="1"/>
  <c r="O85" i="1"/>
  <c r="BD85" i="1"/>
  <c r="BC85" i="1"/>
  <c r="P76" i="1"/>
  <c r="AX76" i="1"/>
  <c r="BE76" i="1"/>
  <c r="O88" i="1"/>
  <c r="BC88" i="1"/>
  <c r="BD88" i="1"/>
  <c r="AS99" i="1"/>
  <c r="BB90" i="1"/>
  <c r="AY90" i="1" s="1"/>
  <c r="Q90" i="1" s="1"/>
  <c r="AZ90" i="1"/>
  <c r="BA90" i="1"/>
  <c r="AS101" i="1"/>
  <c r="BB92" i="1"/>
  <c r="AY92" i="1" s="1"/>
  <c r="Q92" i="1" s="1"/>
  <c r="AZ92" i="1"/>
  <c r="BA92" i="1"/>
  <c r="O96" i="1"/>
  <c r="BC96" i="1"/>
  <c r="BD96" i="1"/>
  <c r="O84" i="1"/>
  <c r="BD84" i="1"/>
  <c r="BC84" i="1"/>
  <c r="P79" i="1"/>
  <c r="AX79" i="1"/>
  <c r="BE79" i="1"/>
  <c r="P82" i="1"/>
  <c r="BE82" i="1"/>
  <c r="AX82" i="1"/>
  <c r="P80" i="1"/>
  <c r="BE80" i="1"/>
  <c r="AX80" i="1"/>
  <c r="O91" i="1"/>
  <c r="BC91" i="1"/>
  <c r="BD91" i="1"/>
  <c r="O89" i="1"/>
  <c r="BC89" i="1"/>
  <c r="BD89" i="1"/>
  <c r="P74" i="1"/>
  <c r="AX74" i="1"/>
  <c r="BE74" i="1"/>
  <c r="P72" i="1"/>
  <c r="AX72" i="1"/>
  <c r="BE72" i="1"/>
  <c r="AS109" i="1"/>
  <c r="BB100" i="1"/>
  <c r="AY100" i="1" s="1"/>
  <c r="Q100" i="1" s="1"/>
  <c r="AZ100" i="1"/>
  <c r="BA100" i="1"/>
  <c r="AS106" i="1"/>
  <c r="BB97" i="1"/>
  <c r="AY97" i="1" s="1"/>
  <c r="Q97" i="1" s="1"/>
  <c r="AZ97" i="1"/>
  <c r="BA97" i="1"/>
  <c r="AS102" i="1"/>
  <c r="BB93" i="1"/>
  <c r="AY93" i="1" s="1"/>
  <c r="Q93" i="1" s="1"/>
  <c r="AZ93" i="1"/>
  <c r="BA93" i="1"/>
  <c r="AS107" i="1"/>
  <c r="BB98" i="1"/>
  <c r="AY98" i="1" s="1"/>
  <c r="Q98" i="1" s="1"/>
  <c r="AZ98" i="1"/>
  <c r="BA98" i="1"/>
  <c r="O81" i="1"/>
  <c r="BD81" i="1"/>
  <c r="BC81" i="1"/>
  <c r="O83" i="1"/>
  <c r="BC83" i="1"/>
  <c r="BD83" i="1"/>
  <c r="P87" i="1"/>
  <c r="BE87" i="1"/>
  <c r="AX87" i="1"/>
  <c r="P75" i="1"/>
  <c r="BE75" i="1"/>
  <c r="AX75" i="1"/>
  <c r="AS114" i="1"/>
  <c r="BB105" i="1"/>
  <c r="AY105" i="1" s="1"/>
  <c r="Q105" i="1" s="1"/>
  <c r="AZ105" i="1"/>
  <c r="BA105" i="1"/>
  <c r="P68" i="1"/>
  <c r="BE68" i="1"/>
  <c r="AX68" i="1"/>
  <c r="AS95" i="1"/>
  <c r="BB86" i="1"/>
  <c r="AY86" i="1" s="1"/>
  <c r="Q86" i="1" s="1"/>
  <c r="AZ86" i="1"/>
  <c r="BA86" i="1"/>
  <c r="O77" i="1"/>
  <c r="BD77" i="1"/>
  <c r="BC77" i="1"/>
  <c r="P85" i="1" l="1"/>
  <c r="AX85" i="1"/>
  <c r="BE85" i="1"/>
  <c r="AS112" i="1"/>
  <c r="AZ103" i="1"/>
  <c r="BB103" i="1"/>
  <c r="AY103" i="1" s="1"/>
  <c r="Q103" i="1" s="1"/>
  <c r="BA103" i="1"/>
  <c r="O94" i="1"/>
  <c r="BD94" i="1"/>
  <c r="BC94" i="1"/>
  <c r="P91" i="1"/>
  <c r="AX91" i="1"/>
  <c r="AS110" i="1"/>
  <c r="BB101" i="1"/>
  <c r="AY101" i="1" s="1"/>
  <c r="Q101" i="1" s="1"/>
  <c r="AZ101" i="1"/>
  <c r="BA101" i="1"/>
  <c r="AS108" i="1"/>
  <c r="BB99" i="1"/>
  <c r="AY99" i="1" s="1"/>
  <c r="Q99" i="1" s="1"/>
  <c r="AZ99" i="1"/>
  <c r="BA99" i="1"/>
  <c r="AS123" i="1"/>
  <c r="AZ114" i="1"/>
  <c r="BB114" i="1"/>
  <c r="AY114" i="1" s="1"/>
  <c r="Q114" i="1" s="1"/>
  <c r="BA114" i="1"/>
  <c r="P83" i="1"/>
  <c r="AX83" i="1"/>
  <c r="BE83" i="1"/>
  <c r="AS116" i="1"/>
  <c r="BB107" i="1"/>
  <c r="AY107" i="1" s="1"/>
  <c r="Q107" i="1" s="1"/>
  <c r="AZ107" i="1"/>
  <c r="BA107" i="1"/>
  <c r="AS111" i="1"/>
  <c r="BB102" i="1"/>
  <c r="AY102" i="1" s="1"/>
  <c r="Q102" i="1" s="1"/>
  <c r="AZ102" i="1"/>
  <c r="BA102" i="1"/>
  <c r="AS115" i="1"/>
  <c r="BB106" i="1"/>
  <c r="AY106" i="1" s="1"/>
  <c r="Q106" i="1" s="1"/>
  <c r="AZ106" i="1"/>
  <c r="BA106" i="1"/>
  <c r="AS118" i="1"/>
  <c r="BB109" i="1"/>
  <c r="AY109" i="1" s="1"/>
  <c r="Q109" i="1" s="1"/>
  <c r="AZ109" i="1"/>
  <c r="BA109" i="1"/>
  <c r="P89" i="1"/>
  <c r="AX89" i="1"/>
  <c r="BE89" i="1"/>
  <c r="BE96" i="1"/>
  <c r="O92" i="1"/>
  <c r="BD92" i="1"/>
  <c r="BC92" i="1"/>
  <c r="O90" i="1"/>
  <c r="BC90" i="1"/>
  <c r="BD90" i="1"/>
  <c r="P88" i="1"/>
  <c r="AX88" i="1"/>
  <c r="BE88" i="1"/>
  <c r="O105" i="1"/>
  <c r="BC105" i="1"/>
  <c r="BD105" i="1"/>
  <c r="P81" i="1"/>
  <c r="AX81" i="1"/>
  <c r="BE81" i="1"/>
  <c r="O98" i="1"/>
  <c r="BD98" i="1"/>
  <c r="BC98" i="1"/>
  <c r="O93" i="1"/>
  <c r="BD93" i="1"/>
  <c r="BC93" i="1"/>
  <c r="O97" i="1"/>
  <c r="BC97" i="1"/>
  <c r="BD97" i="1"/>
  <c r="O100" i="1"/>
  <c r="BC100" i="1"/>
  <c r="BD100" i="1"/>
  <c r="BE91" i="1"/>
  <c r="P84" i="1"/>
  <c r="BE84" i="1"/>
  <c r="AX84" i="1"/>
  <c r="P96" i="1"/>
  <c r="AX96" i="1"/>
  <c r="AS104" i="1"/>
  <c r="AZ95" i="1"/>
  <c r="BB95" i="1"/>
  <c r="AY95" i="1" s="1"/>
  <c r="Q95" i="1" s="1"/>
  <c r="BA95" i="1"/>
  <c r="P77" i="1"/>
  <c r="AX77" i="1"/>
  <c r="BE77" i="1"/>
  <c r="O86" i="1"/>
  <c r="BC86" i="1"/>
  <c r="BD86" i="1"/>
  <c r="AS121" i="1" l="1"/>
  <c r="AZ112" i="1"/>
  <c r="BB112" i="1"/>
  <c r="AY112" i="1" s="1"/>
  <c r="Q112" i="1" s="1"/>
  <c r="BA112" i="1"/>
  <c r="P94" i="1"/>
  <c r="AX94" i="1"/>
  <c r="BE94" i="1"/>
  <c r="O103" i="1"/>
  <c r="BD103" i="1"/>
  <c r="BC103" i="1"/>
  <c r="P97" i="1"/>
  <c r="AX97" i="1"/>
  <c r="BE97" i="1"/>
  <c r="O109" i="1"/>
  <c r="BD109" i="1"/>
  <c r="BC109" i="1"/>
  <c r="O107" i="1"/>
  <c r="BD107" i="1"/>
  <c r="BC107" i="1"/>
  <c r="P98" i="1"/>
  <c r="AX98" i="1"/>
  <c r="BE98" i="1"/>
  <c r="AS132" i="1"/>
  <c r="BB123" i="1"/>
  <c r="AY123" i="1" s="1"/>
  <c r="Q123" i="1" s="1"/>
  <c r="AZ123" i="1"/>
  <c r="BA123" i="1"/>
  <c r="AS117" i="1"/>
  <c r="BB108" i="1"/>
  <c r="AY108" i="1" s="1"/>
  <c r="Q108" i="1" s="1"/>
  <c r="AZ108" i="1"/>
  <c r="BA108" i="1"/>
  <c r="AS119" i="1"/>
  <c r="BB110" i="1"/>
  <c r="AY110" i="1" s="1"/>
  <c r="Q110" i="1" s="1"/>
  <c r="AZ110" i="1"/>
  <c r="BA110" i="1"/>
  <c r="P105" i="1"/>
  <c r="BE105" i="1"/>
  <c r="AX105" i="1"/>
  <c r="O102" i="1"/>
  <c r="BD102" i="1"/>
  <c r="BC102" i="1"/>
  <c r="P100" i="1"/>
  <c r="BE100" i="1"/>
  <c r="AX100" i="1"/>
  <c r="P93" i="1"/>
  <c r="BE93" i="1"/>
  <c r="AX93" i="1"/>
  <c r="P90" i="1"/>
  <c r="BE90" i="1"/>
  <c r="AX90" i="1"/>
  <c r="AS127" i="1"/>
  <c r="BB118" i="1"/>
  <c r="AY118" i="1" s="1"/>
  <c r="Q118" i="1" s="1"/>
  <c r="AZ118" i="1"/>
  <c r="BA118" i="1"/>
  <c r="AS124" i="1"/>
  <c r="BB115" i="1"/>
  <c r="AY115" i="1" s="1"/>
  <c r="Q115" i="1" s="1"/>
  <c r="AZ115" i="1"/>
  <c r="BA115" i="1"/>
  <c r="AS120" i="1"/>
  <c r="BB111" i="1"/>
  <c r="AY111" i="1" s="1"/>
  <c r="Q111" i="1" s="1"/>
  <c r="AZ111" i="1"/>
  <c r="BA111" i="1"/>
  <c r="AS125" i="1"/>
  <c r="BB116" i="1"/>
  <c r="AY116" i="1" s="1"/>
  <c r="Q116" i="1" s="1"/>
  <c r="AZ116" i="1"/>
  <c r="BA116" i="1"/>
  <c r="P92" i="1"/>
  <c r="AX92" i="1"/>
  <c r="BE92" i="1"/>
  <c r="O106" i="1"/>
  <c r="BD106" i="1"/>
  <c r="BC106" i="1"/>
  <c r="O114" i="1"/>
  <c r="BC114" i="1"/>
  <c r="BD114" i="1"/>
  <c r="O99" i="1"/>
  <c r="BD99" i="1"/>
  <c r="BC99" i="1"/>
  <c r="O101" i="1"/>
  <c r="BD101" i="1"/>
  <c r="BC101" i="1"/>
  <c r="O95" i="1"/>
  <c r="BD95" i="1"/>
  <c r="BC95" i="1"/>
  <c r="P86" i="1"/>
  <c r="BE86" i="1"/>
  <c r="AX86" i="1"/>
  <c r="AS113" i="1"/>
  <c r="AZ104" i="1"/>
  <c r="BB104" i="1"/>
  <c r="AY104" i="1" s="1"/>
  <c r="Q104" i="1" s="1"/>
  <c r="BA104" i="1"/>
  <c r="P103" i="1" l="1"/>
  <c r="AX103" i="1"/>
  <c r="BE103" i="1"/>
  <c r="O112" i="1"/>
  <c r="BC112" i="1"/>
  <c r="BD112" i="1"/>
  <c r="AS130" i="1"/>
  <c r="BB121" i="1"/>
  <c r="AY121" i="1" s="1"/>
  <c r="Q121" i="1" s="1"/>
  <c r="AZ121" i="1"/>
  <c r="BA121" i="1"/>
  <c r="AS129" i="1"/>
  <c r="BB120" i="1"/>
  <c r="AY120" i="1" s="1"/>
  <c r="Q120" i="1" s="1"/>
  <c r="AZ120" i="1"/>
  <c r="BA120" i="1"/>
  <c r="AS136" i="1"/>
  <c r="BB127" i="1"/>
  <c r="AY127" i="1" s="1"/>
  <c r="Q127" i="1" s="1"/>
  <c r="AZ127" i="1"/>
  <c r="BA127" i="1"/>
  <c r="P99" i="1"/>
  <c r="BE99" i="1"/>
  <c r="AX99" i="1"/>
  <c r="P114" i="1"/>
  <c r="BE114" i="1"/>
  <c r="AX114" i="1"/>
  <c r="O110" i="1"/>
  <c r="BD110" i="1"/>
  <c r="BC110" i="1"/>
  <c r="O108" i="1"/>
  <c r="BD108" i="1"/>
  <c r="BC108" i="1"/>
  <c r="O123" i="1"/>
  <c r="BD123" i="1"/>
  <c r="BC123" i="1"/>
  <c r="O116" i="1"/>
  <c r="BD116" i="1"/>
  <c r="BC116" i="1"/>
  <c r="O115" i="1"/>
  <c r="BD115" i="1"/>
  <c r="BC115" i="1"/>
  <c r="O118" i="1"/>
  <c r="BC118" i="1"/>
  <c r="BD118" i="1"/>
  <c r="P102" i="1"/>
  <c r="BE102" i="1"/>
  <c r="AX102" i="1"/>
  <c r="P109" i="1"/>
  <c r="AX109" i="1"/>
  <c r="BE109" i="1"/>
  <c r="AS134" i="1"/>
  <c r="BB125" i="1"/>
  <c r="AY125" i="1" s="1"/>
  <c r="Q125" i="1" s="1"/>
  <c r="AZ125" i="1"/>
  <c r="BA125" i="1"/>
  <c r="AS133" i="1"/>
  <c r="BB124" i="1"/>
  <c r="AY124" i="1" s="1"/>
  <c r="Q124" i="1" s="1"/>
  <c r="AZ124" i="1"/>
  <c r="BA124" i="1"/>
  <c r="P101" i="1"/>
  <c r="AX101" i="1"/>
  <c r="BE101" i="1"/>
  <c r="O111" i="1"/>
  <c r="BC111" i="1"/>
  <c r="BD111" i="1"/>
  <c r="P106" i="1"/>
  <c r="AX106" i="1"/>
  <c r="BE106" i="1"/>
  <c r="AS128" i="1"/>
  <c r="BB119" i="1"/>
  <c r="AY119" i="1" s="1"/>
  <c r="Q119" i="1" s="1"/>
  <c r="AZ119" i="1"/>
  <c r="BA119" i="1"/>
  <c r="AS126" i="1"/>
  <c r="BB117" i="1"/>
  <c r="AY117" i="1" s="1"/>
  <c r="Q117" i="1" s="1"/>
  <c r="AZ117" i="1"/>
  <c r="BA117" i="1"/>
  <c r="AS141" i="1"/>
  <c r="BB132" i="1"/>
  <c r="AY132" i="1" s="1"/>
  <c r="Q132" i="1" s="1"/>
  <c r="AZ132" i="1"/>
  <c r="BA132" i="1"/>
  <c r="P107" i="1"/>
  <c r="AX107" i="1"/>
  <c r="BE107" i="1"/>
  <c r="AS122" i="1"/>
  <c r="AZ113" i="1"/>
  <c r="BB113" i="1"/>
  <c r="AY113" i="1" s="1"/>
  <c r="Q113" i="1" s="1"/>
  <c r="BA113" i="1"/>
  <c r="P95" i="1"/>
  <c r="BE95" i="1"/>
  <c r="AX95" i="1"/>
  <c r="O104" i="1"/>
  <c r="BD104" i="1"/>
  <c r="BC104" i="1"/>
  <c r="AS139" i="1" l="1"/>
  <c r="AZ130" i="1"/>
  <c r="BB130" i="1"/>
  <c r="AY130" i="1" s="1"/>
  <c r="Q130" i="1" s="1"/>
  <c r="BA130" i="1"/>
  <c r="O121" i="1"/>
  <c r="BD121" i="1"/>
  <c r="BC121" i="1"/>
  <c r="P112" i="1"/>
  <c r="AX112" i="1"/>
  <c r="BE112" i="1"/>
  <c r="P108" i="1"/>
  <c r="BE108" i="1"/>
  <c r="AX108" i="1"/>
  <c r="P111" i="1"/>
  <c r="BE111" i="1"/>
  <c r="AX111" i="1"/>
  <c r="AS142" i="1"/>
  <c r="BB133" i="1"/>
  <c r="AY133" i="1" s="1"/>
  <c r="Q133" i="1" s="1"/>
  <c r="AZ133" i="1"/>
  <c r="BA133" i="1"/>
  <c r="AS143" i="1"/>
  <c r="BB134" i="1"/>
  <c r="AY134" i="1" s="1"/>
  <c r="Q134" i="1" s="1"/>
  <c r="AZ134" i="1"/>
  <c r="BA134" i="1"/>
  <c r="P118" i="1"/>
  <c r="BE118" i="1"/>
  <c r="AX118" i="1"/>
  <c r="P123" i="1"/>
  <c r="AX123" i="1"/>
  <c r="BE123" i="1"/>
  <c r="O127" i="1"/>
  <c r="BD127" i="1"/>
  <c r="BC127" i="1"/>
  <c r="O120" i="1"/>
  <c r="BD120" i="1"/>
  <c r="BC120" i="1"/>
  <c r="AS150" i="1"/>
  <c r="BB141" i="1"/>
  <c r="AY141" i="1" s="1"/>
  <c r="Q141" i="1" s="1"/>
  <c r="AZ141" i="1"/>
  <c r="BA141" i="1"/>
  <c r="AS135" i="1"/>
  <c r="AZ126" i="1"/>
  <c r="BB126" i="1"/>
  <c r="AY126" i="1" s="1"/>
  <c r="Q126" i="1" s="1"/>
  <c r="BA126" i="1"/>
  <c r="AS137" i="1"/>
  <c r="BB128" i="1"/>
  <c r="AY128" i="1" s="1"/>
  <c r="Q128" i="1" s="1"/>
  <c r="AZ128" i="1"/>
  <c r="BA128" i="1"/>
  <c r="O132" i="1"/>
  <c r="BC132" i="1"/>
  <c r="BD132" i="1"/>
  <c r="O119" i="1"/>
  <c r="BC119" i="1"/>
  <c r="BD119" i="1"/>
  <c r="P116" i="1"/>
  <c r="BE116" i="1"/>
  <c r="AX116" i="1"/>
  <c r="O117" i="1"/>
  <c r="BD117" i="1"/>
  <c r="BC117" i="1"/>
  <c r="O124" i="1"/>
  <c r="BD124" i="1"/>
  <c r="BC124" i="1"/>
  <c r="O125" i="1"/>
  <c r="BC125" i="1"/>
  <c r="BD125" i="1"/>
  <c r="P115" i="1"/>
  <c r="AX115" i="1"/>
  <c r="BE115" i="1"/>
  <c r="P110" i="1"/>
  <c r="AX110" i="1"/>
  <c r="BE110" i="1"/>
  <c r="AS145" i="1"/>
  <c r="BB136" i="1"/>
  <c r="AY136" i="1" s="1"/>
  <c r="Q136" i="1" s="1"/>
  <c r="AZ136" i="1"/>
  <c r="BA136" i="1"/>
  <c r="AS138" i="1"/>
  <c r="BB129" i="1"/>
  <c r="AY129" i="1" s="1"/>
  <c r="Q129" i="1" s="1"/>
  <c r="AZ129" i="1"/>
  <c r="BA129" i="1"/>
  <c r="P104" i="1"/>
  <c r="BE104" i="1"/>
  <c r="AX104" i="1"/>
  <c r="O113" i="1"/>
  <c r="BD113" i="1"/>
  <c r="BC113" i="1"/>
  <c r="AS131" i="1"/>
  <c r="BB122" i="1"/>
  <c r="AY122" i="1" s="1"/>
  <c r="Q122" i="1" s="1"/>
  <c r="AZ122" i="1"/>
  <c r="BA122" i="1"/>
  <c r="P121" i="1" l="1"/>
  <c r="BE121" i="1"/>
  <c r="AX121" i="1"/>
  <c r="O130" i="1"/>
  <c r="BD130" i="1"/>
  <c r="BC130" i="1"/>
  <c r="AS148" i="1"/>
  <c r="AZ139" i="1"/>
  <c r="BB139" i="1"/>
  <c r="AY139" i="1" s="1"/>
  <c r="Q139" i="1" s="1"/>
  <c r="BA139" i="1"/>
  <c r="AS147" i="1"/>
  <c r="BB138" i="1"/>
  <c r="AY138" i="1" s="1"/>
  <c r="Q138" i="1" s="1"/>
  <c r="AZ138" i="1"/>
  <c r="BA138" i="1"/>
  <c r="AS154" i="1"/>
  <c r="AZ145" i="1"/>
  <c r="BB145" i="1"/>
  <c r="AY145" i="1" s="1"/>
  <c r="Q145" i="1" s="1"/>
  <c r="BA145" i="1"/>
  <c r="P125" i="1"/>
  <c r="AX125" i="1"/>
  <c r="BE125" i="1"/>
  <c r="P119" i="1"/>
  <c r="BE119" i="1"/>
  <c r="AX119" i="1"/>
  <c r="AS146" i="1"/>
  <c r="BB137" i="1"/>
  <c r="AY137" i="1" s="1"/>
  <c r="Q137" i="1" s="1"/>
  <c r="AZ137" i="1"/>
  <c r="BA137" i="1"/>
  <c r="AS144" i="1"/>
  <c r="BB135" i="1"/>
  <c r="AY135" i="1" s="1"/>
  <c r="Q135" i="1" s="1"/>
  <c r="AZ135" i="1"/>
  <c r="BA135" i="1"/>
  <c r="AS159" i="1"/>
  <c r="BB150" i="1"/>
  <c r="AY150" i="1" s="1"/>
  <c r="Q150" i="1" s="1"/>
  <c r="AZ150" i="1"/>
  <c r="BA150" i="1"/>
  <c r="P127" i="1"/>
  <c r="AX127" i="1"/>
  <c r="BE127" i="1"/>
  <c r="AS152" i="1"/>
  <c r="BB143" i="1"/>
  <c r="AY143" i="1" s="1"/>
  <c r="Q143" i="1" s="1"/>
  <c r="AZ143" i="1"/>
  <c r="BA143" i="1"/>
  <c r="AS151" i="1"/>
  <c r="BB142" i="1"/>
  <c r="AY142" i="1" s="1"/>
  <c r="Q142" i="1" s="1"/>
  <c r="AZ142" i="1"/>
  <c r="BA142" i="1"/>
  <c r="P132" i="1"/>
  <c r="AX132" i="1"/>
  <c r="BE132" i="1"/>
  <c r="O126" i="1"/>
  <c r="BC126" i="1"/>
  <c r="BD126" i="1"/>
  <c r="P117" i="1"/>
  <c r="BE117" i="1"/>
  <c r="AX117" i="1"/>
  <c r="P120" i="1"/>
  <c r="BE120" i="1"/>
  <c r="AX120" i="1"/>
  <c r="O129" i="1"/>
  <c r="BD129" i="1"/>
  <c r="BC129" i="1"/>
  <c r="O136" i="1"/>
  <c r="BD136" i="1"/>
  <c r="BC136" i="1"/>
  <c r="P124" i="1"/>
  <c r="AX124" i="1"/>
  <c r="BE124" i="1"/>
  <c r="O128" i="1"/>
  <c r="BC128" i="1"/>
  <c r="BD128" i="1"/>
  <c r="O141" i="1"/>
  <c r="BD141" i="1"/>
  <c r="BC141" i="1"/>
  <c r="O134" i="1"/>
  <c r="BD134" i="1"/>
  <c r="BC134" i="1"/>
  <c r="O133" i="1"/>
  <c r="BC133" i="1"/>
  <c r="BD133" i="1"/>
  <c r="AS140" i="1"/>
  <c r="AZ131" i="1"/>
  <c r="BB131" i="1"/>
  <c r="AY131" i="1" s="1"/>
  <c r="Q131" i="1" s="1"/>
  <c r="BA131" i="1"/>
  <c r="O122" i="1"/>
  <c r="BD122" i="1"/>
  <c r="BC122" i="1"/>
  <c r="P113" i="1"/>
  <c r="AX113" i="1"/>
  <c r="BE113" i="1"/>
  <c r="O139" i="1" l="1"/>
  <c r="BC139" i="1"/>
  <c r="BD139" i="1"/>
  <c r="AS157" i="1"/>
  <c r="AZ148" i="1"/>
  <c r="BB148" i="1"/>
  <c r="AY148" i="1" s="1"/>
  <c r="Q148" i="1" s="1"/>
  <c r="BA148" i="1"/>
  <c r="P130" i="1"/>
  <c r="AX130" i="1"/>
  <c r="BE130" i="1"/>
  <c r="P128" i="1"/>
  <c r="BE128" i="1"/>
  <c r="AX128" i="1"/>
  <c r="O142" i="1"/>
  <c r="BC142" i="1"/>
  <c r="BD142" i="1"/>
  <c r="P134" i="1"/>
  <c r="BE134" i="1"/>
  <c r="AX134" i="1"/>
  <c r="P136" i="1"/>
  <c r="AX136" i="1"/>
  <c r="BE136" i="1"/>
  <c r="AS168" i="1"/>
  <c r="BB159" i="1"/>
  <c r="AY159" i="1" s="1"/>
  <c r="Q159" i="1" s="1"/>
  <c r="AZ159" i="1"/>
  <c r="BA159" i="1"/>
  <c r="AS153" i="1"/>
  <c r="AZ144" i="1"/>
  <c r="BB144" i="1"/>
  <c r="AY144" i="1" s="1"/>
  <c r="Q144" i="1" s="1"/>
  <c r="BA144" i="1"/>
  <c r="AS155" i="1"/>
  <c r="BB146" i="1"/>
  <c r="AY146" i="1" s="1"/>
  <c r="Q146" i="1" s="1"/>
  <c r="AZ146" i="1"/>
  <c r="BA146" i="1"/>
  <c r="O138" i="1"/>
  <c r="BC138" i="1"/>
  <c r="BD138" i="1"/>
  <c r="P141" i="1"/>
  <c r="BE141" i="1"/>
  <c r="AX141" i="1"/>
  <c r="P129" i="1"/>
  <c r="AX129" i="1"/>
  <c r="BE129" i="1"/>
  <c r="P126" i="1"/>
  <c r="AX126" i="1"/>
  <c r="BE126" i="1"/>
  <c r="AS160" i="1"/>
  <c r="BB151" i="1"/>
  <c r="AY151" i="1" s="1"/>
  <c r="Q151" i="1" s="1"/>
  <c r="AZ151" i="1"/>
  <c r="BA151" i="1"/>
  <c r="AS161" i="1"/>
  <c r="BB152" i="1"/>
  <c r="AY152" i="1" s="1"/>
  <c r="Q152" i="1" s="1"/>
  <c r="AZ152" i="1"/>
  <c r="BA152" i="1"/>
  <c r="O145" i="1"/>
  <c r="BD145" i="1"/>
  <c r="BC145" i="1"/>
  <c r="O143" i="1"/>
  <c r="BD143" i="1"/>
  <c r="BC143" i="1"/>
  <c r="P133" i="1"/>
  <c r="AX133" i="1"/>
  <c r="BE133" i="1"/>
  <c r="O150" i="1"/>
  <c r="BD150" i="1"/>
  <c r="BC150" i="1"/>
  <c r="O135" i="1"/>
  <c r="BC135" i="1"/>
  <c r="BD135" i="1"/>
  <c r="O137" i="1"/>
  <c r="BD137" i="1"/>
  <c r="BC137" i="1"/>
  <c r="AS163" i="1"/>
  <c r="BB154" i="1"/>
  <c r="AY154" i="1" s="1"/>
  <c r="Q154" i="1" s="1"/>
  <c r="AZ154" i="1"/>
  <c r="BA154" i="1"/>
  <c r="AS156" i="1"/>
  <c r="BB147" i="1"/>
  <c r="AY147" i="1" s="1"/>
  <c r="Q147" i="1" s="1"/>
  <c r="AZ147" i="1"/>
  <c r="BA147" i="1"/>
  <c r="O131" i="1"/>
  <c r="BD131" i="1"/>
  <c r="BC131" i="1"/>
  <c r="P122" i="1"/>
  <c r="BE122" i="1"/>
  <c r="AX122" i="1"/>
  <c r="AS149" i="1"/>
  <c r="AZ140" i="1"/>
  <c r="BB140" i="1"/>
  <c r="AY140" i="1" s="1"/>
  <c r="Q140" i="1" s="1"/>
  <c r="BA140" i="1"/>
  <c r="AS166" i="1" l="1"/>
  <c r="BB157" i="1"/>
  <c r="AY157" i="1" s="1"/>
  <c r="Q157" i="1" s="1"/>
  <c r="AZ157" i="1"/>
  <c r="BA157" i="1"/>
  <c r="O148" i="1"/>
  <c r="BD148" i="1"/>
  <c r="BC148" i="1"/>
  <c r="P139" i="1"/>
  <c r="BE139" i="1"/>
  <c r="AX139" i="1"/>
  <c r="P150" i="1"/>
  <c r="AX150" i="1"/>
  <c r="BE150" i="1"/>
  <c r="AS172" i="1"/>
  <c r="BB163" i="1"/>
  <c r="AY163" i="1" s="1"/>
  <c r="Q163" i="1" s="1"/>
  <c r="AZ163" i="1"/>
  <c r="BA163" i="1"/>
  <c r="P145" i="1"/>
  <c r="AX145" i="1"/>
  <c r="O152" i="1"/>
  <c r="BD152" i="1"/>
  <c r="BC152" i="1"/>
  <c r="O151" i="1"/>
  <c r="BC151" i="1"/>
  <c r="BD151" i="1"/>
  <c r="O146" i="1"/>
  <c r="BD146" i="1"/>
  <c r="BC146" i="1"/>
  <c r="O159" i="1"/>
  <c r="BD159" i="1"/>
  <c r="BC159" i="1"/>
  <c r="AS165" i="1"/>
  <c r="BB156" i="1"/>
  <c r="AY156" i="1" s="1"/>
  <c r="Q156" i="1" s="1"/>
  <c r="AZ156" i="1"/>
  <c r="BA156" i="1"/>
  <c r="P135" i="1"/>
  <c r="AX135" i="1"/>
  <c r="BE135" i="1"/>
  <c r="P143" i="1"/>
  <c r="AX143" i="1"/>
  <c r="BE143" i="1"/>
  <c r="P138" i="1"/>
  <c r="BE138" i="1"/>
  <c r="AX138" i="1"/>
  <c r="O144" i="1"/>
  <c r="BC144" i="1"/>
  <c r="BD144" i="1"/>
  <c r="P137" i="1"/>
  <c r="AX137" i="1"/>
  <c r="BE137" i="1"/>
  <c r="BE145" i="1"/>
  <c r="O147" i="1"/>
  <c r="BD147" i="1"/>
  <c r="BC147" i="1"/>
  <c r="O154" i="1"/>
  <c r="BD154" i="1"/>
  <c r="BC154" i="1"/>
  <c r="AS170" i="1"/>
  <c r="BB161" i="1"/>
  <c r="AY161" i="1" s="1"/>
  <c r="Q161" i="1" s="1"/>
  <c r="AZ161" i="1"/>
  <c r="BA161" i="1"/>
  <c r="AS169" i="1"/>
  <c r="BB160" i="1"/>
  <c r="AY160" i="1" s="1"/>
  <c r="Q160" i="1" s="1"/>
  <c r="AZ160" i="1"/>
  <c r="BA160" i="1"/>
  <c r="AS164" i="1"/>
  <c r="BB155" i="1"/>
  <c r="AY155" i="1" s="1"/>
  <c r="Q155" i="1" s="1"/>
  <c r="AZ155" i="1"/>
  <c r="BA155" i="1"/>
  <c r="AS162" i="1"/>
  <c r="BB153" i="1"/>
  <c r="AY153" i="1" s="1"/>
  <c r="Q153" i="1" s="1"/>
  <c r="AZ153" i="1"/>
  <c r="BA153" i="1"/>
  <c r="AS177" i="1"/>
  <c r="BB168" i="1"/>
  <c r="AY168" i="1" s="1"/>
  <c r="Q168" i="1" s="1"/>
  <c r="AZ168" i="1"/>
  <c r="BA168" i="1"/>
  <c r="P142" i="1"/>
  <c r="BE142" i="1"/>
  <c r="AX142" i="1"/>
  <c r="P131" i="1"/>
  <c r="AX131" i="1"/>
  <c r="BE131" i="1"/>
  <c r="O140" i="1"/>
  <c r="BD140" i="1"/>
  <c r="BC140" i="1"/>
  <c r="AS158" i="1"/>
  <c r="AZ149" i="1"/>
  <c r="BB149" i="1"/>
  <c r="AY149" i="1" s="1"/>
  <c r="Q149" i="1" s="1"/>
  <c r="BA149" i="1"/>
  <c r="P148" i="1" l="1"/>
  <c r="BE148" i="1"/>
  <c r="AX148" i="1"/>
  <c r="O157" i="1"/>
  <c r="BC157" i="1"/>
  <c r="BD157" i="1"/>
  <c r="AS175" i="1"/>
  <c r="AZ166" i="1"/>
  <c r="BB166" i="1"/>
  <c r="AY166" i="1" s="1"/>
  <c r="Q166" i="1" s="1"/>
  <c r="BA166" i="1"/>
  <c r="AS171" i="1"/>
  <c r="BB162" i="1"/>
  <c r="AY162" i="1" s="1"/>
  <c r="Q162" i="1" s="1"/>
  <c r="AZ162" i="1"/>
  <c r="BA162" i="1"/>
  <c r="AS179" i="1"/>
  <c r="BB170" i="1"/>
  <c r="AY170" i="1" s="1"/>
  <c r="Q170" i="1" s="1"/>
  <c r="AZ170" i="1"/>
  <c r="BA170" i="1"/>
  <c r="O156" i="1"/>
  <c r="BD156" i="1"/>
  <c r="BC156" i="1"/>
  <c r="P152" i="1"/>
  <c r="BE152" i="1"/>
  <c r="AX152" i="1"/>
  <c r="AS181" i="1"/>
  <c r="BB172" i="1"/>
  <c r="AY172" i="1" s="1"/>
  <c r="Q172" i="1" s="1"/>
  <c r="AZ172" i="1"/>
  <c r="BA172" i="1"/>
  <c r="P154" i="1"/>
  <c r="BE154" i="1"/>
  <c r="AX154" i="1"/>
  <c r="AS173" i="1"/>
  <c r="BB164" i="1"/>
  <c r="AY164" i="1" s="1"/>
  <c r="Q164" i="1" s="1"/>
  <c r="AZ164" i="1"/>
  <c r="BA164" i="1"/>
  <c r="O168" i="1"/>
  <c r="BD168" i="1"/>
  <c r="BC168" i="1"/>
  <c r="O153" i="1"/>
  <c r="BD153" i="1"/>
  <c r="BC153" i="1"/>
  <c r="O155" i="1"/>
  <c r="BC155" i="1"/>
  <c r="BD155" i="1"/>
  <c r="O160" i="1"/>
  <c r="BD160" i="1"/>
  <c r="BC160" i="1"/>
  <c r="O161" i="1"/>
  <c r="BC161" i="1"/>
  <c r="BD161" i="1"/>
  <c r="AS174" i="1"/>
  <c r="BB165" i="1"/>
  <c r="AY165" i="1" s="1"/>
  <c r="Q165" i="1" s="1"/>
  <c r="AZ165" i="1"/>
  <c r="BA165" i="1"/>
  <c r="P146" i="1"/>
  <c r="AX146" i="1"/>
  <c r="BE146" i="1"/>
  <c r="P151" i="1"/>
  <c r="BE151" i="1"/>
  <c r="AX151" i="1"/>
  <c r="O163" i="1"/>
  <c r="BC163" i="1"/>
  <c r="BD163" i="1"/>
  <c r="AS186" i="1"/>
  <c r="BB177" i="1"/>
  <c r="AY177" i="1" s="1"/>
  <c r="Q177" i="1" s="1"/>
  <c r="AZ177" i="1"/>
  <c r="BA177" i="1"/>
  <c r="AS178" i="1"/>
  <c r="BB169" i="1"/>
  <c r="AY169" i="1" s="1"/>
  <c r="Q169" i="1" s="1"/>
  <c r="AZ169" i="1"/>
  <c r="BA169" i="1"/>
  <c r="P147" i="1"/>
  <c r="BE147" i="1"/>
  <c r="AX147" i="1"/>
  <c r="P144" i="1"/>
  <c r="AX144" i="1"/>
  <c r="BE144" i="1"/>
  <c r="P159" i="1"/>
  <c r="BE159" i="1"/>
  <c r="AX159" i="1"/>
  <c r="O149" i="1"/>
  <c r="BC149" i="1"/>
  <c r="BD149" i="1"/>
  <c r="AS167" i="1"/>
  <c r="BB158" i="1"/>
  <c r="AY158" i="1" s="1"/>
  <c r="Q158" i="1" s="1"/>
  <c r="AZ158" i="1"/>
  <c r="BA158" i="1"/>
  <c r="P140" i="1"/>
  <c r="BE140" i="1"/>
  <c r="AX140" i="1"/>
  <c r="BE161" i="1" l="1"/>
  <c r="O166" i="1"/>
  <c r="BC166" i="1"/>
  <c r="BD166" i="1"/>
  <c r="AS184" i="1"/>
  <c r="AZ175" i="1"/>
  <c r="BB175" i="1"/>
  <c r="AY175" i="1" s="1"/>
  <c r="Q175" i="1" s="1"/>
  <c r="BA175" i="1"/>
  <c r="P157" i="1"/>
  <c r="BE157" i="1"/>
  <c r="AX157" i="1"/>
  <c r="O165" i="1"/>
  <c r="BD165" i="1"/>
  <c r="BC165" i="1"/>
  <c r="P161" i="1"/>
  <c r="AX161" i="1"/>
  <c r="P153" i="1"/>
  <c r="BE153" i="1"/>
  <c r="AX153" i="1"/>
  <c r="AS190" i="1"/>
  <c r="BB181" i="1"/>
  <c r="AY181" i="1" s="1"/>
  <c r="Q181" i="1" s="1"/>
  <c r="AZ181" i="1"/>
  <c r="BA181" i="1"/>
  <c r="P156" i="1"/>
  <c r="BE156" i="1"/>
  <c r="AX156" i="1"/>
  <c r="O170" i="1"/>
  <c r="BD170" i="1"/>
  <c r="BC170" i="1"/>
  <c r="O162" i="1"/>
  <c r="BC162" i="1"/>
  <c r="BD162" i="1"/>
  <c r="O177" i="1"/>
  <c r="BD177" i="1"/>
  <c r="BC177" i="1"/>
  <c r="P168" i="1"/>
  <c r="AX168" i="1"/>
  <c r="BE168" i="1"/>
  <c r="AS187" i="1"/>
  <c r="BB178" i="1"/>
  <c r="AY178" i="1" s="1"/>
  <c r="Q178" i="1" s="1"/>
  <c r="AZ178" i="1"/>
  <c r="BA178" i="1"/>
  <c r="AS195" i="1"/>
  <c r="BB186" i="1"/>
  <c r="AY186" i="1" s="1"/>
  <c r="Q186" i="1" s="1"/>
  <c r="AZ186" i="1"/>
  <c r="BA186" i="1"/>
  <c r="AS182" i="1"/>
  <c r="BB173" i="1"/>
  <c r="AY173" i="1" s="1"/>
  <c r="Q173" i="1" s="1"/>
  <c r="AZ173" i="1"/>
  <c r="BA173" i="1"/>
  <c r="O169" i="1"/>
  <c r="BC169" i="1"/>
  <c r="BD169" i="1"/>
  <c r="P163" i="1"/>
  <c r="BE163" i="1"/>
  <c r="AX163" i="1"/>
  <c r="O164" i="1"/>
  <c r="BC164" i="1"/>
  <c r="BD164" i="1"/>
  <c r="AS183" i="1"/>
  <c r="BB174" i="1"/>
  <c r="AY174" i="1" s="1"/>
  <c r="Q174" i="1" s="1"/>
  <c r="AZ174" i="1"/>
  <c r="BA174" i="1"/>
  <c r="P160" i="1"/>
  <c r="BE160" i="1"/>
  <c r="AX160" i="1"/>
  <c r="P155" i="1"/>
  <c r="AX155" i="1"/>
  <c r="BE155" i="1"/>
  <c r="O172" i="1"/>
  <c r="BD172" i="1"/>
  <c r="BC172" i="1"/>
  <c r="AS188" i="1"/>
  <c r="BB179" i="1"/>
  <c r="AY179" i="1" s="1"/>
  <c r="Q179" i="1" s="1"/>
  <c r="AZ179" i="1"/>
  <c r="BA179" i="1"/>
  <c r="AS180" i="1"/>
  <c r="BB171" i="1"/>
  <c r="AY171" i="1" s="1"/>
  <c r="Q171" i="1" s="1"/>
  <c r="AZ171" i="1"/>
  <c r="BA171" i="1"/>
  <c r="AS176" i="1"/>
  <c r="AZ167" i="1"/>
  <c r="BB167" i="1"/>
  <c r="AY167" i="1" s="1"/>
  <c r="Q167" i="1" s="1"/>
  <c r="BA167" i="1"/>
  <c r="O158" i="1"/>
  <c r="BC158" i="1"/>
  <c r="BD158" i="1"/>
  <c r="P149" i="1"/>
  <c r="BE149" i="1"/>
  <c r="AX149" i="1"/>
  <c r="AS193" i="1" l="1"/>
  <c r="AZ184" i="1"/>
  <c r="BB184" i="1"/>
  <c r="AY184" i="1" s="1"/>
  <c r="Q184" i="1" s="1"/>
  <c r="BA184" i="1"/>
  <c r="P166" i="1"/>
  <c r="AX166" i="1"/>
  <c r="BE166" i="1"/>
  <c r="O175" i="1"/>
  <c r="BD175" i="1"/>
  <c r="BC175" i="1"/>
  <c r="O179" i="1"/>
  <c r="BD179" i="1"/>
  <c r="BC179" i="1"/>
  <c r="AS191" i="1"/>
  <c r="BB182" i="1"/>
  <c r="AY182" i="1" s="1"/>
  <c r="Q182" i="1" s="1"/>
  <c r="AZ182" i="1"/>
  <c r="BA182" i="1"/>
  <c r="P177" i="1"/>
  <c r="AX177" i="1"/>
  <c r="BE177" i="1"/>
  <c r="P162" i="1"/>
  <c r="BE162" i="1"/>
  <c r="AX162" i="1"/>
  <c r="O174" i="1"/>
  <c r="BC174" i="1"/>
  <c r="BD174" i="1"/>
  <c r="P164" i="1"/>
  <c r="AX164" i="1"/>
  <c r="BE164" i="1"/>
  <c r="O181" i="1"/>
  <c r="BD181" i="1"/>
  <c r="BC181" i="1"/>
  <c r="P165" i="1"/>
  <c r="BE165" i="1"/>
  <c r="AX165" i="1"/>
  <c r="O171" i="1"/>
  <c r="BD171" i="1"/>
  <c r="BC171" i="1"/>
  <c r="AS204" i="1"/>
  <c r="BB195" i="1"/>
  <c r="AY195" i="1" s="1"/>
  <c r="Q195" i="1" s="1"/>
  <c r="AZ195" i="1"/>
  <c r="BA195" i="1"/>
  <c r="AS196" i="1"/>
  <c r="BB187" i="1"/>
  <c r="AY187" i="1" s="1"/>
  <c r="Q187" i="1" s="1"/>
  <c r="AZ187" i="1"/>
  <c r="BA187" i="1"/>
  <c r="AS189" i="1"/>
  <c r="BB180" i="1"/>
  <c r="AY180" i="1" s="1"/>
  <c r="Q180" i="1" s="1"/>
  <c r="AZ180" i="1"/>
  <c r="BA180" i="1"/>
  <c r="AS197" i="1"/>
  <c r="BB188" i="1"/>
  <c r="AY188" i="1" s="1"/>
  <c r="Q188" i="1" s="1"/>
  <c r="AZ188" i="1"/>
  <c r="BA188" i="1"/>
  <c r="O173" i="1"/>
  <c r="BD173" i="1"/>
  <c r="BC173" i="1"/>
  <c r="O186" i="1"/>
  <c r="BD186" i="1"/>
  <c r="BC186" i="1"/>
  <c r="O178" i="1"/>
  <c r="BC178" i="1"/>
  <c r="BD178" i="1"/>
  <c r="P170" i="1"/>
  <c r="BE170" i="1"/>
  <c r="AX170" i="1"/>
  <c r="P172" i="1"/>
  <c r="AX172" i="1"/>
  <c r="BE172" i="1"/>
  <c r="AS192" i="1"/>
  <c r="BB183" i="1"/>
  <c r="AY183" i="1" s="1"/>
  <c r="Q183" i="1" s="1"/>
  <c r="AZ183" i="1"/>
  <c r="BA183" i="1"/>
  <c r="P169" i="1"/>
  <c r="BE169" i="1"/>
  <c r="AX169" i="1"/>
  <c r="AS199" i="1"/>
  <c r="BB190" i="1"/>
  <c r="AY190" i="1" s="1"/>
  <c r="Q190" i="1" s="1"/>
  <c r="AZ190" i="1"/>
  <c r="BA190" i="1"/>
  <c r="P158" i="1"/>
  <c r="AX158" i="1"/>
  <c r="BE158" i="1"/>
  <c r="O167" i="1"/>
  <c r="BC167" i="1"/>
  <c r="BD167" i="1"/>
  <c r="AS185" i="1"/>
  <c r="AZ176" i="1"/>
  <c r="BB176" i="1"/>
  <c r="AY176" i="1" s="1"/>
  <c r="Q176" i="1" s="1"/>
  <c r="BA176" i="1"/>
  <c r="P175" i="1" l="1"/>
  <c r="AX175" i="1"/>
  <c r="BE175" i="1"/>
  <c r="O184" i="1"/>
  <c r="BD184" i="1"/>
  <c r="BC184" i="1"/>
  <c r="AS202" i="1"/>
  <c r="BB193" i="1"/>
  <c r="AY193" i="1" s="1"/>
  <c r="Q193" i="1" s="1"/>
  <c r="AZ193" i="1"/>
  <c r="BA193" i="1"/>
  <c r="P173" i="1"/>
  <c r="AX173" i="1"/>
  <c r="BE173" i="1"/>
  <c r="O188" i="1"/>
  <c r="BC188" i="1"/>
  <c r="BD188" i="1"/>
  <c r="O180" i="1"/>
  <c r="BD180" i="1"/>
  <c r="BC180" i="1"/>
  <c r="O187" i="1"/>
  <c r="BC187" i="1"/>
  <c r="BD187" i="1"/>
  <c r="O195" i="1"/>
  <c r="BD195" i="1"/>
  <c r="BC195" i="1"/>
  <c r="P174" i="1"/>
  <c r="AX174" i="1"/>
  <c r="BE174" i="1"/>
  <c r="P179" i="1"/>
  <c r="AX179" i="1"/>
  <c r="BE179" i="1"/>
  <c r="AS201" i="1"/>
  <c r="BB192" i="1"/>
  <c r="AY192" i="1" s="1"/>
  <c r="Q192" i="1" s="1"/>
  <c r="AZ192" i="1"/>
  <c r="BA192" i="1"/>
  <c r="P171" i="1"/>
  <c r="AX171" i="1"/>
  <c r="BE171" i="1"/>
  <c r="AS200" i="1"/>
  <c r="BB191" i="1"/>
  <c r="AY191" i="1" s="1"/>
  <c r="Q191" i="1" s="1"/>
  <c r="AZ191" i="1"/>
  <c r="BA191" i="1"/>
  <c r="AS208" i="1"/>
  <c r="BB199" i="1"/>
  <c r="AY199" i="1" s="1"/>
  <c r="Q199" i="1" s="1"/>
  <c r="AZ199" i="1"/>
  <c r="BA199" i="1"/>
  <c r="O183" i="1"/>
  <c r="BC183" i="1"/>
  <c r="BD183" i="1"/>
  <c r="P186" i="1"/>
  <c r="BE186" i="1"/>
  <c r="AX186" i="1"/>
  <c r="P181" i="1"/>
  <c r="AX181" i="1"/>
  <c r="BE181" i="1"/>
  <c r="O182" i="1"/>
  <c r="BD182" i="1"/>
  <c r="BC182" i="1"/>
  <c r="P178" i="1"/>
  <c r="AX178" i="1"/>
  <c r="BE178" i="1"/>
  <c r="O190" i="1"/>
  <c r="BC190" i="1"/>
  <c r="BD190" i="1"/>
  <c r="AS206" i="1"/>
  <c r="BB197" i="1"/>
  <c r="AY197" i="1" s="1"/>
  <c r="Q197" i="1" s="1"/>
  <c r="AZ197" i="1"/>
  <c r="BA197" i="1"/>
  <c r="AS198" i="1"/>
  <c r="BB189" i="1"/>
  <c r="AY189" i="1" s="1"/>
  <c r="Q189" i="1" s="1"/>
  <c r="AZ189" i="1"/>
  <c r="BA189" i="1"/>
  <c r="AS205" i="1"/>
  <c r="BB196" i="1"/>
  <c r="AY196" i="1" s="1"/>
  <c r="Q196" i="1" s="1"/>
  <c r="AZ196" i="1"/>
  <c r="BA196" i="1"/>
  <c r="AS213" i="1"/>
  <c r="BB204" i="1"/>
  <c r="AY204" i="1" s="1"/>
  <c r="Q204" i="1" s="1"/>
  <c r="AZ204" i="1"/>
  <c r="BA204" i="1"/>
  <c r="O176" i="1"/>
  <c r="BD176" i="1"/>
  <c r="BC176" i="1"/>
  <c r="AS194" i="1"/>
  <c r="AZ185" i="1"/>
  <c r="BB185" i="1"/>
  <c r="AY185" i="1" s="1"/>
  <c r="Q185" i="1" s="1"/>
  <c r="BA185" i="1"/>
  <c r="P167" i="1"/>
  <c r="AX167" i="1"/>
  <c r="BE167" i="1"/>
  <c r="AS211" i="1" l="1"/>
  <c r="AZ202" i="1"/>
  <c r="BB202" i="1"/>
  <c r="AY202" i="1" s="1"/>
  <c r="Q202" i="1" s="1"/>
  <c r="BA202" i="1"/>
  <c r="P184" i="1"/>
  <c r="AX184" i="1"/>
  <c r="BE184" i="1"/>
  <c r="O193" i="1"/>
  <c r="BC193" i="1"/>
  <c r="BD193" i="1"/>
  <c r="O192" i="1"/>
  <c r="BD192" i="1"/>
  <c r="BC192" i="1"/>
  <c r="AS214" i="1"/>
  <c r="AZ205" i="1"/>
  <c r="BB205" i="1"/>
  <c r="AY205" i="1" s="1"/>
  <c r="Q205" i="1" s="1"/>
  <c r="BA205" i="1"/>
  <c r="AS215" i="1"/>
  <c r="BB206" i="1"/>
  <c r="AY206" i="1" s="1"/>
  <c r="Q206" i="1" s="1"/>
  <c r="AZ206" i="1"/>
  <c r="BA206" i="1"/>
  <c r="O199" i="1"/>
  <c r="BC199" i="1"/>
  <c r="BD199" i="1"/>
  <c r="O191" i="1"/>
  <c r="BC191" i="1"/>
  <c r="BD191" i="1"/>
  <c r="P195" i="1"/>
  <c r="BE195" i="1"/>
  <c r="AX195" i="1"/>
  <c r="P187" i="1"/>
  <c r="AX187" i="1"/>
  <c r="BE187" i="1"/>
  <c r="P182" i="1"/>
  <c r="AX182" i="1"/>
  <c r="BE182" i="1"/>
  <c r="AS222" i="1"/>
  <c r="BB213" i="1"/>
  <c r="AY213" i="1" s="1"/>
  <c r="Q213" i="1" s="1"/>
  <c r="AZ213" i="1"/>
  <c r="BA213" i="1"/>
  <c r="AS207" i="1"/>
  <c r="AZ198" i="1"/>
  <c r="BB198" i="1"/>
  <c r="AY198" i="1" s="1"/>
  <c r="Q198" i="1" s="1"/>
  <c r="BA198" i="1"/>
  <c r="P183" i="1"/>
  <c r="AX183" i="1"/>
  <c r="BE183" i="1"/>
  <c r="AS210" i="1"/>
  <c r="BB201" i="1"/>
  <c r="AY201" i="1" s="1"/>
  <c r="Q201" i="1" s="1"/>
  <c r="AZ201" i="1"/>
  <c r="BA201" i="1"/>
  <c r="O204" i="1"/>
  <c r="BC204" i="1"/>
  <c r="BD204" i="1"/>
  <c r="O196" i="1"/>
  <c r="BC196" i="1"/>
  <c r="BD196" i="1"/>
  <c r="O189" i="1"/>
  <c r="BD189" i="1"/>
  <c r="BC189" i="1"/>
  <c r="O197" i="1"/>
  <c r="BC197" i="1"/>
  <c r="BD197" i="1"/>
  <c r="P190" i="1"/>
  <c r="BE190" i="1"/>
  <c r="AX190" i="1"/>
  <c r="AS217" i="1"/>
  <c r="BB208" i="1"/>
  <c r="AY208" i="1" s="1"/>
  <c r="Q208" i="1" s="1"/>
  <c r="AZ208" i="1"/>
  <c r="BA208" i="1"/>
  <c r="AS209" i="1"/>
  <c r="BB200" i="1"/>
  <c r="AY200" i="1" s="1"/>
  <c r="Q200" i="1" s="1"/>
  <c r="AZ200" i="1"/>
  <c r="BA200" i="1"/>
  <c r="P180" i="1"/>
  <c r="AX180" i="1"/>
  <c r="BE180" i="1"/>
  <c r="P188" i="1"/>
  <c r="BE188" i="1"/>
  <c r="AX188" i="1"/>
  <c r="P176" i="1"/>
  <c r="AX176" i="1"/>
  <c r="BE176" i="1"/>
  <c r="AS203" i="1"/>
  <c r="BB194" i="1"/>
  <c r="AY194" i="1" s="1"/>
  <c r="Q194" i="1" s="1"/>
  <c r="AZ194" i="1"/>
  <c r="BA194" i="1"/>
  <c r="O185" i="1"/>
  <c r="BC185" i="1"/>
  <c r="BD185" i="1"/>
  <c r="O202" i="1" l="1"/>
  <c r="BD202" i="1"/>
  <c r="BC202" i="1"/>
  <c r="P193" i="1"/>
  <c r="BE193" i="1"/>
  <c r="AX193" i="1"/>
  <c r="AS220" i="1"/>
  <c r="AZ211" i="1"/>
  <c r="BB211" i="1"/>
  <c r="AY211" i="1" s="1"/>
  <c r="Q211" i="1" s="1"/>
  <c r="BA211" i="1"/>
  <c r="O201" i="1"/>
  <c r="BD201" i="1"/>
  <c r="BC201" i="1"/>
  <c r="AS224" i="1"/>
  <c r="BB215" i="1"/>
  <c r="AY215" i="1" s="1"/>
  <c r="Q215" i="1" s="1"/>
  <c r="AZ215" i="1"/>
  <c r="BA215" i="1"/>
  <c r="AS223" i="1"/>
  <c r="BB214" i="1"/>
  <c r="AY214" i="1" s="1"/>
  <c r="Q214" i="1" s="1"/>
  <c r="AZ214" i="1"/>
  <c r="BA214" i="1"/>
  <c r="O208" i="1"/>
  <c r="BD208" i="1"/>
  <c r="BC208" i="1"/>
  <c r="P204" i="1"/>
  <c r="BE204" i="1"/>
  <c r="AX204" i="1"/>
  <c r="AS216" i="1"/>
  <c r="BB207" i="1"/>
  <c r="AY207" i="1" s="1"/>
  <c r="Q207" i="1" s="1"/>
  <c r="AZ207" i="1"/>
  <c r="BA207" i="1"/>
  <c r="AS231" i="1"/>
  <c r="BB222" i="1"/>
  <c r="AY222" i="1" s="1"/>
  <c r="Q222" i="1" s="1"/>
  <c r="AZ222" i="1"/>
  <c r="BA222" i="1"/>
  <c r="P192" i="1"/>
  <c r="AX192" i="1"/>
  <c r="BE192" i="1"/>
  <c r="AS218" i="1"/>
  <c r="BB209" i="1"/>
  <c r="AY209" i="1" s="1"/>
  <c r="Q209" i="1" s="1"/>
  <c r="AZ209" i="1"/>
  <c r="BA209" i="1"/>
  <c r="P197" i="1"/>
  <c r="BE197" i="1"/>
  <c r="AX197" i="1"/>
  <c r="O198" i="1"/>
  <c r="BC198" i="1"/>
  <c r="BD198" i="1"/>
  <c r="P191" i="1"/>
  <c r="AX191" i="1"/>
  <c r="O200" i="1"/>
  <c r="BD200" i="1"/>
  <c r="BC200" i="1"/>
  <c r="P189" i="1"/>
  <c r="AX189" i="1"/>
  <c r="BE189" i="1"/>
  <c r="P196" i="1"/>
  <c r="AX196" i="1"/>
  <c r="BE196" i="1"/>
  <c r="AS219" i="1"/>
  <c r="BB210" i="1"/>
  <c r="AY210" i="1" s="1"/>
  <c r="Q210" i="1" s="1"/>
  <c r="AZ210" i="1"/>
  <c r="BA210" i="1"/>
  <c r="O206" i="1"/>
  <c r="BC206" i="1"/>
  <c r="BD206" i="1"/>
  <c r="AS226" i="1"/>
  <c r="BB217" i="1"/>
  <c r="AY217" i="1" s="1"/>
  <c r="Q217" i="1" s="1"/>
  <c r="AZ217" i="1"/>
  <c r="BA217" i="1"/>
  <c r="O213" i="1"/>
  <c r="BD213" i="1"/>
  <c r="BC213" i="1"/>
  <c r="BE191" i="1"/>
  <c r="P199" i="1"/>
  <c r="AX199" i="1"/>
  <c r="BE199" i="1"/>
  <c r="O205" i="1"/>
  <c r="BD205" i="1"/>
  <c r="BC205" i="1"/>
  <c r="AS212" i="1"/>
  <c r="AZ203" i="1"/>
  <c r="BB203" i="1"/>
  <c r="AY203" i="1" s="1"/>
  <c r="Q203" i="1" s="1"/>
  <c r="BA203" i="1"/>
  <c r="P185" i="1"/>
  <c r="BE185" i="1"/>
  <c r="AX185" i="1"/>
  <c r="O194" i="1"/>
  <c r="BD194" i="1"/>
  <c r="BC194" i="1"/>
  <c r="O211" i="1" l="1"/>
  <c r="BC211" i="1"/>
  <c r="BD211" i="1"/>
  <c r="AS229" i="1"/>
  <c r="AZ220" i="1"/>
  <c r="BB220" i="1"/>
  <c r="AY220" i="1" s="1"/>
  <c r="Q220" i="1" s="1"/>
  <c r="BA220" i="1"/>
  <c r="P202" i="1"/>
  <c r="AX202" i="1"/>
  <c r="BE202" i="1"/>
  <c r="O222" i="1"/>
  <c r="BD222" i="1"/>
  <c r="BC222" i="1"/>
  <c r="AS233" i="1"/>
  <c r="BB224" i="1"/>
  <c r="AY224" i="1" s="1"/>
  <c r="Q224" i="1" s="1"/>
  <c r="AZ224" i="1"/>
  <c r="BA224" i="1"/>
  <c r="O217" i="1"/>
  <c r="BD217" i="1"/>
  <c r="BC217" i="1"/>
  <c r="P206" i="1"/>
  <c r="AX206" i="1"/>
  <c r="BE206" i="1"/>
  <c r="P200" i="1"/>
  <c r="AX200" i="1"/>
  <c r="BE200" i="1"/>
  <c r="O209" i="1"/>
  <c r="BC209" i="1"/>
  <c r="BD209" i="1"/>
  <c r="P201" i="1"/>
  <c r="BE201" i="1"/>
  <c r="AX201" i="1"/>
  <c r="O210" i="1"/>
  <c r="BC210" i="1"/>
  <c r="BD210" i="1"/>
  <c r="O207" i="1"/>
  <c r="BC207" i="1"/>
  <c r="BD207" i="1"/>
  <c r="AS232" i="1"/>
  <c r="BB223" i="1"/>
  <c r="AY223" i="1" s="1"/>
  <c r="Q223" i="1" s="1"/>
  <c r="AZ223" i="1"/>
  <c r="BA223" i="1"/>
  <c r="P213" i="1"/>
  <c r="BE213" i="1"/>
  <c r="AX213" i="1"/>
  <c r="P205" i="1"/>
  <c r="AX205" i="1"/>
  <c r="BE205" i="1"/>
  <c r="AS228" i="1"/>
  <c r="BB219" i="1"/>
  <c r="AY219" i="1" s="1"/>
  <c r="Q219" i="1" s="1"/>
  <c r="AZ219" i="1"/>
  <c r="BA219" i="1"/>
  <c r="AS240" i="1"/>
  <c r="BB231" i="1"/>
  <c r="AY231" i="1" s="1"/>
  <c r="Q231" i="1" s="1"/>
  <c r="AZ231" i="1"/>
  <c r="BA231" i="1"/>
  <c r="AS225" i="1"/>
  <c r="AZ216" i="1"/>
  <c r="BB216" i="1"/>
  <c r="AY216" i="1" s="1"/>
  <c r="Q216" i="1" s="1"/>
  <c r="BA216" i="1"/>
  <c r="P208" i="1"/>
  <c r="AX208" i="1"/>
  <c r="BE208" i="1"/>
  <c r="O214" i="1"/>
  <c r="BC214" i="1"/>
  <c r="BD214" i="1"/>
  <c r="O215" i="1"/>
  <c r="BD215" i="1"/>
  <c r="BC215" i="1"/>
  <c r="AS235" i="1"/>
  <c r="BB226" i="1"/>
  <c r="AY226" i="1" s="1"/>
  <c r="Q226" i="1" s="1"/>
  <c r="AZ226" i="1"/>
  <c r="BA226" i="1"/>
  <c r="P198" i="1"/>
  <c r="AX198" i="1"/>
  <c r="BE198" i="1"/>
  <c r="AS227" i="1"/>
  <c r="BB218" i="1"/>
  <c r="AY218" i="1" s="1"/>
  <c r="Q218" i="1" s="1"/>
  <c r="AZ218" i="1"/>
  <c r="BA218" i="1"/>
  <c r="AS221" i="1"/>
  <c r="AZ212" i="1"/>
  <c r="BB212" i="1"/>
  <c r="AY212" i="1" s="1"/>
  <c r="Q212" i="1" s="1"/>
  <c r="BA212" i="1"/>
  <c r="P194" i="1"/>
  <c r="AX194" i="1"/>
  <c r="BE194" i="1"/>
  <c r="O203" i="1"/>
  <c r="BC203" i="1"/>
  <c r="BD203" i="1"/>
  <c r="AS238" i="1" l="1"/>
  <c r="BB229" i="1"/>
  <c r="AY229" i="1" s="1"/>
  <c r="Q229" i="1" s="1"/>
  <c r="AZ229" i="1"/>
  <c r="BA229" i="1"/>
  <c r="P211" i="1"/>
  <c r="AX211" i="1"/>
  <c r="BE211" i="1"/>
  <c r="O220" i="1"/>
  <c r="BC220" i="1"/>
  <c r="BD220" i="1"/>
  <c r="AS244" i="1"/>
  <c r="BB235" i="1"/>
  <c r="AY235" i="1" s="1"/>
  <c r="Q235" i="1" s="1"/>
  <c r="AZ235" i="1"/>
  <c r="BA235" i="1"/>
  <c r="P210" i="1"/>
  <c r="BE210" i="1"/>
  <c r="AX210" i="1"/>
  <c r="AS242" i="1"/>
  <c r="BB233" i="1"/>
  <c r="AY233" i="1" s="1"/>
  <c r="Q233" i="1" s="1"/>
  <c r="AZ233" i="1"/>
  <c r="BA233" i="1"/>
  <c r="AS236" i="1"/>
  <c r="BB227" i="1"/>
  <c r="AY227" i="1" s="1"/>
  <c r="Q227" i="1" s="1"/>
  <c r="AZ227" i="1"/>
  <c r="BA227" i="1"/>
  <c r="P215" i="1"/>
  <c r="BE215" i="1"/>
  <c r="AX215" i="1"/>
  <c r="P214" i="1"/>
  <c r="BE214" i="1"/>
  <c r="AX214" i="1"/>
  <c r="AS234" i="1"/>
  <c r="BB225" i="1"/>
  <c r="AY225" i="1" s="1"/>
  <c r="Q225" i="1" s="1"/>
  <c r="AZ225" i="1"/>
  <c r="BA225" i="1"/>
  <c r="AS249" i="1"/>
  <c r="BB240" i="1"/>
  <c r="AY240" i="1" s="1"/>
  <c r="Q240" i="1" s="1"/>
  <c r="AZ240" i="1"/>
  <c r="BA240" i="1"/>
  <c r="AS237" i="1"/>
  <c r="BB228" i="1"/>
  <c r="AY228" i="1" s="1"/>
  <c r="Q228" i="1" s="1"/>
  <c r="AZ228" i="1"/>
  <c r="BA228" i="1"/>
  <c r="O223" i="1"/>
  <c r="BC223" i="1"/>
  <c r="BD223" i="1"/>
  <c r="P207" i="1"/>
  <c r="AX207" i="1"/>
  <c r="BE207" i="1"/>
  <c r="P222" i="1"/>
  <c r="BE222" i="1"/>
  <c r="AX222" i="1"/>
  <c r="O216" i="1"/>
  <c r="BC216" i="1"/>
  <c r="BD216" i="1"/>
  <c r="O226" i="1"/>
  <c r="BD226" i="1"/>
  <c r="BC226" i="1"/>
  <c r="P209" i="1"/>
  <c r="AX209" i="1"/>
  <c r="BE209" i="1"/>
  <c r="P217" i="1"/>
  <c r="BE217" i="1"/>
  <c r="AX217" i="1"/>
  <c r="O224" i="1"/>
  <c r="BD224" i="1"/>
  <c r="BC224" i="1"/>
  <c r="O218" i="1"/>
  <c r="BC218" i="1"/>
  <c r="BD218" i="1"/>
  <c r="O231" i="1"/>
  <c r="BC231" i="1"/>
  <c r="BD231" i="1"/>
  <c r="O219" i="1"/>
  <c r="BD219" i="1"/>
  <c r="BC219" i="1"/>
  <c r="AS241" i="1"/>
  <c r="BB232" i="1"/>
  <c r="AY232" i="1" s="1"/>
  <c r="Q232" i="1" s="1"/>
  <c r="AZ232" i="1"/>
  <c r="BA232" i="1"/>
  <c r="O212" i="1"/>
  <c r="BD212" i="1"/>
  <c r="BC212" i="1"/>
  <c r="P203" i="1"/>
  <c r="BE203" i="1"/>
  <c r="AX203" i="1"/>
  <c r="AS230" i="1"/>
  <c r="AZ221" i="1"/>
  <c r="BB221" i="1"/>
  <c r="AY221" i="1" s="1"/>
  <c r="Q221" i="1" s="1"/>
  <c r="BA221" i="1"/>
  <c r="BE218" i="1" l="1"/>
  <c r="O229" i="1"/>
  <c r="BC229" i="1"/>
  <c r="BD229" i="1"/>
  <c r="P220" i="1"/>
  <c r="BE220" i="1"/>
  <c r="AX220" i="1"/>
  <c r="AS247" i="1"/>
  <c r="AZ238" i="1"/>
  <c r="BB238" i="1"/>
  <c r="AY238" i="1" s="1"/>
  <c r="Q238" i="1" s="1"/>
  <c r="BA238" i="1"/>
  <c r="P216" i="1"/>
  <c r="BE216" i="1"/>
  <c r="AX216" i="1"/>
  <c r="O225" i="1"/>
  <c r="BC225" i="1"/>
  <c r="BD225" i="1"/>
  <c r="AS245" i="1"/>
  <c r="BB236" i="1"/>
  <c r="AY236" i="1" s="1"/>
  <c r="Q236" i="1" s="1"/>
  <c r="AZ236" i="1"/>
  <c r="BA236" i="1"/>
  <c r="AS251" i="1"/>
  <c r="BB242" i="1"/>
  <c r="AY242" i="1" s="1"/>
  <c r="Q242" i="1" s="1"/>
  <c r="AZ242" i="1"/>
  <c r="BA242" i="1"/>
  <c r="AS250" i="1"/>
  <c r="BB241" i="1"/>
  <c r="AY241" i="1" s="1"/>
  <c r="Q241" i="1" s="1"/>
  <c r="AZ241" i="1"/>
  <c r="BA241" i="1"/>
  <c r="P218" i="1"/>
  <c r="AX218" i="1"/>
  <c r="P223" i="1"/>
  <c r="AX223" i="1"/>
  <c r="BE223" i="1"/>
  <c r="O235" i="1"/>
  <c r="BC235" i="1"/>
  <c r="BD235" i="1"/>
  <c r="O228" i="1"/>
  <c r="BC228" i="1"/>
  <c r="BD228" i="1"/>
  <c r="AS246" i="1"/>
  <c r="BB237" i="1"/>
  <c r="AY237" i="1" s="1"/>
  <c r="Q237" i="1" s="1"/>
  <c r="AZ237" i="1"/>
  <c r="BA237" i="1"/>
  <c r="AS258" i="1"/>
  <c r="BB249" i="1"/>
  <c r="AY249" i="1" s="1"/>
  <c r="Q249" i="1" s="1"/>
  <c r="AZ249" i="1"/>
  <c r="BA249" i="1"/>
  <c r="AS243" i="1"/>
  <c r="BB234" i="1"/>
  <c r="AY234" i="1" s="1"/>
  <c r="Q234" i="1" s="1"/>
  <c r="AZ234" i="1"/>
  <c r="BA234" i="1"/>
  <c r="O227" i="1"/>
  <c r="BD227" i="1"/>
  <c r="BC227" i="1"/>
  <c r="O233" i="1"/>
  <c r="BC233" i="1"/>
  <c r="BD233" i="1"/>
  <c r="P226" i="1"/>
  <c r="AX226" i="1"/>
  <c r="BE226" i="1"/>
  <c r="O240" i="1"/>
  <c r="BD240" i="1"/>
  <c r="BC240" i="1"/>
  <c r="P219" i="1"/>
  <c r="BE219" i="1"/>
  <c r="AX219" i="1"/>
  <c r="P231" i="1"/>
  <c r="BE231" i="1"/>
  <c r="AX231" i="1"/>
  <c r="O232" i="1"/>
  <c r="BD232" i="1"/>
  <c r="BC232" i="1"/>
  <c r="P224" i="1"/>
  <c r="AX224" i="1"/>
  <c r="BE224" i="1"/>
  <c r="AS253" i="1"/>
  <c r="BB244" i="1"/>
  <c r="AY244" i="1" s="1"/>
  <c r="Q244" i="1" s="1"/>
  <c r="AZ244" i="1"/>
  <c r="BA244" i="1"/>
  <c r="AS239" i="1"/>
  <c r="BB230" i="1"/>
  <c r="AY230" i="1" s="1"/>
  <c r="Q230" i="1" s="1"/>
  <c r="AZ230" i="1"/>
  <c r="BA230" i="1"/>
  <c r="P212" i="1"/>
  <c r="AX212" i="1"/>
  <c r="BE212" i="1"/>
  <c r="O221" i="1"/>
  <c r="BC221" i="1"/>
  <c r="BD221" i="1"/>
  <c r="O238" i="1" l="1"/>
  <c r="BC238" i="1"/>
  <c r="BD238" i="1"/>
  <c r="AS256" i="1"/>
  <c r="AZ247" i="1"/>
  <c r="BB247" i="1"/>
  <c r="AY247" i="1" s="1"/>
  <c r="Q247" i="1" s="1"/>
  <c r="BA247" i="1"/>
  <c r="P229" i="1"/>
  <c r="AX229" i="1"/>
  <c r="BE229" i="1"/>
  <c r="O244" i="1"/>
  <c r="BC244" i="1"/>
  <c r="BD244" i="1"/>
  <c r="O234" i="1"/>
  <c r="BD234" i="1"/>
  <c r="BC234" i="1"/>
  <c r="AS259" i="1"/>
  <c r="BB250" i="1"/>
  <c r="AY250" i="1" s="1"/>
  <c r="Q250" i="1" s="1"/>
  <c r="AZ250" i="1"/>
  <c r="BA250" i="1"/>
  <c r="AS260" i="1"/>
  <c r="BB251" i="1"/>
  <c r="AY251" i="1" s="1"/>
  <c r="Q251" i="1" s="1"/>
  <c r="AZ251" i="1"/>
  <c r="BA251" i="1"/>
  <c r="AS254" i="1"/>
  <c r="BB245" i="1"/>
  <c r="AY245" i="1" s="1"/>
  <c r="Q245" i="1" s="1"/>
  <c r="AZ245" i="1"/>
  <c r="BA245" i="1"/>
  <c r="P227" i="1"/>
  <c r="BE227" i="1"/>
  <c r="AX227" i="1"/>
  <c r="O237" i="1"/>
  <c r="BC237" i="1"/>
  <c r="BD237" i="1"/>
  <c r="AS262" i="1"/>
  <c r="AZ253" i="1"/>
  <c r="BB253" i="1"/>
  <c r="AY253" i="1" s="1"/>
  <c r="Q253" i="1" s="1"/>
  <c r="BA253" i="1"/>
  <c r="P232" i="1"/>
  <c r="BE232" i="1"/>
  <c r="AX232" i="1"/>
  <c r="P233" i="1"/>
  <c r="AX233" i="1"/>
  <c r="BE233" i="1"/>
  <c r="AS252" i="1"/>
  <c r="BB243" i="1"/>
  <c r="AY243" i="1" s="1"/>
  <c r="Q243" i="1" s="1"/>
  <c r="AZ243" i="1"/>
  <c r="BA243" i="1"/>
  <c r="AS267" i="1"/>
  <c r="BB258" i="1"/>
  <c r="AY258" i="1" s="1"/>
  <c r="Q258" i="1" s="1"/>
  <c r="AZ258" i="1"/>
  <c r="BA258" i="1"/>
  <c r="AS255" i="1"/>
  <c r="BB246" i="1"/>
  <c r="AY246" i="1" s="1"/>
  <c r="Q246" i="1" s="1"/>
  <c r="AZ246" i="1"/>
  <c r="BA246" i="1"/>
  <c r="O249" i="1"/>
  <c r="BC249" i="1"/>
  <c r="BD249" i="1"/>
  <c r="P228" i="1"/>
  <c r="AX228" i="1"/>
  <c r="BE228" i="1"/>
  <c r="P240" i="1"/>
  <c r="BE240" i="1"/>
  <c r="AX240" i="1"/>
  <c r="P235" i="1"/>
  <c r="BE235" i="1"/>
  <c r="AX235" i="1"/>
  <c r="O241" i="1"/>
  <c r="BC241" i="1"/>
  <c r="BD241" i="1"/>
  <c r="O242" i="1"/>
  <c r="BD242" i="1"/>
  <c r="BC242" i="1"/>
  <c r="O236" i="1"/>
  <c r="BD236" i="1"/>
  <c r="BC236" i="1"/>
  <c r="P225" i="1"/>
  <c r="BE225" i="1"/>
  <c r="AX225" i="1"/>
  <c r="O230" i="1"/>
  <c r="BC230" i="1"/>
  <c r="BD230" i="1"/>
  <c r="P221" i="1"/>
  <c r="BE221" i="1"/>
  <c r="AX221" i="1"/>
  <c r="AS248" i="1"/>
  <c r="AZ239" i="1"/>
  <c r="BB239" i="1"/>
  <c r="AY239" i="1" s="1"/>
  <c r="Q239" i="1" s="1"/>
  <c r="BA239" i="1"/>
  <c r="AS265" i="1" l="1"/>
  <c r="AZ256" i="1"/>
  <c r="BB256" i="1"/>
  <c r="AY256" i="1" s="1"/>
  <c r="Q256" i="1" s="1"/>
  <c r="BA256" i="1"/>
  <c r="P238" i="1"/>
  <c r="AX238" i="1"/>
  <c r="BE238" i="1"/>
  <c r="O247" i="1"/>
  <c r="BC247" i="1"/>
  <c r="BD247" i="1"/>
  <c r="P241" i="1"/>
  <c r="AX241" i="1"/>
  <c r="BE241" i="1"/>
  <c r="P236" i="1"/>
  <c r="AX236" i="1"/>
  <c r="BE236" i="1"/>
  <c r="AS264" i="1"/>
  <c r="BB255" i="1"/>
  <c r="AY255" i="1" s="1"/>
  <c r="Q255" i="1" s="1"/>
  <c r="AZ255" i="1"/>
  <c r="BA255" i="1"/>
  <c r="AS276" i="1"/>
  <c r="AZ267" i="1"/>
  <c r="BB267" i="1"/>
  <c r="AY267" i="1" s="1"/>
  <c r="Q267" i="1" s="1"/>
  <c r="BA267" i="1"/>
  <c r="AS261" i="1"/>
  <c r="BB252" i="1"/>
  <c r="AY252" i="1" s="1"/>
  <c r="Q252" i="1" s="1"/>
  <c r="AZ252" i="1"/>
  <c r="BA252" i="1"/>
  <c r="P237" i="1"/>
  <c r="BE237" i="1"/>
  <c r="AX237" i="1"/>
  <c r="AS263" i="1"/>
  <c r="BB254" i="1"/>
  <c r="AY254" i="1" s="1"/>
  <c r="Q254" i="1" s="1"/>
  <c r="AZ254" i="1"/>
  <c r="BA254" i="1"/>
  <c r="AS269" i="1"/>
  <c r="BB260" i="1"/>
  <c r="AY260" i="1" s="1"/>
  <c r="Q260" i="1" s="1"/>
  <c r="AZ260" i="1"/>
  <c r="BA260" i="1"/>
  <c r="AS268" i="1"/>
  <c r="BB259" i="1"/>
  <c r="AY259" i="1" s="1"/>
  <c r="Q259" i="1" s="1"/>
  <c r="AZ259" i="1"/>
  <c r="BA259" i="1"/>
  <c r="P242" i="1"/>
  <c r="BE242" i="1"/>
  <c r="AX242" i="1"/>
  <c r="P249" i="1"/>
  <c r="AX249" i="1"/>
  <c r="BE249" i="1"/>
  <c r="O253" i="1"/>
  <c r="BC253" i="1"/>
  <c r="BD253" i="1"/>
  <c r="P234" i="1"/>
  <c r="BE234" i="1"/>
  <c r="AX234" i="1"/>
  <c r="P244" i="1"/>
  <c r="AX244" i="1"/>
  <c r="BE244" i="1"/>
  <c r="O246" i="1"/>
  <c r="BD246" i="1"/>
  <c r="BC246" i="1"/>
  <c r="O258" i="1"/>
  <c r="BD258" i="1"/>
  <c r="BC258" i="1"/>
  <c r="O243" i="1"/>
  <c r="BC243" i="1"/>
  <c r="BD243" i="1"/>
  <c r="AS271" i="1"/>
  <c r="BB262" i="1"/>
  <c r="AY262" i="1" s="1"/>
  <c r="Q262" i="1" s="1"/>
  <c r="AZ262" i="1"/>
  <c r="BA262" i="1"/>
  <c r="O245" i="1"/>
  <c r="BC245" i="1"/>
  <c r="BD245" i="1"/>
  <c r="O251" i="1"/>
  <c r="BD251" i="1"/>
  <c r="BC251" i="1"/>
  <c r="O250" i="1"/>
  <c r="BC250" i="1"/>
  <c r="BD250" i="1"/>
  <c r="O239" i="1"/>
  <c r="BC239" i="1"/>
  <c r="BD239" i="1"/>
  <c r="AS257" i="1"/>
  <c r="AZ248" i="1"/>
  <c r="BB248" i="1"/>
  <c r="AY248" i="1" s="1"/>
  <c r="Q248" i="1" s="1"/>
  <c r="BA248" i="1"/>
  <c r="P230" i="1"/>
  <c r="AX230" i="1"/>
  <c r="BE230" i="1"/>
  <c r="O256" i="1" l="1"/>
  <c r="BC256" i="1"/>
  <c r="BD256" i="1"/>
  <c r="P247" i="1"/>
  <c r="AX247" i="1"/>
  <c r="BE247" i="1"/>
  <c r="AS274" i="1"/>
  <c r="BB265" i="1"/>
  <c r="AY265" i="1" s="1"/>
  <c r="Q265" i="1" s="1"/>
  <c r="AZ265" i="1"/>
  <c r="BA265" i="1"/>
  <c r="P243" i="1"/>
  <c r="AX243" i="1"/>
  <c r="BE243" i="1"/>
  <c r="O259" i="1"/>
  <c r="BC259" i="1"/>
  <c r="BD259" i="1"/>
  <c r="O267" i="1"/>
  <c r="BD267" i="1"/>
  <c r="BC267" i="1"/>
  <c r="P251" i="1"/>
  <c r="BE251" i="1"/>
  <c r="AX251" i="1"/>
  <c r="P245" i="1"/>
  <c r="BE245" i="1"/>
  <c r="AX245" i="1"/>
  <c r="AS270" i="1"/>
  <c r="BB261" i="1"/>
  <c r="AY261" i="1" s="1"/>
  <c r="Q261" i="1" s="1"/>
  <c r="AZ261" i="1"/>
  <c r="BA261" i="1"/>
  <c r="AS285" i="1"/>
  <c r="BB276" i="1"/>
  <c r="AY276" i="1" s="1"/>
  <c r="Q276" i="1" s="1"/>
  <c r="AZ276" i="1"/>
  <c r="BA276" i="1"/>
  <c r="AS273" i="1"/>
  <c r="BB264" i="1"/>
  <c r="AY264" i="1" s="1"/>
  <c r="Q264" i="1" s="1"/>
  <c r="AZ264" i="1"/>
  <c r="BA264" i="1"/>
  <c r="O260" i="1"/>
  <c r="BC260" i="1"/>
  <c r="BD260" i="1"/>
  <c r="P246" i="1"/>
  <c r="BE246" i="1"/>
  <c r="AX246" i="1"/>
  <c r="BE250" i="1"/>
  <c r="AS280" i="1"/>
  <c r="BB271" i="1"/>
  <c r="AY271" i="1" s="1"/>
  <c r="Q271" i="1" s="1"/>
  <c r="AZ271" i="1"/>
  <c r="BA271" i="1"/>
  <c r="P258" i="1"/>
  <c r="BE258" i="1"/>
  <c r="AX258" i="1"/>
  <c r="AS277" i="1"/>
  <c r="BB268" i="1"/>
  <c r="AY268" i="1" s="1"/>
  <c r="Q268" i="1" s="1"/>
  <c r="AZ268" i="1"/>
  <c r="BA268" i="1"/>
  <c r="AS278" i="1"/>
  <c r="BB269" i="1"/>
  <c r="AY269" i="1" s="1"/>
  <c r="Q269" i="1" s="1"/>
  <c r="AZ269" i="1"/>
  <c r="BA269" i="1"/>
  <c r="AS272" i="1"/>
  <c r="BB263" i="1"/>
  <c r="AY263" i="1" s="1"/>
  <c r="Q263" i="1" s="1"/>
  <c r="AZ263" i="1"/>
  <c r="BA263" i="1"/>
  <c r="O262" i="1"/>
  <c r="BC262" i="1"/>
  <c r="BD262" i="1"/>
  <c r="O254" i="1"/>
  <c r="BC254" i="1"/>
  <c r="BD254" i="1"/>
  <c r="P250" i="1"/>
  <c r="AX250" i="1"/>
  <c r="P253" i="1"/>
  <c r="AX253" i="1"/>
  <c r="BE253" i="1"/>
  <c r="O252" i="1"/>
  <c r="BC252" i="1"/>
  <c r="BD252" i="1"/>
  <c r="O255" i="1"/>
  <c r="BC255" i="1"/>
  <c r="BD255" i="1"/>
  <c r="AS266" i="1"/>
  <c r="AZ257" i="1"/>
  <c r="BB257" i="1"/>
  <c r="AY257" i="1" s="1"/>
  <c r="Q257" i="1" s="1"/>
  <c r="BA257" i="1"/>
  <c r="P239" i="1"/>
  <c r="BE239" i="1"/>
  <c r="AX239" i="1"/>
  <c r="O248" i="1"/>
  <c r="BD248" i="1"/>
  <c r="BC248" i="1"/>
  <c r="AS283" i="1" l="1"/>
  <c r="AZ274" i="1"/>
  <c r="BB274" i="1"/>
  <c r="AY274" i="1" s="1"/>
  <c r="Q274" i="1" s="1"/>
  <c r="BA274" i="1"/>
  <c r="P256" i="1"/>
  <c r="BE256" i="1"/>
  <c r="AX256" i="1"/>
  <c r="O265" i="1"/>
  <c r="BC265" i="1"/>
  <c r="BD265" i="1"/>
  <c r="O263" i="1"/>
  <c r="BC263" i="1"/>
  <c r="BD263" i="1"/>
  <c r="AS282" i="1"/>
  <c r="BB273" i="1"/>
  <c r="AY273" i="1" s="1"/>
  <c r="Q273" i="1" s="1"/>
  <c r="AZ273" i="1"/>
  <c r="BA273" i="1"/>
  <c r="AS279" i="1"/>
  <c r="BB270" i="1"/>
  <c r="AY270" i="1" s="1"/>
  <c r="Q270" i="1" s="1"/>
  <c r="AZ270" i="1"/>
  <c r="BA270" i="1"/>
  <c r="P262" i="1"/>
  <c r="BE262" i="1"/>
  <c r="AX262" i="1"/>
  <c r="AS289" i="1"/>
  <c r="BB280" i="1"/>
  <c r="AY280" i="1" s="1"/>
  <c r="Q280" i="1" s="1"/>
  <c r="AZ280" i="1"/>
  <c r="BA280" i="1"/>
  <c r="O269" i="1"/>
  <c r="BD269" i="1"/>
  <c r="BC269" i="1"/>
  <c r="P252" i="1"/>
  <c r="AX252" i="1"/>
  <c r="BE252" i="1"/>
  <c r="P254" i="1"/>
  <c r="BE254" i="1"/>
  <c r="AX254" i="1"/>
  <c r="AS281" i="1"/>
  <c r="BB272" i="1"/>
  <c r="AY272" i="1" s="1"/>
  <c r="Q272" i="1" s="1"/>
  <c r="AZ272" i="1"/>
  <c r="BA272" i="1"/>
  <c r="AS287" i="1"/>
  <c r="BB278" i="1"/>
  <c r="AY278" i="1" s="1"/>
  <c r="Q278" i="1" s="1"/>
  <c r="AZ278" i="1"/>
  <c r="BA278" i="1"/>
  <c r="AS286" i="1"/>
  <c r="BB277" i="1"/>
  <c r="AY277" i="1" s="1"/>
  <c r="Q277" i="1" s="1"/>
  <c r="AZ277" i="1"/>
  <c r="BA277" i="1"/>
  <c r="O264" i="1"/>
  <c r="BC264" i="1"/>
  <c r="BD264" i="1"/>
  <c r="O276" i="1"/>
  <c r="BC276" i="1"/>
  <c r="BD276" i="1"/>
  <c r="O261" i="1"/>
  <c r="BC261" i="1"/>
  <c r="BD261" i="1"/>
  <c r="O268" i="1"/>
  <c r="BD268" i="1"/>
  <c r="BC268" i="1"/>
  <c r="AS294" i="1"/>
  <c r="BB285" i="1"/>
  <c r="AY285" i="1" s="1"/>
  <c r="Q285" i="1" s="1"/>
  <c r="AZ285" i="1"/>
  <c r="BA285" i="1"/>
  <c r="P255" i="1"/>
  <c r="AX255" i="1"/>
  <c r="BE255" i="1"/>
  <c r="O271" i="1"/>
  <c r="BC271" i="1"/>
  <c r="BD271" i="1"/>
  <c r="P260" i="1"/>
  <c r="AX260" i="1"/>
  <c r="BE260" i="1"/>
  <c r="P267" i="1"/>
  <c r="AX267" i="1"/>
  <c r="BE267" i="1"/>
  <c r="P259" i="1"/>
  <c r="BE259" i="1"/>
  <c r="AX259" i="1"/>
  <c r="P248" i="1"/>
  <c r="BE248" i="1"/>
  <c r="AX248" i="1"/>
  <c r="O257" i="1"/>
  <c r="BD257" i="1"/>
  <c r="BC257" i="1"/>
  <c r="AS275" i="1"/>
  <c r="BB266" i="1"/>
  <c r="AY266" i="1" s="1"/>
  <c r="Q266" i="1" s="1"/>
  <c r="AZ266" i="1"/>
  <c r="BA266" i="1"/>
  <c r="O274" i="1" l="1"/>
  <c r="BC274" i="1"/>
  <c r="BD274" i="1"/>
  <c r="P265" i="1"/>
  <c r="AX265" i="1"/>
  <c r="BE265" i="1"/>
  <c r="AS292" i="1"/>
  <c r="AZ283" i="1"/>
  <c r="BB283" i="1"/>
  <c r="AY283" i="1" s="1"/>
  <c r="Q283" i="1" s="1"/>
  <c r="BA283" i="1"/>
  <c r="P271" i="1"/>
  <c r="AX271" i="1"/>
  <c r="BE271" i="1"/>
  <c r="AS296" i="1"/>
  <c r="BB287" i="1"/>
  <c r="AY287" i="1" s="1"/>
  <c r="Q287" i="1" s="1"/>
  <c r="AZ287" i="1"/>
  <c r="BA287" i="1"/>
  <c r="AS288" i="1"/>
  <c r="BB279" i="1"/>
  <c r="AY279" i="1" s="1"/>
  <c r="Q279" i="1" s="1"/>
  <c r="AZ279" i="1"/>
  <c r="BA279" i="1"/>
  <c r="AS291" i="1"/>
  <c r="BB282" i="1"/>
  <c r="AY282" i="1" s="1"/>
  <c r="Q282" i="1" s="1"/>
  <c r="AZ282" i="1"/>
  <c r="BA282" i="1"/>
  <c r="P268" i="1"/>
  <c r="BE268" i="1"/>
  <c r="AX268" i="1"/>
  <c r="P261" i="1"/>
  <c r="AX261" i="1"/>
  <c r="BE261" i="1"/>
  <c r="AS298" i="1"/>
  <c r="AZ289" i="1"/>
  <c r="BB289" i="1"/>
  <c r="AY289" i="1" s="1"/>
  <c r="Q289" i="1" s="1"/>
  <c r="BA289" i="1"/>
  <c r="AS303" i="1"/>
  <c r="BB294" i="1"/>
  <c r="AY294" i="1" s="1"/>
  <c r="Q294" i="1" s="1"/>
  <c r="AZ294" i="1"/>
  <c r="BA294" i="1"/>
  <c r="P276" i="1"/>
  <c r="BE276" i="1"/>
  <c r="AX276" i="1"/>
  <c r="AS295" i="1"/>
  <c r="BB286" i="1"/>
  <c r="AY286" i="1" s="1"/>
  <c r="Q286" i="1" s="1"/>
  <c r="AZ286" i="1"/>
  <c r="BA286" i="1"/>
  <c r="AS290" i="1"/>
  <c r="BB281" i="1"/>
  <c r="AY281" i="1" s="1"/>
  <c r="Q281" i="1" s="1"/>
  <c r="AZ281" i="1"/>
  <c r="BA281" i="1"/>
  <c r="O285" i="1"/>
  <c r="BC285" i="1"/>
  <c r="BD285" i="1"/>
  <c r="O277" i="1"/>
  <c r="BD277" i="1"/>
  <c r="BC277" i="1"/>
  <c r="O278" i="1"/>
  <c r="BC278" i="1"/>
  <c r="BD278" i="1"/>
  <c r="O272" i="1"/>
  <c r="BD272" i="1"/>
  <c r="BC272" i="1"/>
  <c r="O270" i="1"/>
  <c r="BC270" i="1"/>
  <c r="BD270" i="1"/>
  <c r="O273" i="1"/>
  <c r="BD273" i="1"/>
  <c r="BC273" i="1"/>
  <c r="P263" i="1"/>
  <c r="AX263" i="1"/>
  <c r="BE263" i="1"/>
  <c r="P264" i="1"/>
  <c r="BE264" i="1"/>
  <c r="AX264" i="1"/>
  <c r="P269" i="1"/>
  <c r="BE269" i="1"/>
  <c r="AX269" i="1"/>
  <c r="O280" i="1"/>
  <c r="BD280" i="1"/>
  <c r="BC280" i="1"/>
  <c r="AS284" i="1"/>
  <c r="AZ275" i="1"/>
  <c r="BB275" i="1"/>
  <c r="AY275" i="1" s="1"/>
  <c r="Q275" i="1" s="1"/>
  <c r="BA275" i="1"/>
  <c r="P257" i="1"/>
  <c r="AX257" i="1"/>
  <c r="BE257" i="1"/>
  <c r="O266" i="1"/>
  <c r="BC266" i="1"/>
  <c r="BD266" i="1"/>
  <c r="O283" i="1" l="1"/>
  <c r="BD283" i="1"/>
  <c r="BC283" i="1"/>
  <c r="AS301" i="1"/>
  <c r="AZ292" i="1"/>
  <c r="BB292" i="1"/>
  <c r="AY292" i="1" s="1"/>
  <c r="Q292" i="1" s="1"/>
  <c r="BA292" i="1"/>
  <c r="P274" i="1"/>
  <c r="AX274" i="1"/>
  <c r="BE274" i="1"/>
  <c r="P272" i="1"/>
  <c r="AX272" i="1"/>
  <c r="BE272" i="1"/>
  <c r="O294" i="1"/>
  <c r="BC294" i="1"/>
  <c r="BD294" i="1"/>
  <c r="AS300" i="1"/>
  <c r="BB291" i="1"/>
  <c r="AY291" i="1" s="1"/>
  <c r="Q291" i="1" s="1"/>
  <c r="AZ291" i="1"/>
  <c r="BA291" i="1"/>
  <c r="O281" i="1"/>
  <c r="BD281" i="1"/>
  <c r="BC281" i="1"/>
  <c r="O286" i="1"/>
  <c r="BC286" i="1"/>
  <c r="BD286" i="1"/>
  <c r="O289" i="1"/>
  <c r="BD289" i="1"/>
  <c r="BC289" i="1"/>
  <c r="P278" i="1"/>
  <c r="BE278" i="1"/>
  <c r="AX278" i="1"/>
  <c r="AS297" i="1"/>
  <c r="BB288" i="1"/>
  <c r="AY288" i="1" s="1"/>
  <c r="Q288" i="1" s="1"/>
  <c r="AZ288" i="1"/>
  <c r="BA288" i="1"/>
  <c r="P280" i="1"/>
  <c r="AX280" i="1"/>
  <c r="BE280" i="1"/>
  <c r="P273" i="1"/>
  <c r="BE273" i="1"/>
  <c r="AX273" i="1"/>
  <c r="P270" i="1"/>
  <c r="AX270" i="1"/>
  <c r="BE270" i="1"/>
  <c r="P277" i="1"/>
  <c r="AX277" i="1"/>
  <c r="BE277" i="1"/>
  <c r="P285" i="1"/>
  <c r="BE285" i="1"/>
  <c r="AX285" i="1"/>
  <c r="AS312" i="1"/>
  <c r="AZ303" i="1"/>
  <c r="BB303" i="1"/>
  <c r="AY303" i="1" s="1"/>
  <c r="Q303" i="1" s="1"/>
  <c r="BA303" i="1"/>
  <c r="AS307" i="1"/>
  <c r="BB298" i="1"/>
  <c r="AY298" i="1" s="1"/>
  <c r="Q298" i="1" s="1"/>
  <c r="AZ298" i="1"/>
  <c r="BA298" i="1"/>
  <c r="O282" i="1"/>
  <c r="BC282" i="1"/>
  <c r="BD282" i="1"/>
  <c r="O279" i="1"/>
  <c r="BC279" i="1"/>
  <c r="BD279" i="1"/>
  <c r="O287" i="1"/>
  <c r="BD287" i="1"/>
  <c r="BC287" i="1"/>
  <c r="AS305" i="1"/>
  <c r="BB296" i="1"/>
  <c r="AY296" i="1" s="1"/>
  <c r="Q296" i="1" s="1"/>
  <c r="AZ296" i="1"/>
  <c r="BA296" i="1"/>
  <c r="AS299" i="1"/>
  <c r="BB290" i="1"/>
  <c r="AY290" i="1" s="1"/>
  <c r="Q290" i="1" s="1"/>
  <c r="AZ290" i="1"/>
  <c r="BA290" i="1"/>
  <c r="AS304" i="1"/>
  <c r="BB295" i="1"/>
  <c r="AY295" i="1" s="1"/>
  <c r="Q295" i="1" s="1"/>
  <c r="AZ295" i="1"/>
  <c r="BA295" i="1"/>
  <c r="O275" i="1"/>
  <c r="BD275" i="1"/>
  <c r="BC275" i="1"/>
  <c r="P266" i="1"/>
  <c r="AX266" i="1"/>
  <c r="BE266" i="1"/>
  <c r="AS293" i="1"/>
  <c r="AZ284" i="1"/>
  <c r="BB284" i="1"/>
  <c r="AY284" i="1" s="1"/>
  <c r="Q284" i="1" s="1"/>
  <c r="BA284" i="1"/>
  <c r="AS310" i="1" l="1"/>
  <c r="BB301" i="1"/>
  <c r="AY301" i="1" s="1"/>
  <c r="Q301" i="1" s="1"/>
  <c r="AZ301" i="1"/>
  <c r="BA301" i="1"/>
  <c r="P283" i="1"/>
  <c r="BE283" i="1"/>
  <c r="AX283" i="1"/>
  <c r="O292" i="1"/>
  <c r="BD292" i="1"/>
  <c r="BC292" i="1"/>
  <c r="AS313" i="1"/>
  <c r="BB304" i="1"/>
  <c r="AY304" i="1" s="1"/>
  <c r="Q304" i="1" s="1"/>
  <c r="AZ304" i="1"/>
  <c r="BA304" i="1"/>
  <c r="AS314" i="1"/>
  <c r="BB305" i="1"/>
  <c r="AY305" i="1" s="1"/>
  <c r="Q305" i="1" s="1"/>
  <c r="AZ305" i="1"/>
  <c r="BA305" i="1"/>
  <c r="P282" i="1"/>
  <c r="BE282" i="1"/>
  <c r="AX282" i="1"/>
  <c r="O303" i="1"/>
  <c r="BD303" i="1"/>
  <c r="BC303" i="1"/>
  <c r="AS306" i="1"/>
  <c r="BB297" i="1"/>
  <c r="AY297" i="1" s="1"/>
  <c r="Q297" i="1" s="1"/>
  <c r="AZ297" i="1"/>
  <c r="BA297" i="1"/>
  <c r="P289" i="1"/>
  <c r="AX289" i="1"/>
  <c r="BE289" i="1"/>
  <c r="P286" i="1"/>
  <c r="BE286" i="1"/>
  <c r="AX286" i="1"/>
  <c r="AS309" i="1"/>
  <c r="BB300" i="1"/>
  <c r="AY300" i="1" s="1"/>
  <c r="Q300" i="1" s="1"/>
  <c r="AZ300" i="1"/>
  <c r="BA300" i="1"/>
  <c r="O298" i="1"/>
  <c r="BD298" i="1"/>
  <c r="BC298" i="1"/>
  <c r="AS308" i="1"/>
  <c r="BB299" i="1"/>
  <c r="AY299" i="1" s="1"/>
  <c r="Q299" i="1" s="1"/>
  <c r="AZ299" i="1"/>
  <c r="BA299" i="1"/>
  <c r="P287" i="1"/>
  <c r="BE287" i="1"/>
  <c r="AX287" i="1"/>
  <c r="P279" i="1"/>
  <c r="BE279" i="1"/>
  <c r="AX279" i="1"/>
  <c r="AS316" i="1"/>
  <c r="BB307" i="1"/>
  <c r="AY307" i="1" s="1"/>
  <c r="Q307" i="1" s="1"/>
  <c r="AZ307" i="1"/>
  <c r="BA307" i="1"/>
  <c r="AS321" i="1"/>
  <c r="BB312" i="1"/>
  <c r="AY312" i="1" s="1"/>
  <c r="Q312" i="1" s="1"/>
  <c r="AZ312" i="1"/>
  <c r="BA312" i="1"/>
  <c r="O295" i="1"/>
  <c r="BD295" i="1"/>
  <c r="BC295" i="1"/>
  <c r="O290" i="1"/>
  <c r="BC290" i="1"/>
  <c r="BD290" i="1"/>
  <c r="O296" i="1"/>
  <c r="BD296" i="1"/>
  <c r="BC296" i="1"/>
  <c r="O288" i="1"/>
  <c r="BD288" i="1"/>
  <c r="BC288" i="1"/>
  <c r="P281" i="1"/>
  <c r="AX281" i="1"/>
  <c r="BE281" i="1"/>
  <c r="O291" i="1"/>
  <c r="BC291" i="1"/>
  <c r="BD291" i="1"/>
  <c r="P294" i="1"/>
  <c r="BE294" i="1"/>
  <c r="AX294" i="1"/>
  <c r="O284" i="1"/>
  <c r="BD284" i="1"/>
  <c r="BC284" i="1"/>
  <c r="AS302" i="1"/>
  <c r="AZ293" i="1"/>
  <c r="BB293" i="1"/>
  <c r="AY293" i="1" s="1"/>
  <c r="Q293" i="1" s="1"/>
  <c r="BA293" i="1"/>
  <c r="P275" i="1"/>
  <c r="BE275" i="1"/>
  <c r="AX275" i="1"/>
  <c r="O301" i="1" l="1"/>
  <c r="BD301" i="1"/>
  <c r="BC301" i="1"/>
  <c r="P292" i="1"/>
  <c r="BE292" i="1"/>
  <c r="AX292" i="1"/>
  <c r="AS319" i="1"/>
  <c r="AZ310" i="1"/>
  <c r="BB310" i="1"/>
  <c r="AY310" i="1" s="1"/>
  <c r="Q310" i="1" s="1"/>
  <c r="BA310" i="1"/>
  <c r="O307" i="1"/>
  <c r="BD307" i="1"/>
  <c r="BC307" i="1"/>
  <c r="P298" i="1"/>
  <c r="AX298" i="1"/>
  <c r="BE298" i="1"/>
  <c r="O300" i="1"/>
  <c r="BC300" i="1"/>
  <c r="BD300" i="1"/>
  <c r="AS315" i="1"/>
  <c r="BB306" i="1"/>
  <c r="AY306" i="1" s="1"/>
  <c r="Q306" i="1" s="1"/>
  <c r="AZ306" i="1"/>
  <c r="BA306" i="1"/>
  <c r="O305" i="1"/>
  <c r="BC305" i="1"/>
  <c r="BD305" i="1"/>
  <c r="O304" i="1"/>
  <c r="BD304" i="1"/>
  <c r="BC304" i="1"/>
  <c r="P295" i="1"/>
  <c r="BE295" i="1"/>
  <c r="AX295" i="1"/>
  <c r="P291" i="1"/>
  <c r="AX291" i="1"/>
  <c r="BE291" i="1"/>
  <c r="P296" i="1"/>
  <c r="AX296" i="1"/>
  <c r="BE296" i="1"/>
  <c r="P290" i="1"/>
  <c r="AX290" i="1"/>
  <c r="BE290" i="1"/>
  <c r="AS330" i="1"/>
  <c r="BB321" i="1"/>
  <c r="AY321" i="1" s="1"/>
  <c r="Q321" i="1" s="1"/>
  <c r="AZ321" i="1"/>
  <c r="BA321" i="1"/>
  <c r="AS325" i="1"/>
  <c r="BB316" i="1"/>
  <c r="AY316" i="1" s="1"/>
  <c r="Q316" i="1" s="1"/>
  <c r="AZ316" i="1"/>
  <c r="BA316" i="1"/>
  <c r="O299" i="1"/>
  <c r="BC299" i="1"/>
  <c r="BD299" i="1"/>
  <c r="P303" i="1"/>
  <c r="BE303" i="1"/>
  <c r="AX303" i="1"/>
  <c r="O312" i="1"/>
  <c r="BD312" i="1"/>
  <c r="BC312" i="1"/>
  <c r="AS317" i="1"/>
  <c r="BB308" i="1"/>
  <c r="AY308" i="1" s="1"/>
  <c r="Q308" i="1" s="1"/>
  <c r="AZ308" i="1"/>
  <c r="BA308" i="1"/>
  <c r="P288" i="1"/>
  <c r="AX288" i="1"/>
  <c r="BE288" i="1"/>
  <c r="AS318" i="1"/>
  <c r="BB309" i="1"/>
  <c r="AY309" i="1" s="1"/>
  <c r="Q309" i="1" s="1"/>
  <c r="AZ309" i="1"/>
  <c r="BA309" i="1"/>
  <c r="O297" i="1"/>
  <c r="BD297" i="1"/>
  <c r="BC297" i="1"/>
  <c r="AS323" i="1"/>
  <c r="BB314" i="1"/>
  <c r="AY314" i="1" s="1"/>
  <c r="Q314" i="1" s="1"/>
  <c r="AZ314" i="1"/>
  <c r="BA314" i="1"/>
  <c r="AS322" i="1"/>
  <c r="BB313" i="1"/>
  <c r="AY313" i="1" s="1"/>
  <c r="Q313" i="1" s="1"/>
  <c r="AZ313" i="1"/>
  <c r="BA313" i="1"/>
  <c r="P284" i="1"/>
  <c r="AX284" i="1"/>
  <c r="BE284" i="1"/>
  <c r="AS311" i="1"/>
  <c r="BB302" i="1"/>
  <c r="AY302" i="1" s="1"/>
  <c r="Q302" i="1" s="1"/>
  <c r="AZ302" i="1"/>
  <c r="BA302" i="1"/>
  <c r="O293" i="1"/>
  <c r="BC293" i="1"/>
  <c r="BD293" i="1"/>
  <c r="O310" i="1" l="1"/>
  <c r="BD310" i="1"/>
  <c r="BC310" i="1"/>
  <c r="AS328" i="1"/>
  <c r="AZ319" i="1"/>
  <c r="BB319" i="1"/>
  <c r="AY319" i="1" s="1"/>
  <c r="Q319" i="1" s="1"/>
  <c r="BA319" i="1"/>
  <c r="P301" i="1"/>
  <c r="BE301" i="1"/>
  <c r="AX301" i="1"/>
  <c r="AS327" i="1"/>
  <c r="BB318" i="1"/>
  <c r="AY318" i="1" s="1"/>
  <c r="Q318" i="1" s="1"/>
  <c r="AZ318" i="1"/>
  <c r="BA318" i="1"/>
  <c r="P312" i="1"/>
  <c r="AX312" i="1"/>
  <c r="BE312" i="1"/>
  <c r="AS334" i="1"/>
  <c r="AZ325" i="1"/>
  <c r="BB325" i="1"/>
  <c r="AY325" i="1" s="1"/>
  <c r="Q325" i="1" s="1"/>
  <c r="BA325" i="1"/>
  <c r="AS339" i="1"/>
  <c r="BB330" i="1"/>
  <c r="AY330" i="1" s="1"/>
  <c r="Q330" i="1" s="1"/>
  <c r="AZ330" i="1"/>
  <c r="BA330" i="1"/>
  <c r="P300" i="1"/>
  <c r="BE300" i="1"/>
  <c r="AX300" i="1"/>
  <c r="AS331" i="1"/>
  <c r="BB322" i="1"/>
  <c r="AY322" i="1" s="1"/>
  <c r="Q322" i="1" s="1"/>
  <c r="AZ322" i="1"/>
  <c r="BA322" i="1"/>
  <c r="AS332" i="1"/>
  <c r="BB323" i="1"/>
  <c r="AY323" i="1" s="1"/>
  <c r="Q323" i="1" s="1"/>
  <c r="AZ323" i="1"/>
  <c r="BA323" i="1"/>
  <c r="O308" i="1"/>
  <c r="BC308" i="1"/>
  <c r="BD308" i="1"/>
  <c r="P304" i="1"/>
  <c r="BE304" i="1"/>
  <c r="AX304" i="1"/>
  <c r="P305" i="1"/>
  <c r="AX305" i="1"/>
  <c r="BE305" i="1"/>
  <c r="P307" i="1"/>
  <c r="AX307" i="1"/>
  <c r="BE307" i="1"/>
  <c r="O306" i="1"/>
  <c r="BC306" i="1"/>
  <c r="BD306" i="1"/>
  <c r="P297" i="1"/>
  <c r="BE297" i="1"/>
  <c r="AX297" i="1"/>
  <c r="O309" i="1"/>
  <c r="BD309" i="1"/>
  <c r="BC309" i="1"/>
  <c r="O316" i="1"/>
  <c r="BD316" i="1"/>
  <c r="BC316" i="1"/>
  <c r="O321" i="1"/>
  <c r="BD321" i="1"/>
  <c r="BC321" i="1"/>
  <c r="AS324" i="1"/>
  <c r="BB315" i="1"/>
  <c r="AY315" i="1" s="1"/>
  <c r="Q315" i="1" s="1"/>
  <c r="AZ315" i="1"/>
  <c r="BA315" i="1"/>
  <c r="O313" i="1"/>
  <c r="BD313" i="1"/>
  <c r="BC313" i="1"/>
  <c r="O314" i="1"/>
  <c r="BD314" i="1"/>
  <c r="BC314" i="1"/>
  <c r="AS326" i="1"/>
  <c r="BB317" i="1"/>
  <c r="AY317" i="1" s="1"/>
  <c r="Q317" i="1" s="1"/>
  <c r="AZ317" i="1"/>
  <c r="BA317" i="1"/>
  <c r="P299" i="1"/>
  <c r="AX299" i="1"/>
  <c r="BE299" i="1"/>
  <c r="O302" i="1"/>
  <c r="BD302" i="1"/>
  <c r="BC302" i="1"/>
  <c r="AS320" i="1"/>
  <c r="AZ311" i="1"/>
  <c r="BB311" i="1"/>
  <c r="AY311" i="1" s="1"/>
  <c r="Q311" i="1" s="1"/>
  <c r="BA311" i="1"/>
  <c r="P293" i="1"/>
  <c r="BE293" i="1"/>
  <c r="AX293" i="1"/>
  <c r="AS337" i="1" l="1"/>
  <c r="AZ328" i="1"/>
  <c r="BB328" i="1"/>
  <c r="AY328" i="1" s="1"/>
  <c r="Q328" i="1" s="1"/>
  <c r="BA328" i="1"/>
  <c r="P310" i="1"/>
  <c r="BE310" i="1"/>
  <c r="AX310" i="1"/>
  <c r="O319" i="1"/>
  <c r="BC319" i="1"/>
  <c r="BD319" i="1"/>
  <c r="AS335" i="1"/>
  <c r="BB326" i="1"/>
  <c r="AY326" i="1" s="1"/>
  <c r="Q326" i="1" s="1"/>
  <c r="AZ326" i="1"/>
  <c r="BA326" i="1"/>
  <c r="P313" i="1"/>
  <c r="AX313" i="1"/>
  <c r="BE313" i="1"/>
  <c r="P308" i="1"/>
  <c r="AX308" i="1"/>
  <c r="BE308" i="1"/>
  <c r="AS348" i="1"/>
  <c r="AZ339" i="1"/>
  <c r="BB339" i="1"/>
  <c r="AY339" i="1" s="1"/>
  <c r="Q339" i="1" s="1"/>
  <c r="BA339" i="1"/>
  <c r="AS343" i="1"/>
  <c r="BB334" i="1"/>
  <c r="AY334" i="1" s="1"/>
  <c r="Q334" i="1" s="1"/>
  <c r="AZ334" i="1"/>
  <c r="BA334" i="1"/>
  <c r="P309" i="1"/>
  <c r="BE309" i="1"/>
  <c r="AX309" i="1"/>
  <c r="O318" i="1"/>
  <c r="BD318" i="1"/>
  <c r="BC318" i="1"/>
  <c r="P316" i="1"/>
  <c r="BE316" i="1"/>
  <c r="AX316" i="1"/>
  <c r="O330" i="1"/>
  <c r="BD330" i="1"/>
  <c r="BC330" i="1"/>
  <c r="O315" i="1"/>
  <c r="BD315" i="1"/>
  <c r="BC315" i="1"/>
  <c r="P306" i="1"/>
  <c r="BE306" i="1"/>
  <c r="AX306" i="1"/>
  <c r="P314" i="1"/>
  <c r="BE314" i="1"/>
  <c r="AX314" i="1"/>
  <c r="AS341" i="1"/>
  <c r="BB332" i="1"/>
  <c r="AY332" i="1" s="1"/>
  <c r="Q332" i="1" s="1"/>
  <c r="AZ332" i="1"/>
  <c r="BA332" i="1"/>
  <c r="AS340" i="1"/>
  <c r="BB331" i="1"/>
  <c r="AY331" i="1" s="1"/>
  <c r="Q331" i="1" s="1"/>
  <c r="AZ331" i="1"/>
  <c r="BA331" i="1"/>
  <c r="O317" i="1"/>
  <c r="BD317" i="1"/>
  <c r="BC317" i="1"/>
  <c r="AS333" i="1"/>
  <c r="BB324" i="1"/>
  <c r="AY324" i="1" s="1"/>
  <c r="Q324" i="1" s="1"/>
  <c r="AZ324" i="1"/>
  <c r="BA324" i="1"/>
  <c r="P321" i="1"/>
  <c r="AX321" i="1"/>
  <c r="BE321" i="1"/>
  <c r="O323" i="1"/>
  <c r="BD323" i="1"/>
  <c r="BC323" i="1"/>
  <c r="O322" i="1"/>
  <c r="BD322" i="1"/>
  <c r="BC322" i="1"/>
  <c r="O325" i="1"/>
  <c r="BD325" i="1"/>
  <c r="BC325" i="1"/>
  <c r="AS336" i="1"/>
  <c r="BB327" i="1"/>
  <c r="AY327" i="1" s="1"/>
  <c r="Q327" i="1" s="1"/>
  <c r="AZ327" i="1"/>
  <c r="BA327" i="1"/>
  <c r="AS329" i="1"/>
  <c r="AZ320" i="1"/>
  <c r="BB320" i="1"/>
  <c r="AY320" i="1" s="1"/>
  <c r="Q320" i="1" s="1"/>
  <c r="BA320" i="1"/>
  <c r="P302" i="1"/>
  <c r="BE302" i="1"/>
  <c r="AX302" i="1"/>
  <c r="O311" i="1"/>
  <c r="BD311" i="1"/>
  <c r="BC311" i="1"/>
  <c r="O328" i="1" l="1"/>
  <c r="BC328" i="1"/>
  <c r="BD328" i="1"/>
  <c r="P319" i="1"/>
  <c r="BE319" i="1"/>
  <c r="AX319" i="1"/>
  <c r="AS346" i="1"/>
  <c r="BB337" i="1"/>
  <c r="AY337" i="1" s="1"/>
  <c r="Q337" i="1" s="1"/>
  <c r="AZ337" i="1"/>
  <c r="BA337" i="1"/>
  <c r="AS349" i="1"/>
  <c r="BB340" i="1"/>
  <c r="AY340" i="1" s="1"/>
  <c r="Q340" i="1" s="1"/>
  <c r="AZ340" i="1"/>
  <c r="BA340" i="1"/>
  <c r="P318" i="1"/>
  <c r="BE318" i="1"/>
  <c r="AX318" i="1"/>
  <c r="O339" i="1"/>
  <c r="BD339" i="1"/>
  <c r="BC339" i="1"/>
  <c r="P322" i="1"/>
  <c r="AX322" i="1"/>
  <c r="BE322" i="1"/>
  <c r="AS342" i="1"/>
  <c r="BB333" i="1"/>
  <c r="AY333" i="1" s="1"/>
  <c r="Q333" i="1" s="1"/>
  <c r="AZ333" i="1"/>
  <c r="BA333" i="1"/>
  <c r="AS352" i="1"/>
  <c r="BB343" i="1"/>
  <c r="AY343" i="1" s="1"/>
  <c r="Q343" i="1" s="1"/>
  <c r="AZ343" i="1"/>
  <c r="BA343" i="1"/>
  <c r="AS357" i="1"/>
  <c r="BB348" i="1"/>
  <c r="AY348" i="1" s="1"/>
  <c r="Q348" i="1" s="1"/>
  <c r="AZ348" i="1"/>
  <c r="BA348" i="1"/>
  <c r="O326" i="1"/>
  <c r="BC326" i="1"/>
  <c r="BD326" i="1"/>
  <c r="P325" i="1"/>
  <c r="AX325" i="1"/>
  <c r="BE325" i="1"/>
  <c r="P317" i="1"/>
  <c r="AX317" i="1"/>
  <c r="BE317" i="1"/>
  <c r="O331" i="1"/>
  <c r="BC331" i="1"/>
  <c r="BD331" i="1"/>
  <c r="O332" i="1"/>
  <c r="BD332" i="1"/>
  <c r="BC332" i="1"/>
  <c r="P330" i="1"/>
  <c r="BE330" i="1"/>
  <c r="AX330" i="1"/>
  <c r="P323" i="1"/>
  <c r="AX323" i="1"/>
  <c r="BE323" i="1"/>
  <c r="AS350" i="1"/>
  <c r="BB341" i="1"/>
  <c r="AY341" i="1" s="1"/>
  <c r="Q341" i="1" s="1"/>
  <c r="AZ341" i="1"/>
  <c r="BA341" i="1"/>
  <c r="AS345" i="1"/>
  <c r="BB336" i="1"/>
  <c r="AY336" i="1" s="1"/>
  <c r="Q336" i="1" s="1"/>
  <c r="AZ336" i="1"/>
  <c r="BA336" i="1"/>
  <c r="O327" i="1"/>
  <c r="BC327" i="1"/>
  <c r="BD327" i="1"/>
  <c r="O324" i="1"/>
  <c r="BC324" i="1"/>
  <c r="BD324" i="1"/>
  <c r="P315" i="1"/>
  <c r="BE315" i="1"/>
  <c r="AX315" i="1"/>
  <c r="O334" i="1"/>
  <c r="BD334" i="1"/>
  <c r="BC334" i="1"/>
  <c r="AS344" i="1"/>
  <c r="BB335" i="1"/>
  <c r="AY335" i="1" s="1"/>
  <c r="Q335" i="1" s="1"/>
  <c r="AZ335" i="1"/>
  <c r="BA335" i="1"/>
  <c r="P311" i="1"/>
  <c r="BE311" i="1"/>
  <c r="AX311" i="1"/>
  <c r="O320" i="1"/>
  <c r="BD320" i="1"/>
  <c r="BC320" i="1"/>
  <c r="AS338" i="1"/>
  <c r="AZ329" i="1"/>
  <c r="BB329" i="1"/>
  <c r="AY329" i="1" s="1"/>
  <c r="Q329" i="1" s="1"/>
  <c r="BA329" i="1"/>
  <c r="P328" i="1" l="1"/>
  <c r="AX328" i="1"/>
  <c r="BE328" i="1"/>
  <c r="AS355" i="1"/>
  <c r="AZ346" i="1"/>
  <c r="BB346" i="1"/>
  <c r="AY346" i="1" s="1"/>
  <c r="Q346" i="1" s="1"/>
  <c r="BA346" i="1"/>
  <c r="O337" i="1"/>
  <c r="BD337" i="1"/>
  <c r="BC337" i="1"/>
  <c r="P327" i="1"/>
  <c r="BE327" i="1"/>
  <c r="AX327" i="1"/>
  <c r="P332" i="1"/>
  <c r="BE332" i="1"/>
  <c r="AX332" i="1"/>
  <c r="O348" i="1"/>
  <c r="BD348" i="1"/>
  <c r="BC348" i="1"/>
  <c r="O333" i="1"/>
  <c r="BD333" i="1"/>
  <c r="BC333" i="1"/>
  <c r="P324" i="1"/>
  <c r="BE324" i="1"/>
  <c r="AX324" i="1"/>
  <c r="AS354" i="1"/>
  <c r="BB345" i="1"/>
  <c r="AY345" i="1" s="1"/>
  <c r="Q345" i="1" s="1"/>
  <c r="AZ345" i="1"/>
  <c r="BA345" i="1"/>
  <c r="O340" i="1"/>
  <c r="BC340" i="1"/>
  <c r="BD340" i="1"/>
  <c r="P334" i="1"/>
  <c r="BE334" i="1"/>
  <c r="AX334" i="1"/>
  <c r="AS366" i="1"/>
  <c r="BB357" i="1"/>
  <c r="AY357" i="1" s="1"/>
  <c r="Q357" i="1" s="1"/>
  <c r="AZ357" i="1"/>
  <c r="BA357" i="1"/>
  <c r="AS361" i="1"/>
  <c r="BB352" i="1"/>
  <c r="AY352" i="1" s="1"/>
  <c r="Q352" i="1" s="1"/>
  <c r="AZ352" i="1"/>
  <c r="BA352" i="1"/>
  <c r="AS351" i="1"/>
  <c r="BB342" i="1"/>
  <c r="AY342" i="1" s="1"/>
  <c r="Q342" i="1" s="1"/>
  <c r="AZ342" i="1"/>
  <c r="BA342" i="1"/>
  <c r="P339" i="1"/>
  <c r="AX339" i="1"/>
  <c r="BE339" i="1"/>
  <c r="P331" i="1"/>
  <c r="AX331" i="1"/>
  <c r="BE331" i="1"/>
  <c r="O343" i="1"/>
  <c r="BC343" i="1"/>
  <c r="BD343" i="1"/>
  <c r="AS353" i="1"/>
  <c r="BB344" i="1"/>
  <c r="AY344" i="1" s="1"/>
  <c r="Q344" i="1" s="1"/>
  <c r="AZ344" i="1"/>
  <c r="BA344" i="1"/>
  <c r="AS359" i="1"/>
  <c r="BB350" i="1"/>
  <c r="AY350" i="1" s="1"/>
  <c r="Q350" i="1" s="1"/>
  <c r="AZ350" i="1"/>
  <c r="BA350" i="1"/>
  <c r="P326" i="1"/>
  <c r="AX326" i="1"/>
  <c r="BE326" i="1"/>
  <c r="O335" i="1"/>
  <c r="BC335" i="1"/>
  <c r="BD335" i="1"/>
  <c r="O336" i="1"/>
  <c r="BC336" i="1"/>
  <c r="BD336" i="1"/>
  <c r="O341" i="1"/>
  <c r="BD341" i="1"/>
  <c r="BC341" i="1"/>
  <c r="AS358" i="1"/>
  <c r="BB349" i="1"/>
  <c r="AY349" i="1" s="1"/>
  <c r="Q349" i="1" s="1"/>
  <c r="AZ349" i="1"/>
  <c r="BA349" i="1"/>
  <c r="O329" i="1"/>
  <c r="BC329" i="1"/>
  <c r="BD329" i="1"/>
  <c r="AS347" i="1"/>
  <c r="BB338" i="1"/>
  <c r="AY338" i="1" s="1"/>
  <c r="Q338" i="1" s="1"/>
  <c r="AZ338" i="1"/>
  <c r="BA338" i="1"/>
  <c r="P320" i="1"/>
  <c r="AX320" i="1"/>
  <c r="BE320" i="1"/>
  <c r="O346" i="1" l="1"/>
  <c r="BC346" i="1"/>
  <c r="BD346" i="1"/>
  <c r="AS364" i="1"/>
  <c r="AZ355" i="1"/>
  <c r="BB355" i="1"/>
  <c r="AY355" i="1" s="1"/>
  <c r="Q355" i="1" s="1"/>
  <c r="BA355" i="1"/>
  <c r="P337" i="1"/>
  <c r="BE337" i="1"/>
  <c r="AX337" i="1"/>
  <c r="O357" i="1"/>
  <c r="BC357" i="1"/>
  <c r="BD357" i="1"/>
  <c r="P333" i="1"/>
  <c r="AX333" i="1"/>
  <c r="BE333" i="1"/>
  <c r="P335" i="1"/>
  <c r="AX335" i="1"/>
  <c r="BE335" i="1"/>
  <c r="O352" i="1"/>
  <c r="BC352" i="1"/>
  <c r="BD352" i="1"/>
  <c r="AS367" i="1"/>
  <c r="BB358" i="1"/>
  <c r="AY358" i="1" s="1"/>
  <c r="Q358" i="1" s="1"/>
  <c r="AZ358" i="1"/>
  <c r="BA358" i="1"/>
  <c r="AS368" i="1"/>
  <c r="BB359" i="1"/>
  <c r="AY359" i="1" s="1"/>
  <c r="Q359" i="1" s="1"/>
  <c r="AZ359" i="1"/>
  <c r="BA359" i="1"/>
  <c r="AS362" i="1"/>
  <c r="BB353" i="1"/>
  <c r="AY353" i="1" s="1"/>
  <c r="Q353" i="1" s="1"/>
  <c r="AZ353" i="1"/>
  <c r="BA353" i="1"/>
  <c r="O345" i="1"/>
  <c r="BD345" i="1"/>
  <c r="BC345" i="1"/>
  <c r="O342" i="1"/>
  <c r="BC342" i="1"/>
  <c r="BD342" i="1"/>
  <c r="AS363" i="1"/>
  <c r="BB354" i="1"/>
  <c r="AY354" i="1" s="1"/>
  <c r="Q354" i="1" s="1"/>
  <c r="AZ354" i="1"/>
  <c r="BA354" i="1"/>
  <c r="P341" i="1"/>
  <c r="BE341" i="1"/>
  <c r="AX341" i="1"/>
  <c r="P336" i="1"/>
  <c r="AX336" i="1"/>
  <c r="BE336" i="1"/>
  <c r="AS360" i="1"/>
  <c r="BB351" i="1"/>
  <c r="AY351" i="1" s="1"/>
  <c r="Q351" i="1" s="1"/>
  <c r="AZ351" i="1"/>
  <c r="BA351" i="1"/>
  <c r="AS370" i="1"/>
  <c r="AZ361" i="1"/>
  <c r="BB361" i="1"/>
  <c r="AY361" i="1" s="1"/>
  <c r="Q361" i="1" s="1"/>
  <c r="BA361" i="1"/>
  <c r="AS375" i="1"/>
  <c r="BB366" i="1"/>
  <c r="AY366" i="1" s="1"/>
  <c r="Q366" i="1" s="1"/>
  <c r="AZ366" i="1"/>
  <c r="BA366" i="1"/>
  <c r="O349" i="1"/>
  <c r="BC349" i="1"/>
  <c r="BD349" i="1"/>
  <c r="O350" i="1"/>
  <c r="BC350" i="1"/>
  <c r="BD350" i="1"/>
  <c r="O344" i="1"/>
  <c r="BC344" i="1"/>
  <c r="BD344" i="1"/>
  <c r="P343" i="1"/>
  <c r="BE343" i="1"/>
  <c r="AX343" i="1"/>
  <c r="P340" i="1"/>
  <c r="BE340" i="1"/>
  <c r="AX340" i="1"/>
  <c r="P348" i="1"/>
  <c r="AX348" i="1"/>
  <c r="BE348" i="1"/>
  <c r="AS356" i="1"/>
  <c r="AZ347" i="1"/>
  <c r="BB347" i="1"/>
  <c r="AY347" i="1" s="1"/>
  <c r="Q347" i="1" s="1"/>
  <c r="BA347" i="1"/>
  <c r="O338" i="1"/>
  <c r="BD338" i="1"/>
  <c r="BC338" i="1"/>
  <c r="P329" i="1"/>
  <c r="BE329" i="1"/>
  <c r="AX329" i="1"/>
  <c r="AS373" i="1" l="1"/>
  <c r="AZ364" i="1"/>
  <c r="BB364" i="1"/>
  <c r="AY364" i="1" s="1"/>
  <c r="Q364" i="1" s="1"/>
  <c r="BA364" i="1"/>
  <c r="P346" i="1"/>
  <c r="AX346" i="1"/>
  <c r="BE346" i="1"/>
  <c r="O355" i="1"/>
  <c r="BD355" i="1"/>
  <c r="BC355" i="1"/>
  <c r="P344" i="1"/>
  <c r="BE344" i="1"/>
  <c r="AX344" i="1"/>
  <c r="O366" i="1"/>
  <c r="BD366" i="1"/>
  <c r="BC366" i="1"/>
  <c r="O351" i="1"/>
  <c r="BC351" i="1"/>
  <c r="BD351" i="1"/>
  <c r="AS372" i="1"/>
  <c r="BB363" i="1"/>
  <c r="AY363" i="1" s="1"/>
  <c r="Q363" i="1" s="1"/>
  <c r="AZ363" i="1"/>
  <c r="BA363" i="1"/>
  <c r="P345" i="1"/>
  <c r="BE345" i="1"/>
  <c r="AX345" i="1"/>
  <c r="O353" i="1"/>
  <c r="BD353" i="1"/>
  <c r="BC353" i="1"/>
  <c r="O359" i="1"/>
  <c r="BC359" i="1"/>
  <c r="BD359" i="1"/>
  <c r="O358" i="1"/>
  <c r="BD358" i="1"/>
  <c r="BC358" i="1"/>
  <c r="P352" i="1"/>
  <c r="BE352" i="1"/>
  <c r="AX352" i="1"/>
  <c r="P349" i="1"/>
  <c r="BE349" i="1"/>
  <c r="AX349" i="1"/>
  <c r="P357" i="1"/>
  <c r="BE357" i="1"/>
  <c r="AX357" i="1"/>
  <c r="O361" i="1"/>
  <c r="BC361" i="1"/>
  <c r="BD361" i="1"/>
  <c r="P350" i="1"/>
  <c r="BE350" i="1"/>
  <c r="AX350" i="1"/>
  <c r="AS384" i="1"/>
  <c r="AZ375" i="1"/>
  <c r="BB375" i="1"/>
  <c r="AY375" i="1" s="1"/>
  <c r="Q375" i="1" s="1"/>
  <c r="BA375" i="1"/>
  <c r="AS379" i="1"/>
  <c r="BB370" i="1"/>
  <c r="AY370" i="1" s="1"/>
  <c r="Q370" i="1" s="1"/>
  <c r="AZ370" i="1"/>
  <c r="BA370" i="1"/>
  <c r="AS369" i="1"/>
  <c r="BB360" i="1"/>
  <c r="AY360" i="1" s="1"/>
  <c r="Q360" i="1" s="1"/>
  <c r="AZ360" i="1"/>
  <c r="BA360" i="1"/>
  <c r="O354" i="1"/>
  <c r="BC354" i="1"/>
  <c r="BD354" i="1"/>
  <c r="P342" i="1"/>
  <c r="AX342" i="1"/>
  <c r="BE342" i="1"/>
  <c r="AS371" i="1"/>
  <c r="BB362" i="1"/>
  <c r="AY362" i="1" s="1"/>
  <c r="Q362" i="1" s="1"/>
  <c r="AZ362" i="1"/>
  <c r="BA362" i="1"/>
  <c r="AS377" i="1"/>
  <c r="BB368" i="1"/>
  <c r="AY368" i="1" s="1"/>
  <c r="Q368" i="1" s="1"/>
  <c r="AZ368" i="1"/>
  <c r="BA368" i="1"/>
  <c r="AS376" i="1"/>
  <c r="BB367" i="1"/>
  <c r="AY367" i="1" s="1"/>
  <c r="Q367" i="1" s="1"/>
  <c r="AZ367" i="1"/>
  <c r="BA367" i="1"/>
  <c r="O347" i="1"/>
  <c r="BD347" i="1"/>
  <c r="BC347" i="1"/>
  <c r="P338" i="1"/>
  <c r="AX338" i="1"/>
  <c r="BE338" i="1"/>
  <c r="AS365" i="1"/>
  <c r="AZ356" i="1"/>
  <c r="BB356" i="1"/>
  <c r="AY356" i="1" s="1"/>
  <c r="Q356" i="1" s="1"/>
  <c r="BA356" i="1"/>
  <c r="P355" i="1" l="1"/>
  <c r="AX355" i="1"/>
  <c r="BE355" i="1"/>
  <c r="O364" i="1"/>
  <c r="BD364" i="1"/>
  <c r="BC364" i="1"/>
  <c r="AS382" i="1"/>
  <c r="BB373" i="1"/>
  <c r="AY373" i="1" s="1"/>
  <c r="Q373" i="1" s="1"/>
  <c r="AZ373" i="1"/>
  <c r="BA373" i="1"/>
  <c r="P361" i="1"/>
  <c r="AX361" i="1"/>
  <c r="BE361" i="1"/>
  <c r="O363" i="1"/>
  <c r="BC363" i="1"/>
  <c r="BD363" i="1"/>
  <c r="AS385" i="1"/>
  <c r="BB376" i="1"/>
  <c r="AY376" i="1" s="1"/>
  <c r="Q376" i="1" s="1"/>
  <c r="AZ376" i="1"/>
  <c r="BA376" i="1"/>
  <c r="AS386" i="1"/>
  <c r="BB377" i="1"/>
  <c r="AY377" i="1" s="1"/>
  <c r="Q377" i="1" s="1"/>
  <c r="AZ377" i="1"/>
  <c r="BA377" i="1"/>
  <c r="AS380" i="1"/>
  <c r="BB371" i="1"/>
  <c r="AY371" i="1" s="1"/>
  <c r="Q371" i="1" s="1"/>
  <c r="AZ371" i="1"/>
  <c r="BA371" i="1"/>
  <c r="O360" i="1"/>
  <c r="BC360" i="1"/>
  <c r="BD360" i="1"/>
  <c r="O370" i="1"/>
  <c r="BD370" i="1"/>
  <c r="BC370" i="1"/>
  <c r="P353" i="1"/>
  <c r="BE353" i="1"/>
  <c r="AX353" i="1"/>
  <c r="P354" i="1"/>
  <c r="BE354" i="1"/>
  <c r="AX354" i="1"/>
  <c r="O375" i="1"/>
  <c r="BC375" i="1"/>
  <c r="BD375" i="1"/>
  <c r="AS381" i="1"/>
  <c r="BB372" i="1"/>
  <c r="AY372" i="1" s="1"/>
  <c r="Q372" i="1" s="1"/>
  <c r="AZ372" i="1"/>
  <c r="BA372" i="1"/>
  <c r="P366" i="1"/>
  <c r="BE366" i="1"/>
  <c r="AX366" i="1"/>
  <c r="P351" i="1"/>
  <c r="BE351" i="1"/>
  <c r="AX351" i="1"/>
  <c r="O367" i="1"/>
  <c r="BD367" i="1"/>
  <c r="BC367" i="1"/>
  <c r="O368" i="1"/>
  <c r="BD368" i="1"/>
  <c r="BC368" i="1"/>
  <c r="O362" i="1"/>
  <c r="BC362" i="1"/>
  <c r="BD362" i="1"/>
  <c r="AS378" i="1"/>
  <c r="BB369" i="1"/>
  <c r="AY369" i="1" s="1"/>
  <c r="Q369" i="1" s="1"/>
  <c r="AZ369" i="1"/>
  <c r="BA369" i="1"/>
  <c r="AS388" i="1"/>
  <c r="BB379" i="1"/>
  <c r="AY379" i="1" s="1"/>
  <c r="Q379" i="1" s="1"/>
  <c r="AZ379" i="1"/>
  <c r="BA379" i="1"/>
  <c r="AS393" i="1"/>
  <c r="BB384" i="1"/>
  <c r="AY384" i="1" s="1"/>
  <c r="Q384" i="1" s="1"/>
  <c r="AZ384" i="1"/>
  <c r="BA384" i="1"/>
  <c r="P358" i="1"/>
  <c r="AX358" i="1"/>
  <c r="BE358" i="1"/>
  <c r="P359" i="1"/>
  <c r="AX359" i="1"/>
  <c r="BE359" i="1"/>
  <c r="P347" i="1"/>
  <c r="AX347" i="1"/>
  <c r="BE347" i="1"/>
  <c r="O356" i="1"/>
  <c r="BC356" i="1"/>
  <c r="BD356" i="1"/>
  <c r="AS374" i="1"/>
  <c r="AZ365" i="1"/>
  <c r="BB365" i="1"/>
  <c r="AY365" i="1" s="1"/>
  <c r="Q365" i="1" s="1"/>
  <c r="BA365" i="1"/>
  <c r="AS391" i="1" l="1"/>
  <c r="AZ382" i="1"/>
  <c r="BB382" i="1"/>
  <c r="AY382" i="1" s="1"/>
  <c r="Q382" i="1" s="1"/>
  <c r="BA382" i="1"/>
  <c r="P364" i="1"/>
  <c r="BE364" i="1"/>
  <c r="AX364" i="1"/>
  <c r="O373" i="1"/>
  <c r="BD373" i="1"/>
  <c r="BC373" i="1"/>
  <c r="O372" i="1"/>
  <c r="BD372" i="1"/>
  <c r="BC372" i="1"/>
  <c r="P375" i="1"/>
  <c r="AX375" i="1"/>
  <c r="BE375" i="1"/>
  <c r="P370" i="1"/>
  <c r="BE370" i="1"/>
  <c r="AX370" i="1"/>
  <c r="P360" i="1"/>
  <c r="BE360" i="1"/>
  <c r="AX360" i="1"/>
  <c r="O384" i="1"/>
  <c r="BC384" i="1"/>
  <c r="BD384" i="1"/>
  <c r="O379" i="1"/>
  <c r="BD379" i="1"/>
  <c r="BC379" i="1"/>
  <c r="O369" i="1"/>
  <c r="BC369" i="1"/>
  <c r="BD369" i="1"/>
  <c r="P362" i="1"/>
  <c r="BE362" i="1"/>
  <c r="AX362" i="1"/>
  <c r="AS389" i="1"/>
  <c r="BB380" i="1"/>
  <c r="AY380" i="1" s="1"/>
  <c r="Q380" i="1" s="1"/>
  <c r="AZ380" i="1"/>
  <c r="BA380" i="1"/>
  <c r="AS395" i="1"/>
  <c r="BB386" i="1"/>
  <c r="AY386" i="1" s="1"/>
  <c r="Q386" i="1" s="1"/>
  <c r="AZ386" i="1"/>
  <c r="BA386" i="1"/>
  <c r="AS394" i="1"/>
  <c r="BB385" i="1"/>
  <c r="AY385" i="1" s="1"/>
  <c r="Q385" i="1" s="1"/>
  <c r="AZ385" i="1"/>
  <c r="BA385" i="1"/>
  <c r="P367" i="1"/>
  <c r="BE367" i="1"/>
  <c r="AX367" i="1"/>
  <c r="AS390" i="1"/>
  <c r="BB381" i="1"/>
  <c r="AY381" i="1" s="1"/>
  <c r="Q381" i="1" s="1"/>
  <c r="AZ381" i="1"/>
  <c r="BA381" i="1"/>
  <c r="AS402" i="1"/>
  <c r="BB393" i="1"/>
  <c r="AY393" i="1" s="1"/>
  <c r="Q393" i="1" s="1"/>
  <c r="AZ393" i="1"/>
  <c r="BA393" i="1"/>
  <c r="AS397" i="1"/>
  <c r="BB388" i="1"/>
  <c r="AY388" i="1" s="1"/>
  <c r="Q388" i="1" s="1"/>
  <c r="AZ388" i="1"/>
  <c r="BA388" i="1"/>
  <c r="AS387" i="1"/>
  <c r="BB378" i="1"/>
  <c r="AY378" i="1" s="1"/>
  <c r="Q378" i="1" s="1"/>
  <c r="AZ378" i="1"/>
  <c r="BA378" i="1"/>
  <c r="P368" i="1"/>
  <c r="AX368" i="1"/>
  <c r="BE368" i="1"/>
  <c r="O371" i="1"/>
  <c r="BD371" i="1"/>
  <c r="BC371" i="1"/>
  <c r="O377" i="1"/>
  <c r="BD377" i="1"/>
  <c r="BC377" i="1"/>
  <c r="O376" i="1"/>
  <c r="BC376" i="1"/>
  <c r="BD376" i="1"/>
  <c r="P363" i="1"/>
  <c r="AX363" i="1"/>
  <c r="BE363" i="1"/>
  <c r="AS383" i="1"/>
  <c r="BB374" i="1"/>
  <c r="AY374" i="1" s="1"/>
  <c r="Q374" i="1" s="1"/>
  <c r="AZ374" i="1"/>
  <c r="BA374" i="1"/>
  <c r="O365" i="1"/>
  <c r="BD365" i="1"/>
  <c r="BC365" i="1"/>
  <c r="P356" i="1"/>
  <c r="AX356" i="1"/>
  <c r="BE356" i="1"/>
  <c r="P373" i="1" l="1"/>
  <c r="AX373" i="1"/>
  <c r="BE373" i="1"/>
  <c r="O382" i="1"/>
  <c r="BD382" i="1"/>
  <c r="BC382" i="1"/>
  <c r="AS400" i="1"/>
  <c r="AZ391" i="1"/>
  <c r="BB391" i="1"/>
  <c r="AY391" i="1" s="1"/>
  <c r="Q391" i="1" s="1"/>
  <c r="BA391" i="1"/>
  <c r="AS411" i="1"/>
  <c r="BB402" i="1"/>
  <c r="AY402" i="1" s="1"/>
  <c r="Q402" i="1" s="1"/>
  <c r="AZ402" i="1"/>
  <c r="BA402" i="1"/>
  <c r="P369" i="1"/>
  <c r="BE369" i="1"/>
  <c r="AX369" i="1"/>
  <c r="O385" i="1"/>
  <c r="BD385" i="1"/>
  <c r="BC385" i="1"/>
  <c r="O386" i="1"/>
  <c r="BD386" i="1"/>
  <c r="BC386" i="1"/>
  <c r="O380" i="1"/>
  <c r="BD380" i="1"/>
  <c r="BC380" i="1"/>
  <c r="P372" i="1"/>
  <c r="BE372" i="1"/>
  <c r="AX372" i="1"/>
  <c r="AS396" i="1"/>
  <c r="BB387" i="1"/>
  <c r="AY387" i="1" s="1"/>
  <c r="Q387" i="1" s="1"/>
  <c r="AZ387" i="1"/>
  <c r="BA387" i="1"/>
  <c r="AS399" i="1"/>
  <c r="BB390" i="1"/>
  <c r="AY390" i="1" s="1"/>
  <c r="Q390" i="1" s="1"/>
  <c r="AZ390" i="1"/>
  <c r="BA390" i="1"/>
  <c r="P376" i="1"/>
  <c r="AX376" i="1"/>
  <c r="BE376" i="1"/>
  <c r="O378" i="1"/>
  <c r="BC378" i="1"/>
  <c r="BD378" i="1"/>
  <c r="O393" i="1"/>
  <c r="BD393" i="1"/>
  <c r="BC393" i="1"/>
  <c r="O381" i="1"/>
  <c r="BD381" i="1"/>
  <c r="BC381" i="1"/>
  <c r="P379" i="1"/>
  <c r="BE379" i="1"/>
  <c r="AX379" i="1"/>
  <c r="P384" i="1"/>
  <c r="BE384" i="1"/>
  <c r="AX384" i="1"/>
  <c r="P377" i="1"/>
  <c r="BE377" i="1"/>
  <c r="AX377" i="1"/>
  <c r="AS406" i="1"/>
  <c r="AZ397" i="1"/>
  <c r="BB397" i="1"/>
  <c r="AY397" i="1" s="1"/>
  <c r="Q397" i="1" s="1"/>
  <c r="BA397" i="1"/>
  <c r="O388" i="1"/>
  <c r="BC388" i="1"/>
  <c r="BD388" i="1"/>
  <c r="P371" i="1"/>
  <c r="AX371" i="1"/>
  <c r="BE371" i="1"/>
  <c r="AS403" i="1"/>
  <c r="BB394" i="1"/>
  <c r="AY394" i="1" s="1"/>
  <c r="Q394" i="1" s="1"/>
  <c r="AZ394" i="1"/>
  <c r="BA394" i="1"/>
  <c r="AS404" i="1"/>
  <c r="BB395" i="1"/>
  <c r="AY395" i="1" s="1"/>
  <c r="Q395" i="1" s="1"/>
  <c r="AZ395" i="1"/>
  <c r="BA395" i="1"/>
  <c r="AS398" i="1"/>
  <c r="BB389" i="1"/>
  <c r="AY389" i="1" s="1"/>
  <c r="Q389" i="1" s="1"/>
  <c r="AZ389" i="1"/>
  <c r="BA389" i="1"/>
  <c r="O374" i="1"/>
  <c r="BC374" i="1"/>
  <c r="BD374" i="1"/>
  <c r="P365" i="1"/>
  <c r="BE365" i="1"/>
  <c r="AX365" i="1"/>
  <c r="AS392" i="1"/>
  <c r="AZ383" i="1"/>
  <c r="BB383" i="1"/>
  <c r="AY383" i="1" s="1"/>
  <c r="Q383" i="1" s="1"/>
  <c r="BA383" i="1"/>
  <c r="O391" i="1" l="1"/>
  <c r="BD391" i="1"/>
  <c r="BC391" i="1"/>
  <c r="AS409" i="1"/>
  <c r="AZ400" i="1"/>
  <c r="BB400" i="1"/>
  <c r="AY400" i="1" s="1"/>
  <c r="Q400" i="1" s="1"/>
  <c r="BA400" i="1"/>
  <c r="P382" i="1"/>
  <c r="AX382" i="1"/>
  <c r="BE382" i="1"/>
  <c r="P393" i="1"/>
  <c r="BE393" i="1"/>
  <c r="AX393" i="1"/>
  <c r="P378" i="1"/>
  <c r="BE378" i="1"/>
  <c r="AX378" i="1"/>
  <c r="AS408" i="1"/>
  <c r="BB399" i="1"/>
  <c r="AY399" i="1" s="1"/>
  <c r="Q399" i="1" s="1"/>
  <c r="AZ399" i="1"/>
  <c r="BA399" i="1"/>
  <c r="AS405" i="1"/>
  <c r="BB396" i="1"/>
  <c r="AY396" i="1" s="1"/>
  <c r="Q396" i="1" s="1"/>
  <c r="AZ396" i="1"/>
  <c r="BA396" i="1"/>
  <c r="P380" i="1"/>
  <c r="AX380" i="1"/>
  <c r="BE380" i="1"/>
  <c r="AS407" i="1"/>
  <c r="BB398" i="1"/>
  <c r="AY398" i="1" s="1"/>
  <c r="Q398" i="1" s="1"/>
  <c r="AZ398" i="1"/>
  <c r="BA398" i="1"/>
  <c r="AS413" i="1"/>
  <c r="BB404" i="1"/>
  <c r="AY404" i="1" s="1"/>
  <c r="Q404" i="1" s="1"/>
  <c r="AZ404" i="1"/>
  <c r="BA404" i="1"/>
  <c r="AS412" i="1"/>
  <c r="BB403" i="1"/>
  <c r="AY403" i="1" s="1"/>
  <c r="Q403" i="1" s="1"/>
  <c r="AZ403" i="1"/>
  <c r="BA403" i="1"/>
  <c r="P381" i="1"/>
  <c r="AX381" i="1"/>
  <c r="BE381" i="1"/>
  <c r="O402" i="1"/>
  <c r="BC402" i="1"/>
  <c r="BD402" i="1"/>
  <c r="P388" i="1"/>
  <c r="AX388" i="1"/>
  <c r="BE388" i="1"/>
  <c r="O397" i="1"/>
  <c r="BD397" i="1"/>
  <c r="BC397" i="1"/>
  <c r="O390" i="1"/>
  <c r="BD390" i="1"/>
  <c r="BC390" i="1"/>
  <c r="O387" i="1"/>
  <c r="BC387" i="1"/>
  <c r="BD387" i="1"/>
  <c r="P385" i="1"/>
  <c r="AX385" i="1"/>
  <c r="BE385" i="1"/>
  <c r="O389" i="1"/>
  <c r="BD389" i="1"/>
  <c r="BC389" i="1"/>
  <c r="O395" i="1"/>
  <c r="BC395" i="1"/>
  <c r="BD395" i="1"/>
  <c r="O394" i="1"/>
  <c r="BD394" i="1"/>
  <c r="BC394" i="1"/>
  <c r="AS415" i="1"/>
  <c r="BB406" i="1"/>
  <c r="AY406" i="1" s="1"/>
  <c r="Q406" i="1" s="1"/>
  <c r="AZ406" i="1"/>
  <c r="BA406" i="1"/>
  <c r="P386" i="1"/>
  <c r="BE386" i="1"/>
  <c r="AX386" i="1"/>
  <c r="AS420" i="1"/>
  <c r="AZ411" i="1"/>
  <c r="BB411" i="1"/>
  <c r="AY411" i="1" s="1"/>
  <c r="Q411" i="1" s="1"/>
  <c r="BA411" i="1"/>
  <c r="O383" i="1"/>
  <c r="BD383" i="1"/>
  <c r="BC383" i="1"/>
  <c r="AS401" i="1"/>
  <c r="AZ392" i="1"/>
  <c r="BB392" i="1"/>
  <c r="AY392" i="1" s="1"/>
  <c r="Q392" i="1" s="1"/>
  <c r="BA392" i="1"/>
  <c r="P374" i="1"/>
  <c r="BE374" i="1"/>
  <c r="AX374" i="1"/>
  <c r="O400" i="1" l="1"/>
  <c r="BC400" i="1"/>
  <c r="BD400" i="1"/>
  <c r="AS418" i="1"/>
  <c r="BB409" i="1"/>
  <c r="AY409" i="1" s="1"/>
  <c r="Q409" i="1" s="1"/>
  <c r="AZ409" i="1"/>
  <c r="BA409" i="1"/>
  <c r="P391" i="1"/>
  <c r="AX391" i="1"/>
  <c r="BE391" i="1"/>
  <c r="O404" i="1"/>
  <c r="BC404" i="1"/>
  <c r="BD404" i="1"/>
  <c r="P394" i="1"/>
  <c r="AX394" i="1"/>
  <c r="BE394" i="1"/>
  <c r="P395" i="1"/>
  <c r="AX395" i="1"/>
  <c r="BE395" i="1"/>
  <c r="AS414" i="1"/>
  <c r="BB405" i="1"/>
  <c r="AY405" i="1" s="1"/>
  <c r="Q405" i="1" s="1"/>
  <c r="AZ405" i="1"/>
  <c r="BA405" i="1"/>
  <c r="AS417" i="1"/>
  <c r="BB408" i="1"/>
  <c r="AY408" i="1" s="1"/>
  <c r="Q408" i="1" s="1"/>
  <c r="AZ408" i="1"/>
  <c r="BA408" i="1"/>
  <c r="AS424" i="1"/>
  <c r="BB415" i="1"/>
  <c r="AY415" i="1" s="1"/>
  <c r="Q415" i="1" s="1"/>
  <c r="AZ415" i="1"/>
  <c r="BA415" i="1"/>
  <c r="O403" i="1"/>
  <c r="BC403" i="1"/>
  <c r="BD403" i="1"/>
  <c r="O398" i="1"/>
  <c r="BC398" i="1"/>
  <c r="BD398" i="1"/>
  <c r="AS429" i="1"/>
  <c r="BB420" i="1"/>
  <c r="AY420" i="1" s="1"/>
  <c r="Q420" i="1" s="1"/>
  <c r="AZ420" i="1"/>
  <c r="BA420" i="1"/>
  <c r="O406" i="1"/>
  <c r="BD406" i="1"/>
  <c r="BC406" i="1"/>
  <c r="P387" i="1"/>
  <c r="AX387" i="1"/>
  <c r="BE387" i="1"/>
  <c r="P402" i="1"/>
  <c r="BE402" i="1"/>
  <c r="AX402" i="1"/>
  <c r="AS421" i="1"/>
  <c r="BB412" i="1"/>
  <c r="AY412" i="1" s="1"/>
  <c r="Q412" i="1" s="1"/>
  <c r="AZ412" i="1"/>
  <c r="BA412" i="1"/>
  <c r="AS422" i="1"/>
  <c r="BB413" i="1"/>
  <c r="AY413" i="1" s="1"/>
  <c r="Q413" i="1" s="1"/>
  <c r="AZ413" i="1"/>
  <c r="BA413" i="1"/>
  <c r="AS416" i="1"/>
  <c r="BB407" i="1"/>
  <c r="AY407" i="1" s="1"/>
  <c r="Q407" i="1" s="1"/>
  <c r="AZ407" i="1"/>
  <c r="BA407" i="1"/>
  <c r="O411" i="1"/>
  <c r="BD411" i="1"/>
  <c r="BC411" i="1"/>
  <c r="P390" i="1"/>
  <c r="BE390" i="1"/>
  <c r="AX390" i="1"/>
  <c r="P389" i="1"/>
  <c r="BE389" i="1"/>
  <c r="AX389" i="1"/>
  <c r="P397" i="1"/>
  <c r="BE397" i="1"/>
  <c r="AX397" i="1"/>
  <c r="O396" i="1"/>
  <c r="BD396" i="1"/>
  <c r="BC396" i="1"/>
  <c r="O399" i="1"/>
  <c r="BD399" i="1"/>
  <c r="BC399" i="1"/>
  <c r="AS410" i="1"/>
  <c r="AZ401" i="1"/>
  <c r="BB401" i="1"/>
  <c r="AY401" i="1" s="1"/>
  <c r="Q401" i="1" s="1"/>
  <c r="BA401" i="1"/>
  <c r="P383" i="1"/>
  <c r="AX383" i="1"/>
  <c r="BE383" i="1"/>
  <c r="O392" i="1"/>
  <c r="BC392" i="1"/>
  <c r="BD392" i="1"/>
  <c r="O409" i="1" l="1"/>
  <c r="BD409" i="1"/>
  <c r="BC409" i="1"/>
  <c r="AS427" i="1"/>
  <c r="AZ418" i="1"/>
  <c r="BB418" i="1"/>
  <c r="AY418" i="1" s="1"/>
  <c r="Q418" i="1" s="1"/>
  <c r="BA418" i="1"/>
  <c r="P400" i="1"/>
  <c r="AX400" i="1"/>
  <c r="BE400" i="1"/>
  <c r="O408" i="1"/>
  <c r="BD408" i="1"/>
  <c r="BC408" i="1"/>
  <c r="O407" i="1"/>
  <c r="BC407" i="1"/>
  <c r="BD407" i="1"/>
  <c r="O412" i="1"/>
  <c r="BC412" i="1"/>
  <c r="BD412" i="1"/>
  <c r="P403" i="1"/>
  <c r="AX403" i="1"/>
  <c r="BE403" i="1"/>
  <c r="AS438" i="1"/>
  <c r="BB429" i="1"/>
  <c r="AY429" i="1" s="1"/>
  <c r="Q429" i="1" s="1"/>
  <c r="AZ429" i="1"/>
  <c r="BA429" i="1"/>
  <c r="O405" i="1"/>
  <c r="BD405" i="1"/>
  <c r="BC405" i="1"/>
  <c r="P396" i="1"/>
  <c r="AX396" i="1"/>
  <c r="BE396" i="1"/>
  <c r="O413" i="1"/>
  <c r="BC413" i="1"/>
  <c r="BD413" i="1"/>
  <c r="P406" i="1"/>
  <c r="AX406" i="1"/>
  <c r="BE406" i="1"/>
  <c r="O420" i="1"/>
  <c r="BD420" i="1"/>
  <c r="BC420" i="1"/>
  <c r="P398" i="1"/>
  <c r="BE398" i="1"/>
  <c r="AX398" i="1"/>
  <c r="AS433" i="1"/>
  <c r="BB424" i="1"/>
  <c r="AY424" i="1" s="1"/>
  <c r="Q424" i="1" s="1"/>
  <c r="AZ424" i="1"/>
  <c r="BA424" i="1"/>
  <c r="AS426" i="1"/>
  <c r="BB417" i="1"/>
  <c r="AY417" i="1" s="1"/>
  <c r="Q417" i="1" s="1"/>
  <c r="AZ417" i="1"/>
  <c r="BA417" i="1"/>
  <c r="AS423" i="1"/>
  <c r="BB414" i="1"/>
  <c r="AY414" i="1" s="1"/>
  <c r="Q414" i="1" s="1"/>
  <c r="AZ414" i="1"/>
  <c r="BA414" i="1"/>
  <c r="P404" i="1"/>
  <c r="AX404" i="1"/>
  <c r="BE404" i="1"/>
  <c r="O415" i="1"/>
  <c r="BC415" i="1"/>
  <c r="BD415" i="1"/>
  <c r="P411" i="1"/>
  <c r="BE411" i="1"/>
  <c r="AX411" i="1"/>
  <c r="P399" i="1"/>
  <c r="AX399" i="1"/>
  <c r="BE399" i="1"/>
  <c r="AS425" i="1"/>
  <c r="BB416" i="1"/>
  <c r="AY416" i="1" s="1"/>
  <c r="Q416" i="1" s="1"/>
  <c r="AZ416" i="1"/>
  <c r="BA416" i="1"/>
  <c r="AS431" i="1"/>
  <c r="BB422" i="1"/>
  <c r="AY422" i="1" s="1"/>
  <c r="Q422" i="1" s="1"/>
  <c r="AZ422" i="1"/>
  <c r="BA422" i="1"/>
  <c r="AS430" i="1"/>
  <c r="BB421" i="1"/>
  <c r="AY421" i="1" s="1"/>
  <c r="Q421" i="1" s="1"/>
  <c r="AZ421" i="1"/>
  <c r="BA421" i="1"/>
  <c r="O401" i="1"/>
  <c r="BD401" i="1"/>
  <c r="BC401" i="1"/>
  <c r="P392" i="1"/>
  <c r="AX392" i="1"/>
  <c r="BE392" i="1"/>
  <c r="AS419" i="1"/>
  <c r="BB410" i="1"/>
  <c r="AY410" i="1" s="1"/>
  <c r="Q410" i="1" s="1"/>
  <c r="AZ410" i="1"/>
  <c r="BA410" i="1"/>
  <c r="AS436" i="1" l="1"/>
  <c r="AZ427" i="1"/>
  <c r="BB427" i="1"/>
  <c r="AY427" i="1" s="1"/>
  <c r="Q427" i="1" s="1"/>
  <c r="BA427" i="1"/>
  <c r="O418" i="1"/>
  <c r="BD418" i="1"/>
  <c r="BC418" i="1"/>
  <c r="P409" i="1"/>
  <c r="BE409" i="1"/>
  <c r="AX409" i="1"/>
  <c r="P413" i="1"/>
  <c r="AX413" i="1"/>
  <c r="BE413" i="1"/>
  <c r="P412" i="1"/>
  <c r="BE412" i="1"/>
  <c r="AX412" i="1"/>
  <c r="AS439" i="1"/>
  <c r="BB430" i="1"/>
  <c r="AY430" i="1" s="1"/>
  <c r="Q430" i="1" s="1"/>
  <c r="AZ430" i="1"/>
  <c r="BA430" i="1"/>
  <c r="AS440" i="1"/>
  <c r="BB431" i="1"/>
  <c r="AY431" i="1" s="1"/>
  <c r="Q431" i="1" s="1"/>
  <c r="AZ431" i="1"/>
  <c r="BA431" i="1"/>
  <c r="AS434" i="1"/>
  <c r="BB425" i="1"/>
  <c r="AY425" i="1" s="1"/>
  <c r="Q425" i="1" s="1"/>
  <c r="AZ425" i="1"/>
  <c r="BA425" i="1"/>
  <c r="P415" i="1"/>
  <c r="BE415" i="1"/>
  <c r="AX415" i="1"/>
  <c r="AS432" i="1"/>
  <c r="BB423" i="1"/>
  <c r="AY423" i="1" s="1"/>
  <c r="Q423" i="1" s="1"/>
  <c r="AZ423" i="1"/>
  <c r="BA423" i="1"/>
  <c r="AS435" i="1"/>
  <c r="BB426" i="1"/>
  <c r="AY426" i="1" s="1"/>
  <c r="Q426" i="1" s="1"/>
  <c r="AZ426" i="1"/>
  <c r="BA426" i="1"/>
  <c r="AS442" i="1"/>
  <c r="AZ433" i="1"/>
  <c r="BB433" i="1"/>
  <c r="AY433" i="1" s="1"/>
  <c r="Q433" i="1" s="1"/>
  <c r="BA433" i="1"/>
  <c r="P420" i="1"/>
  <c r="AX420" i="1"/>
  <c r="BE420" i="1"/>
  <c r="P405" i="1"/>
  <c r="AX405" i="1"/>
  <c r="BE405" i="1"/>
  <c r="O429" i="1"/>
  <c r="BD429" i="1"/>
  <c r="BC429" i="1"/>
  <c r="P408" i="1"/>
  <c r="AX408" i="1"/>
  <c r="BE408" i="1"/>
  <c r="O421" i="1"/>
  <c r="BC421" i="1"/>
  <c r="BD421" i="1"/>
  <c r="O422" i="1"/>
  <c r="BC422" i="1"/>
  <c r="BD422" i="1"/>
  <c r="O416" i="1"/>
  <c r="BC416" i="1"/>
  <c r="BD416" i="1"/>
  <c r="O414" i="1"/>
  <c r="BD414" i="1"/>
  <c r="BC414" i="1"/>
  <c r="O417" i="1"/>
  <c r="BD417" i="1"/>
  <c r="BC417" i="1"/>
  <c r="O424" i="1"/>
  <c r="BC424" i="1"/>
  <c r="BD424" i="1"/>
  <c r="AS447" i="1"/>
  <c r="BB438" i="1"/>
  <c r="AY438" i="1" s="1"/>
  <c r="Q438" i="1" s="1"/>
  <c r="AZ438" i="1"/>
  <c r="BA438" i="1"/>
  <c r="P407" i="1"/>
  <c r="AX407" i="1"/>
  <c r="BE407" i="1"/>
  <c r="P401" i="1"/>
  <c r="AX401" i="1"/>
  <c r="BE401" i="1"/>
  <c r="AS428" i="1"/>
  <c r="AZ419" i="1"/>
  <c r="BB419" i="1"/>
  <c r="AY419" i="1" s="1"/>
  <c r="Q419" i="1" s="1"/>
  <c r="BA419" i="1"/>
  <c r="O410" i="1"/>
  <c r="BD410" i="1"/>
  <c r="BC410" i="1"/>
  <c r="P418" i="1" l="1"/>
  <c r="BE418" i="1"/>
  <c r="AX418" i="1"/>
  <c r="O427" i="1"/>
  <c r="BC427" i="1"/>
  <c r="BD427" i="1"/>
  <c r="AS445" i="1"/>
  <c r="AZ436" i="1"/>
  <c r="BB436" i="1"/>
  <c r="AY436" i="1" s="1"/>
  <c r="Q436" i="1" s="1"/>
  <c r="BA436" i="1"/>
  <c r="P414" i="1"/>
  <c r="AX414" i="1"/>
  <c r="BE414" i="1"/>
  <c r="AS456" i="1"/>
  <c r="AZ447" i="1"/>
  <c r="BB447" i="1"/>
  <c r="AY447" i="1" s="1"/>
  <c r="Q447" i="1" s="1"/>
  <c r="BA447" i="1"/>
  <c r="O426" i="1"/>
  <c r="BD426" i="1"/>
  <c r="BC426" i="1"/>
  <c r="P421" i="1"/>
  <c r="AX421" i="1"/>
  <c r="BE421" i="1"/>
  <c r="O433" i="1"/>
  <c r="BD433" i="1"/>
  <c r="BC433" i="1"/>
  <c r="AS443" i="1"/>
  <c r="BB434" i="1"/>
  <c r="AY434" i="1" s="1"/>
  <c r="Q434" i="1" s="1"/>
  <c r="AZ434" i="1"/>
  <c r="BA434" i="1"/>
  <c r="AS449" i="1"/>
  <c r="BB440" i="1"/>
  <c r="AY440" i="1" s="1"/>
  <c r="Q440" i="1" s="1"/>
  <c r="AZ440" i="1"/>
  <c r="BA440" i="1"/>
  <c r="AS448" i="1"/>
  <c r="BB439" i="1"/>
  <c r="AY439" i="1" s="1"/>
  <c r="Q439" i="1" s="1"/>
  <c r="AZ439" i="1"/>
  <c r="BA439" i="1"/>
  <c r="P417" i="1"/>
  <c r="BE417" i="1"/>
  <c r="AX417" i="1"/>
  <c r="O423" i="1"/>
  <c r="BC423" i="1"/>
  <c r="BD423" i="1"/>
  <c r="O438" i="1"/>
  <c r="BD438" i="1"/>
  <c r="BC438" i="1"/>
  <c r="P424" i="1"/>
  <c r="BE424" i="1"/>
  <c r="AX424" i="1"/>
  <c r="P422" i="1"/>
  <c r="AX422" i="1"/>
  <c r="BE422" i="1"/>
  <c r="P429" i="1"/>
  <c r="AX429" i="1"/>
  <c r="BE429" i="1"/>
  <c r="AS451" i="1"/>
  <c r="BB442" i="1"/>
  <c r="AY442" i="1" s="1"/>
  <c r="Q442" i="1" s="1"/>
  <c r="AZ442" i="1"/>
  <c r="BA442" i="1"/>
  <c r="AS444" i="1"/>
  <c r="BB435" i="1"/>
  <c r="AY435" i="1" s="1"/>
  <c r="Q435" i="1" s="1"/>
  <c r="AZ435" i="1"/>
  <c r="BA435" i="1"/>
  <c r="AS441" i="1"/>
  <c r="BB432" i="1"/>
  <c r="AY432" i="1" s="1"/>
  <c r="Q432" i="1" s="1"/>
  <c r="AZ432" i="1"/>
  <c r="BA432" i="1"/>
  <c r="P416" i="1"/>
  <c r="AX416" i="1"/>
  <c r="BE416" i="1"/>
  <c r="O425" i="1"/>
  <c r="BD425" i="1"/>
  <c r="BC425" i="1"/>
  <c r="O431" i="1"/>
  <c r="BD431" i="1"/>
  <c r="BC431" i="1"/>
  <c r="O430" i="1"/>
  <c r="BC430" i="1"/>
  <c r="BD430" i="1"/>
  <c r="P410" i="1"/>
  <c r="BE410" i="1"/>
  <c r="AX410" i="1"/>
  <c r="AS437" i="1"/>
  <c r="AZ428" i="1"/>
  <c r="BB428" i="1"/>
  <c r="AY428" i="1" s="1"/>
  <c r="Q428" i="1" s="1"/>
  <c r="BA428" i="1"/>
  <c r="O419" i="1"/>
  <c r="BD419" i="1"/>
  <c r="BC419" i="1"/>
  <c r="O436" i="1" l="1"/>
  <c r="BC436" i="1"/>
  <c r="BD436" i="1"/>
  <c r="AS454" i="1"/>
  <c r="BB445" i="1"/>
  <c r="AY445" i="1" s="1"/>
  <c r="Q445" i="1" s="1"/>
  <c r="AZ445" i="1"/>
  <c r="BA445" i="1"/>
  <c r="P427" i="1"/>
  <c r="AX427" i="1"/>
  <c r="BE427" i="1"/>
  <c r="P433" i="1"/>
  <c r="BE433" i="1"/>
  <c r="AX433" i="1"/>
  <c r="AS465" i="1"/>
  <c r="BB456" i="1"/>
  <c r="AY456" i="1" s="1"/>
  <c r="Q456" i="1" s="1"/>
  <c r="AZ456" i="1"/>
  <c r="BA456" i="1"/>
  <c r="P431" i="1"/>
  <c r="BE431" i="1"/>
  <c r="AX431" i="1"/>
  <c r="AS450" i="1"/>
  <c r="BB441" i="1"/>
  <c r="AY441" i="1" s="1"/>
  <c r="Q441" i="1" s="1"/>
  <c r="AZ441" i="1"/>
  <c r="BA441" i="1"/>
  <c r="AS453" i="1"/>
  <c r="BB444" i="1"/>
  <c r="AY444" i="1" s="1"/>
  <c r="Q444" i="1" s="1"/>
  <c r="AZ444" i="1"/>
  <c r="BA444" i="1"/>
  <c r="AS460" i="1"/>
  <c r="BB451" i="1"/>
  <c r="AY451" i="1" s="1"/>
  <c r="Q451" i="1" s="1"/>
  <c r="AZ451" i="1"/>
  <c r="BA451" i="1"/>
  <c r="O439" i="1"/>
  <c r="BC439" i="1"/>
  <c r="BD439" i="1"/>
  <c r="O440" i="1"/>
  <c r="BC440" i="1"/>
  <c r="BD440" i="1"/>
  <c r="O434" i="1"/>
  <c r="BD434" i="1"/>
  <c r="BC434" i="1"/>
  <c r="P425" i="1"/>
  <c r="AX425" i="1"/>
  <c r="BE425" i="1"/>
  <c r="P426" i="1"/>
  <c r="AX426" i="1"/>
  <c r="BE426" i="1"/>
  <c r="P430" i="1"/>
  <c r="AX430" i="1"/>
  <c r="BE430" i="1"/>
  <c r="O432" i="1"/>
  <c r="BC432" i="1"/>
  <c r="BD432" i="1"/>
  <c r="O435" i="1"/>
  <c r="BC435" i="1"/>
  <c r="BD435" i="1"/>
  <c r="O442" i="1"/>
  <c r="BD442" i="1"/>
  <c r="BC442" i="1"/>
  <c r="P438" i="1"/>
  <c r="AX438" i="1"/>
  <c r="BE438" i="1"/>
  <c r="P423" i="1"/>
  <c r="BE423" i="1"/>
  <c r="AX423" i="1"/>
  <c r="AS457" i="1"/>
  <c r="BB448" i="1"/>
  <c r="AY448" i="1" s="1"/>
  <c r="Q448" i="1" s="1"/>
  <c r="AZ448" i="1"/>
  <c r="BA448" i="1"/>
  <c r="AS458" i="1"/>
  <c r="BB449" i="1"/>
  <c r="AY449" i="1" s="1"/>
  <c r="Q449" i="1" s="1"/>
  <c r="AZ449" i="1"/>
  <c r="BA449" i="1"/>
  <c r="AS452" i="1"/>
  <c r="BB443" i="1"/>
  <c r="AY443" i="1" s="1"/>
  <c r="Q443" i="1" s="1"/>
  <c r="AZ443" i="1"/>
  <c r="BA443" i="1"/>
  <c r="O447" i="1"/>
  <c r="BC447" i="1"/>
  <c r="BD447" i="1"/>
  <c r="AS446" i="1"/>
  <c r="AZ437" i="1"/>
  <c r="BB437" i="1"/>
  <c r="AY437" i="1" s="1"/>
  <c r="Q437" i="1" s="1"/>
  <c r="BA437" i="1"/>
  <c r="P419" i="1"/>
  <c r="AX419" i="1"/>
  <c r="BE419" i="1"/>
  <c r="O428" i="1"/>
  <c r="BD428" i="1"/>
  <c r="BC428" i="1"/>
  <c r="AS463" i="1" l="1"/>
  <c r="AZ454" i="1"/>
  <c r="BB454" i="1"/>
  <c r="AY454" i="1" s="1"/>
  <c r="Q454" i="1" s="1"/>
  <c r="BA454" i="1"/>
  <c r="O445" i="1"/>
  <c r="BD445" i="1"/>
  <c r="BC445" i="1"/>
  <c r="P436" i="1"/>
  <c r="BE436" i="1"/>
  <c r="AX436" i="1"/>
  <c r="P439" i="1"/>
  <c r="BE439" i="1"/>
  <c r="AX439" i="1"/>
  <c r="AS474" i="1"/>
  <c r="BB465" i="1"/>
  <c r="AY465" i="1" s="1"/>
  <c r="Q465" i="1" s="1"/>
  <c r="AZ465" i="1"/>
  <c r="BA465" i="1"/>
  <c r="P434" i="1"/>
  <c r="AX434" i="1"/>
  <c r="BE434" i="1"/>
  <c r="P440" i="1"/>
  <c r="AX440" i="1"/>
  <c r="BE440" i="1"/>
  <c r="AS469" i="1"/>
  <c r="BB460" i="1"/>
  <c r="AY460" i="1" s="1"/>
  <c r="Q460" i="1" s="1"/>
  <c r="AZ460" i="1"/>
  <c r="BA460" i="1"/>
  <c r="AS462" i="1"/>
  <c r="BB453" i="1"/>
  <c r="AY453" i="1" s="1"/>
  <c r="Q453" i="1" s="1"/>
  <c r="AZ453" i="1"/>
  <c r="BA453" i="1"/>
  <c r="AS459" i="1"/>
  <c r="BB450" i="1"/>
  <c r="AY450" i="1" s="1"/>
  <c r="Q450" i="1" s="1"/>
  <c r="AZ450" i="1"/>
  <c r="BA450" i="1"/>
  <c r="AS461" i="1"/>
  <c r="BB452" i="1"/>
  <c r="AY452" i="1" s="1"/>
  <c r="Q452" i="1" s="1"/>
  <c r="AZ452" i="1"/>
  <c r="BA452" i="1"/>
  <c r="AS467" i="1"/>
  <c r="BB458" i="1"/>
  <c r="AY458" i="1" s="1"/>
  <c r="Q458" i="1" s="1"/>
  <c r="AZ458" i="1"/>
  <c r="BA458" i="1"/>
  <c r="AS466" i="1"/>
  <c r="BB457" i="1"/>
  <c r="AY457" i="1" s="1"/>
  <c r="Q457" i="1" s="1"/>
  <c r="AZ457" i="1"/>
  <c r="BA457" i="1"/>
  <c r="O443" i="1"/>
  <c r="BD443" i="1"/>
  <c r="BC443" i="1"/>
  <c r="O449" i="1"/>
  <c r="BC449" i="1"/>
  <c r="BD449" i="1"/>
  <c r="O448" i="1"/>
  <c r="BC448" i="1"/>
  <c r="BD448" i="1"/>
  <c r="P432" i="1"/>
  <c r="AX432" i="1"/>
  <c r="BE432" i="1"/>
  <c r="O456" i="1"/>
  <c r="BD456" i="1"/>
  <c r="BC456" i="1"/>
  <c r="P447" i="1"/>
  <c r="AX447" i="1"/>
  <c r="BE447" i="1"/>
  <c r="P442" i="1"/>
  <c r="BE442" i="1"/>
  <c r="AX442" i="1"/>
  <c r="P435" i="1"/>
  <c r="AX435" i="1"/>
  <c r="BE435" i="1"/>
  <c r="O451" i="1"/>
  <c r="BD451" i="1"/>
  <c r="BC451" i="1"/>
  <c r="O444" i="1"/>
  <c r="BC444" i="1"/>
  <c r="BD444" i="1"/>
  <c r="O441" i="1"/>
  <c r="BC441" i="1"/>
  <c r="BD441" i="1"/>
  <c r="P428" i="1"/>
  <c r="AX428" i="1"/>
  <c r="BE428" i="1"/>
  <c r="O437" i="1"/>
  <c r="BC437" i="1"/>
  <c r="BD437" i="1"/>
  <c r="AS455" i="1"/>
  <c r="BB446" i="1"/>
  <c r="AY446" i="1" s="1"/>
  <c r="Q446" i="1" s="1"/>
  <c r="AZ446" i="1"/>
  <c r="BA446" i="1"/>
  <c r="P445" i="1" l="1"/>
  <c r="BE445" i="1"/>
  <c r="AX445" i="1"/>
  <c r="O454" i="1"/>
  <c r="BD454" i="1"/>
  <c r="BC454" i="1"/>
  <c r="AS472" i="1"/>
  <c r="AZ463" i="1"/>
  <c r="BB463" i="1"/>
  <c r="AY463" i="1" s="1"/>
  <c r="Q463" i="1" s="1"/>
  <c r="BA463" i="1"/>
  <c r="P451" i="1"/>
  <c r="AX451" i="1"/>
  <c r="BE451" i="1"/>
  <c r="O457" i="1"/>
  <c r="BC457" i="1"/>
  <c r="BD457" i="1"/>
  <c r="O452" i="1"/>
  <c r="BC452" i="1"/>
  <c r="BD452" i="1"/>
  <c r="O453" i="1"/>
  <c r="BD453" i="1"/>
  <c r="BC453" i="1"/>
  <c r="P441" i="1"/>
  <c r="AX441" i="1"/>
  <c r="BE441" i="1"/>
  <c r="P456" i="1"/>
  <c r="AX456" i="1"/>
  <c r="BE456" i="1"/>
  <c r="P443" i="1"/>
  <c r="AX443" i="1"/>
  <c r="BE443" i="1"/>
  <c r="O458" i="1"/>
  <c r="BD458" i="1"/>
  <c r="BC458" i="1"/>
  <c r="O450" i="1"/>
  <c r="BD450" i="1"/>
  <c r="BC450" i="1"/>
  <c r="O460" i="1"/>
  <c r="BD460" i="1"/>
  <c r="BC460" i="1"/>
  <c r="AS483" i="1"/>
  <c r="BB474" i="1"/>
  <c r="AY474" i="1" s="1"/>
  <c r="Q474" i="1" s="1"/>
  <c r="AZ474" i="1"/>
  <c r="BA474" i="1"/>
  <c r="P444" i="1"/>
  <c r="BE444" i="1"/>
  <c r="AX444" i="1"/>
  <c r="P449" i="1"/>
  <c r="BE449" i="1"/>
  <c r="AX449" i="1"/>
  <c r="AS475" i="1"/>
  <c r="AZ466" i="1"/>
  <c r="BB466" i="1"/>
  <c r="AY466" i="1" s="1"/>
  <c r="Q466" i="1" s="1"/>
  <c r="BA466" i="1"/>
  <c r="AS476" i="1"/>
  <c r="BB467" i="1"/>
  <c r="AY467" i="1" s="1"/>
  <c r="Q467" i="1" s="1"/>
  <c r="AZ467" i="1"/>
  <c r="BA467" i="1"/>
  <c r="AS470" i="1"/>
  <c r="BB461" i="1"/>
  <c r="AY461" i="1" s="1"/>
  <c r="Q461" i="1" s="1"/>
  <c r="AZ461" i="1"/>
  <c r="BA461" i="1"/>
  <c r="AS468" i="1"/>
  <c r="BB459" i="1"/>
  <c r="AY459" i="1" s="1"/>
  <c r="Q459" i="1" s="1"/>
  <c r="AZ459" i="1"/>
  <c r="BA459" i="1"/>
  <c r="AS471" i="1"/>
  <c r="BB462" i="1"/>
  <c r="AY462" i="1" s="1"/>
  <c r="Q462" i="1" s="1"/>
  <c r="AZ462" i="1"/>
  <c r="BA462" i="1"/>
  <c r="AS478" i="1"/>
  <c r="BB469" i="1"/>
  <c r="AY469" i="1" s="1"/>
  <c r="Q469" i="1" s="1"/>
  <c r="AZ469" i="1"/>
  <c r="BA469" i="1"/>
  <c r="O465" i="1"/>
  <c r="BC465" i="1"/>
  <c r="BD465" i="1"/>
  <c r="P448" i="1"/>
  <c r="AX448" i="1"/>
  <c r="BE448" i="1"/>
  <c r="AS464" i="1"/>
  <c r="AZ455" i="1"/>
  <c r="BB455" i="1"/>
  <c r="AY455" i="1" s="1"/>
  <c r="Q455" i="1" s="1"/>
  <c r="BA455" i="1"/>
  <c r="O446" i="1"/>
  <c r="BC446" i="1"/>
  <c r="BD446" i="1"/>
  <c r="P437" i="1"/>
  <c r="BE437" i="1"/>
  <c r="AX437" i="1"/>
  <c r="O463" i="1" l="1"/>
  <c r="BD463" i="1"/>
  <c r="BC463" i="1"/>
  <c r="AS481" i="1"/>
  <c r="AZ472" i="1"/>
  <c r="BB472" i="1"/>
  <c r="AY472" i="1" s="1"/>
  <c r="Q472" i="1" s="1"/>
  <c r="BA472" i="1"/>
  <c r="P454" i="1"/>
  <c r="AX454" i="1"/>
  <c r="BE454" i="1"/>
  <c r="P452" i="1"/>
  <c r="AX452" i="1"/>
  <c r="BE452" i="1"/>
  <c r="O462" i="1"/>
  <c r="BD462" i="1"/>
  <c r="BC462" i="1"/>
  <c r="O459" i="1"/>
  <c r="BD459" i="1"/>
  <c r="BC459" i="1"/>
  <c r="O461" i="1"/>
  <c r="BC461" i="1"/>
  <c r="BD461" i="1"/>
  <c r="O467" i="1"/>
  <c r="BC467" i="1"/>
  <c r="BD467" i="1"/>
  <c r="AS492" i="1"/>
  <c r="BB483" i="1"/>
  <c r="AY483" i="1" s="1"/>
  <c r="Q483" i="1" s="1"/>
  <c r="AZ483" i="1"/>
  <c r="BA483" i="1"/>
  <c r="P450" i="1"/>
  <c r="AX450" i="1"/>
  <c r="BE450" i="1"/>
  <c r="O469" i="1"/>
  <c r="BC469" i="1"/>
  <c r="BD469" i="1"/>
  <c r="O466" i="1"/>
  <c r="BD466" i="1"/>
  <c r="BC466" i="1"/>
  <c r="P460" i="1"/>
  <c r="BE460" i="1"/>
  <c r="AX460" i="1"/>
  <c r="P458" i="1"/>
  <c r="AX458" i="1"/>
  <c r="BE458" i="1"/>
  <c r="P453" i="1"/>
  <c r="AX453" i="1"/>
  <c r="BE453" i="1"/>
  <c r="P465" i="1"/>
  <c r="AX465" i="1"/>
  <c r="BE465" i="1"/>
  <c r="AS487" i="1"/>
  <c r="BB478" i="1"/>
  <c r="AY478" i="1" s="1"/>
  <c r="Q478" i="1" s="1"/>
  <c r="AZ478" i="1"/>
  <c r="BA478" i="1"/>
  <c r="AS480" i="1"/>
  <c r="BB471" i="1"/>
  <c r="AY471" i="1" s="1"/>
  <c r="Q471" i="1" s="1"/>
  <c r="AZ471" i="1"/>
  <c r="BA471" i="1"/>
  <c r="AS477" i="1"/>
  <c r="BB468" i="1"/>
  <c r="AY468" i="1" s="1"/>
  <c r="Q468" i="1" s="1"/>
  <c r="AZ468" i="1"/>
  <c r="BA468" i="1"/>
  <c r="AS479" i="1"/>
  <c r="BB470" i="1"/>
  <c r="AY470" i="1" s="1"/>
  <c r="Q470" i="1" s="1"/>
  <c r="AZ470" i="1"/>
  <c r="BA470" i="1"/>
  <c r="AS485" i="1"/>
  <c r="BB476" i="1"/>
  <c r="AY476" i="1" s="1"/>
  <c r="Q476" i="1" s="1"/>
  <c r="AZ476" i="1"/>
  <c r="BA476" i="1"/>
  <c r="AS484" i="1"/>
  <c r="BB475" i="1"/>
  <c r="AY475" i="1" s="1"/>
  <c r="Q475" i="1" s="1"/>
  <c r="AZ475" i="1"/>
  <c r="BA475" i="1"/>
  <c r="O474" i="1"/>
  <c r="BC474" i="1"/>
  <c r="BD474" i="1"/>
  <c r="AX457" i="1"/>
  <c r="BE457" i="1"/>
  <c r="P457" i="1"/>
  <c r="O455" i="1"/>
  <c r="BD455" i="1"/>
  <c r="BC455" i="1"/>
  <c r="P446" i="1"/>
  <c r="AX446" i="1"/>
  <c r="BE446" i="1"/>
  <c r="AS473" i="1"/>
  <c r="AZ464" i="1"/>
  <c r="BB464" i="1"/>
  <c r="AY464" i="1" s="1"/>
  <c r="Q464" i="1" s="1"/>
  <c r="BA464" i="1"/>
  <c r="AS490" i="1" l="1"/>
  <c r="BB481" i="1"/>
  <c r="AY481" i="1" s="1"/>
  <c r="Q481" i="1" s="1"/>
  <c r="AZ481" i="1"/>
  <c r="BA481" i="1"/>
  <c r="P463" i="1"/>
  <c r="BE463" i="1"/>
  <c r="AX463" i="1"/>
  <c r="O472" i="1"/>
  <c r="BD472" i="1"/>
  <c r="BC472" i="1"/>
  <c r="P466" i="1"/>
  <c r="AX466" i="1"/>
  <c r="BE466" i="1"/>
  <c r="AS501" i="1"/>
  <c r="BB492" i="1"/>
  <c r="AY492" i="1" s="1"/>
  <c r="Q492" i="1" s="1"/>
  <c r="AZ492" i="1"/>
  <c r="BA492" i="1"/>
  <c r="O475" i="1"/>
  <c r="BD475" i="1"/>
  <c r="BC475" i="1"/>
  <c r="O476" i="1"/>
  <c r="BC476" i="1"/>
  <c r="BD476" i="1"/>
  <c r="O470" i="1"/>
  <c r="BC470" i="1"/>
  <c r="BD470" i="1"/>
  <c r="O468" i="1"/>
  <c r="BD468" i="1"/>
  <c r="BC468" i="1"/>
  <c r="O471" i="1"/>
  <c r="BD471" i="1"/>
  <c r="BC471" i="1"/>
  <c r="O478" i="1"/>
  <c r="BD478" i="1"/>
  <c r="BC478" i="1"/>
  <c r="P461" i="1"/>
  <c r="AX461" i="1"/>
  <c r="BE461" i="1"/>
  <c r="P474" i="1"/>
  <c r="BE474" i="1"/>
  <c r="AX474" i="1"/>
  <c r="O483" i="1"/>
  <c r="BD483" i="1"/>
  <c r="BC483" i="1"/>
  <c r="P467" i="1"/>
  <c r="BE467" i="1"/>
  <c r="AX467" i="1"/>
  <c r="P462" i="1"/>
  <c r="AX462" i="1"/>
  <c r="BE462" i="1"/>
  <c r="P469" i="1"/>
  <c r="AX469" i="1"/>
  <c r="BE469" i="1"/>
  <c r="AS493" i="1"/>
  <c r="AZ484" i="1"/>
  <c r="BB484" i="1"/>
  <c r="AY484" i="1" s="1"/>
  <c r="Q484" i="1" s="1"/>
  <c r="BA484" i="1"/>
  <c r="AS494" i="1"/>
  <c r="BB485" i="1"/>
  <c r="AY485" i="1" s="1"/>
  <c r="Q485" i="1" s="1"/>
  <c r="AZ485" i="1"/>
  <c r="BA485" i="1"/>
  <c r="AS488" i="1"/>
  <c r="BB479" i="1"/>
  <c r="AY479" i="1" s="1"/>
  <c r="Q479" i="1" s="1"/>
  <c r="AZ479" i="1"/>
  <c r="BA479" i="1"/>
  <c r="AS486" i="1"/>
  <c r="BB477" i="1"/>
  <c r="AY477" i="1" s="1"/>
  <c r="Q477" i="1" s="1"/>
  <c r="AZ477" i="1"/>
  <c r="BA477" i="1"/>
  <c r="AS489" i="1"/>
  <c r="BB480" i="1"/>
  <c r="AY480" i="1" s="1"/>
  <c r="Q480" i="1" s="1"/>
  <c r="AZ480" i="1"/>
  <c r="BA480" i="1"/>
  <c r="AS496" i="1"/>
  <c r="BB487" i="1"/>
  <c r="AY487" i="1" s="1"/>
  <c r="Q487" i="1" s="1"/>
  <c r="AZ487" i="1"/>
  <c r="BA487" i="1"/>
  <c r="P459" i="1"/>
  <c r="BE459" i="1"/>
  <c r="AX459" i="1"/>
  <c r="P455" i="1"/>
  <c r="AX455" i="1"/>
  <c r="BE455" i="1"/>
  <c r="O464" i="1"/>
  <c r="BD464" i="1"/>
  <c r="BC464" i="1"/>
  <c r="AS482" i="1"/>
  <c r="AZ473" i="1"/>
  <c r="BB473" i="1"/>
  <c r="AY473" i="1" s="1"/>
  <c r="Q473" i="1" s="1"/>
  <c r="BA473" i="1"/>
  <c r="O481" i="1" l="1"/>
  <c r="BC481" i="1"/>
  <c r="BD481" i="1"/>
  <c r="P472" i="1"/>
  <c r="BE472" i="1"/>
  <c r="AX472" i="1"/>
  <c r="AS499" i="1"/>
  <c r="AZ490" i="1"/>
  <c r="BB490" i="1"/>
  <c r="AY490" i="1" s="1"/>
  <c r="Q490" i="1" s="1"/>
  <c r="BA490" i="1"/>
  <c r="AS498" i="1"/>
  <c r="BB489" i="1"/>
  <c r="AY489" i="1" s="1"/>
  <c r="Q489" i="1" s="1"/>
  <c r="AZ489" i="1"/>
  <c r="BA489" i="1"/>
  <c r="AS497" i="1"/>
  <c r="BB488" i="1"/>
  <c r="AY488" i="1" s="1"/>
  <c r="Q488" i="1" s="1"/>
  <c r="AZ488" i="1"/>
  <c r="BA488" i="1"/>
  <c r="AS502" i="1"/>
  <c r="BB493" i="1"/>
  <c r="AY493" i="1" s="1"/>
  <c r="Q493" i="1" s="1"/>
  <c r="AZ493" i="1"/>
  <c r="BA493" i="1"/>
  <c r="AS510" i="1"/>
  <c r="BB501" i="1"/>
  <c r="AY501" i="1" s="1"/>
  <c r="Q501" i="1" s="1"/>
  <c r="AZ501" i="1"/>
  <c r="BA501" i="1"/>
  <c r="P468" i="1"/>
  <c r="BE468" i="1"/>
  <c r="AX468" i="1"/>
  <c r="P470" i="1"/>
  <c r="BE470" i="1"/>
  <c r="AX470" i="1"/>
  <c r="AS505" i="1"/>
  <c r="BB496" i="1"/>
  <c r="AY496" i="1" s="1"/>
  <c r="Q496" i="1" s="1"/>
  <c r="AZ496" i="1"/>
  <c r="BA496" i="1"/>
  <c r="AS495" i="1"/>
  <c r="BB486" i="1"/>
  <c r="AY486" i="1" s="1"/>
  <c r="Q486" i="1" s="1"/>
  <c r="AZ486" i="1"/>
  <c r="BA486" i="1"/>
  <c r="AS503" i="1"/>
  <c r="BB494" i="1"/>
  <c r="AY494" i="1" s="1"/>
  <c r="Q494" i="1" s="1"/>
  <c r="AZ494" i="1"/>
  <c r="BA494" i="1"/>
  <c r="P476" i="1"/>
  <c r="AX476" i="1"/>
  <c r="BE476" i="1"/>
  <c r="O487" i="1"/>
  <c r="BC487" i="1"/>
  <c r="BD487" i="1"/>
  <c r="O480" i="1"/>
  <c r="BC480" i="1"/>
  <c r="BD480" i="1"/>
  <c r="O477" i="1"/>
  <c r="BC477" i="1"/>
  <c r="BD477" i="1"/>
  <c r="O479" i="1"/>
  <c r="BD479" i="1"/>
  <c r="BC479" i="1"/>
  <c r="O485" i="1"/>
  <c r="BC485" i="1"/>
  <c r="BD485" i="1"/>
  <c r="P483" i="1"/>
  <c r="BE483" i="1"/>
  <c r="AX483" i="1"/>
  <c r="P471" i="1"/>
  <c r="AX471" i="1"/>
  <c r="BE471" i="1"/>
  <c r="P475" i="1"/>
  <c r="AX475" i="1"/>
  <c r="BE475" i="1"/>
  <c r="O492" i="1"/>
  <c r="BC492" i="1"/>
  <c r="BD492" i="1"/>
  <c r="O484" i="1"/>
  <c r="BD484" i="1"/>
  <c r="BC484" i="1"/>
  <c r="P478" i="1"/>
  <c r="AX478" i="1"/>
  <c r="BE478" i="1"/>
  <c r="AS491" i="1"/>
  <c r="BB482" i="1"/>
  <c r="AY482" i="1" s="1"/>
  <c r="Q482" i="1" s="1"/>
  <c r="AZ482" i="1"/>
  <c r="BA482" i="1"/>
  <c r="P464" i="1"/>
  <c r="AX464" i="1"/>
  <c r="BE464" i="1"/>
  <c r="O473" i="1"/>
  <c r="BC473" i="1"/>
  <c r="BD473" i="1"/>
  <c r="O490" i="1" l="1"/>
  <c r="BC490" i="1"/>
  <c r="BD490" i="1"/>
  <c r="AS508" i="1"/>
  <c r="AZ499" i="1"/>
  <c r="BB499" i="1"/>
  <c r="AY499" i="1" s="1"/>
  <c r="Q499" i="1" s="1"/>
  <c r="BA499" i="1"/>
  <c r="P481" i="1"/>
  <c r="AX481" i="1"/>
  <c r="BE481" i="1"/>
  <c r="P484" i="1"/>
  <c r="AX484" i="1"/>
  <c r="BE484" i="1"/>
  <c r="P492" i="1"/>
  <c r="AX492" i="1"/>
  <c r="BE492" i="1"/>
  <c r="P485" i="1"/>
  <c r="BE485" i="1"/>
  <c r="AX485" i="1"/>
  <c r="P487" i="1"/>
  <c r="BE487" i="1"/>
  <c r="AX487" i="1"/>
  <c r="AS512" i="1"/>
  <c r="BB503" i="1"/>
  <c r="AY503" i="1" s="1"/>
  <c r="Q503" i="1" s="1"/>
  <c r="AZ503" i="1"/>
  <c r="BA503" i="1"/>
  <c r="AS504" i="1"/>
  <c r="BB495" i="1"/>
  <c r="AY495" i="1" s="1"/>
  <c r="Q495" i="1" s="1"/>
  <c r="AZ495" i="1"/>
  <c r="BA495" i="1"/>
  <c r="AS514" i="1"/>
  <c r="BB505" i="1"/>
  <c r="AY505" i="1" s="1"/>
  <c r="Q505" i="1" s="1"/>
  <c r="AZ505" i="1"/>
  <c r="BA505" i="1"/>
  <c r="O501" i="1"/>
  <c r="BD501" i="1"/>
  <c r="BC501" i="1"/>
  <c r="O493" i="1"/>
  <c r="BC493" i="1"/>
  <c r="BD493" i="1"/>
  <c r="O488" i="1"/>
  <c r="BD488" i="1"/>
  <c r="BC488" i="1"/>
  <c r="O489" i="1"/>
  <c r="BD489" i="1"/>
  <c r="BC489" i="1"/>
  <c r="P480" i="1"/>
  <c r="BE480" i="1"/>
  <c r="AX480" i="1"/>
  <c r="P479" i="1"/>
  <c r="AX479" i="1"/>
  <c r="BE479" i="1"/>
  <c r="P477" i="1"/>
  <c r="BE477" i="1"/>
  <c r="AX477" i="1"/>
  <c r="O494" i="1"/>
  <c r="BD494" i="1"/>
  <c r="BC494" i="1"/>
  <c r="O486" i="1"/>
  <c r="BC486" i="1"/>
  <c r="BD486" i="1"/>
  <c r="O496" i="1"/>
  <c r="BD496" i="1"/>
  <c r="BC496" i="1"/>
  <c r="AS519" i="1"/>
  <c r="BB510" i="1"/>
  <c r="AY510" i="1" s="1"/>
  <c r="Q510" i="1" s="1"/>
  <c r="AZ510" i="1"/>
  <c r="BA510" i="1"/>
  <c r="AS511" i="1"/>
  <c r="BB502" i="1"/>
  <c r="AY502" i="1" s="1"/>
  <c r="Q502" i="1" s="1"/>
  <c r="AZ502" i="1"/>
  <c r="BA502" i="1"/>
  <c r="AS506" i="1"/>
  <c r="AZ497" i="1"/>
  <c r="BB497" i="1"/>
  <c r="AY497" i="1" s="1"/>
  <c r="Q497" i="1" s="1"/>
  <c r="BA497" i="1"/>
  <c r="AS507" i="1"/>
  <c r="BB498" i="1"/>
  <c r="AY498" i="1" s="1"/>
  <c r="Q498" i="1" s="1"/>
  <c r="AZ498" i="1"/>
  <c r="BA498" i="1"/>
  <c r="O482" i="1"/>
  <c r="BC482" i="1"/>
  <c r="BD482" i="1"/>
  <c r="P473" i="1"/>
  <c r="AX473" i="1"/>
  <c r="BE473" i="1"/>
  <c r="AS500" i="1"/>
  <c r="AZ491" i="1"/>
  <c r="BB491" i="1"/>
  <c r="AY491" i="1" s="1"/>
  <c r="Q491" i="1" s="1"/>
  <c r="BA491" i="1"/>
  <c r="AS517" i="1" l="1"/>
  <c r="AZ508" i="1"/>
  <c r="BB508" i="1"/>
  <c r="AY508" i="1" s="1"/>
  <c r="Q508" i="1" s="1"/>
  <c r="BA508" i="1"/>
  <c r="O499" i="1"/>
  <c r="BC499" i="1"/>
  <c r="BD499" i="1"/>
  <c r="P490" i="1"/>
  <c r="BE490" i="1"/>
  <c r="AX490" i="1"/>
  <c r="AS516" i="1"/>
  <c r="BB507" i="1"/>
  <c r="AY507" i="1" s="1"/>
  <c r="Q507" i="1" s="1"/>
  <c r="AZ507" i="1"/>
  <c r="BA507" i="1"/>
  <c r="AS515" i="1"/>
  <c r="BB506" i="1"/>
  <c r="AY506" i="1" s="1"/>
  <c r="Q506" i="1" s="1"/>
  <c r="AZ506" i="1"/>
  <c r="BA506" i="1"/>
  <c r="AS520" i="1"/>
  <c r="BB511" i="1"/>
  <c r="AY511" i="1" s="1"/>
  <c r="Q511" i="1" s="1"/>
  <c r="AZ511" i="1"/>
  <c r="BA511" i="1"/>
  <c r="AS528" i="1"/>
  <c r="BB519" i="1"/>
  <c r="AY519" i="1" s="1"/>
  <c r="Q519" i="1" s="1"/>
  <c r="AZ519" i="1"/>
  <c r="BA519" i="1"/>
  <c r="P501" i="1"/>
  <c r="BE501" i="1"/>
  <c r="AX501" i="1"/>
  <c r="O505" i="1"/>
  <c r="BD505" i="1"/>
  <c r="BC505" i="1"/>
  <c r="O495" i="1"/>
  <c r="BD495" i="1"/>
  <c r="BC495" i="1"/>
  <c r="O503" i="1"/>
  <c r="BC503" i="1"/>
  <c r="BD503" i="1"/>
  <c r="P494" i="1"/>
  <c r="AX494" i="1"/>
  <c r="BE494" i="1"/>
  <c r="P489" i="1"/>
  <c r="BE489" i="1"/>
  <c r="AX489" i="1"/>
  <c r="P496" i="1"/>
  <c r="BE496" i="1"/>
  <c r="AX496" i="1"/>
  <c r="P486" i="1"/>
  <c r="BE486" i="1"/>
  <c r="AX486" i="1"/>
  <c r="O497" i="1"/>
  <c r="BC497" i="1"/>
  <c r="BD497" i="1"/>
  <c r="O498" i="1"/>
  <c r="BD498" i="1"/>
  <c r="BC498" i="1"/>
  <c r="O502" i="1"/>
  <c r="BD502" i="1"/>
  <c r="BC502" i="1"/>
  <c r="O510" i="1"/>
  <c r="BD510" i="1"/>
  <c r="BC510" i="1"/>
  <c r="P488" i="1"/>
  <c r="AX488" i="1"/>
  <c r="BE488" i="1"/>
  <c r="P493" i="1"/>
  <c r="BE493" i="1"/>
  <c r="AX493" i="1"/>
  <c r="AS523" i="1"/>
  <c r="BB514" i="1"/>
  <c r="AY514" i="1" s="1"/>
  <c r="Q514" i="1" s="1"/>
  <c r="AZ514" i="1"/>
  <c r="BA514" i="1"/>
  <c r="AS513" i="1"/>
  <c r="BB504" i="1"/>
  <c r="AY504" i="1" s="1"/>
  <c r="Q504" i="1" s="1"/>
  <c r="AZ504" i="1"/>
  <c r="BA504" i="1"/>
  <c r="AS521" i="1"/>
  <c r="BB512" i="1"/>
  <c r="AY512" i="1" s="1"/>
  <c r="Q512" i="1" s="1"/>
  <c r="AZ512" i="1"/>
  <c r="BA512" i="1"/>
  <c r="O491" i="1"/>
  <c r="BC491" i="1"/>
  <c r="BD491" i="1"/>
  <c r="AS509" i="1"/>
  <c r="AZ500" i="1"/>
  <c r="BB500" i="1"/>
  <c r="AY500" i="1" s="1"/>
  <c r="Q500" i="1" s="1"/>
  <c r="BA500" i="1"/>
  <c r="P482" i="1"/>
  <c r="AX482" i="1"/>
  <c r="BE482" i="1"/>
  <c r="P499" i="1" l="1"/>
  <c r="AX499" i="1"/>
  <c r="BE499" i="1"/>
  <c r="O508" i="1"/>
  <c r="BC508" i="1"/>
  <c r="BD508" i="1"/>
  <c r="AS526" i="1"/>
  <c r="BB517" i="1"/>
  <c r="AY517" i="1" s="1"/>
  <c r="Q517" i="1" s="1"/>
  <c r="AZ517" i="1"/>
  <c r="BA517" i="1"/>
  <c r="P510" i="1"/>
  <c r="AX510" i="1"/>
  <c r="BE510" i="1"/>
  <c r="AS530" i="1"/>
  <c r="BB521" i="1"/>
  <c r="AY521" i="1" s="1"/>
  <c r="Q521" i="1" s="1"/>
  <c r="AZ521" i="1"/>
  <c r="BA521" i="1"/>
  <c r="AS522" i="1"/>
  <c r="BB513" i="1"/>
  <c r="AY513" i="1" s="1"/>
  <c r="Q513" i="1" s="1"/>
  <c r="AZ513" i="1"/>
  <c r="BA513" i="1"/>
  <c r="AS532" i="1"/>
  <c r="BB523" i="1"/>
  <c r="AY523" i="1" s="1"/>
  <c r="Q523" i="1" s="1"/>
  <c r="AZ523" i="1"/>
  <c r="BA523" i="1"/>
  <c r="P503" i="1"/>
  <c r="AX503" i="1"/>
  <c r="BE503" i="1"/>
  <c r="O519" i="1"/>
  <c r="BD519" i="1"/>
  <c r="BC519" i="1"/>
  <c r="O511" i="1"/>
  <c r="BD511" i="1"/>
  <c r="BC511" i="1"/>
  <c r="O506" i="1"/>
  <c r="BD506" i="1"/>
  <c r="BC506" i="1"/>
  <c r="O507" i="1"/>
  <c r="BC507" i="1"/>
  <c r="BD507" i="1"/>
  <c r="P498" i="1"/>
  <c r="AX498" i="1"/>
  <c r="BE498" i="1"/>
  <c r="P497" i="1"/>
  <c r="AX497" i="1"/>
  <c r="BE497" i="1"/>
  <c r="P505" i="1"/>
  <c r="BE505" i="1"/>
  <c r="AX505" i="1"/>
  <c r="O512" i="1"/>
  <c r="BC512" i="1"/>
  <c r="BD512" i="1"/>
  <c r="O504" i="1"/>
  <c r="BC504" i="1"/>
  <c r="BD504" i="1"/>
  <c r="O514" i="1"/>
  <c r="BD514" i="1"/>
  <c r="BC514" i="1"/>
  <c r="P502" i="1"/>
  <c r="AX502" i="1"/>
  <c r="BE502" i="1"/>
  <c r="P495" i="1"/>
  <c r="BE495" i="1"/>
  <c r="AX495" i="1"/>
  <c r="AS537" i="1"/>
  <c r="BB528" i="1"/>
  <c r="AY528" i="1" s="1"/>
  <c r="Q528" i="1" s="1"/>
  <c r="AZ528" i="1"/>
  <c r="BA528" i="1"/>
  <c r="AS529" i="1"/>
  <c r="AZ520" i="1"/>
  <c r="BB520" i="1"/>
  <c r="AY520" i="1" s="1"/>
  <c r="Q520" i="1" s="1"/>
  <c r="BA520" i="1"/>
  <c r="AS524" i="1"/>
  <c r="BB515" i="1"/>
  <c r="AY515" i="1" s="1"/>
  <c r="Q515" i="1" s="1"/>
  <c r="AZ515" i="1"/>
  <c r="BA515" i="1"/>
  <c r="AS525" i="1"/>
  <c r="BB516" i="1"/>
  <c r="AY516" i="1" s="1"/>
  <c r="Q516" i="1" s="1"/>
  <c r="AZ516" i="1"/>
  <c r="BA516" i="1"/>
  <c r="AS518" i="1"/>
  <c r="AZ509" i="1"/>
  <c r="BB509" i="1"/>
  <c r="AY509" i="1" s="1"/>
  <c r="Q509" i="1" s="1"/>
  <c r="BA509" i="1"/>
  <c r="P491" i="1"/>
  <c r="BE491" i="1"/>
  <c r="AX491" i="1"/>
  <c r="O500" i="1"/>
  <c r="BD500" i="1"/>
  <c r="BC500" i="1"/>
  <c r="AS535" i="1" l="1"/>
  <c r="AZ526" i="1"/>
  <c r="BB526" i="1"/>
  <c r="AY526" i="1" s="1"/>
  <c r="Q526" i="1" s="1"/>
  <c r="BA526" i="1"/>
  <c r="O517" i="1"/>
  <c r="BC517" i="1"/>
  <c r="BD517" i="1"/>
  <c r="P508" i="1"/>
  <c r="AX508" i="1"/>
  <c r="BE508" i="1"/>
  <c r="O515" i="1"/>
  <c r="BC515" i="1"/>
  <c r="BD515" i="1"/>
  <c r="P504" i="1"/>
  <c r="AX504" i="1"/>
  <c r="BE504" i="1"/>
  <c r="P511" i="1"/>
  <c r="AX511" i="1"/>
  <c r="BE511" i="1"/>
  <c r="AS541" i="1"/>
  <c r="BB532" i="1"/>
  <c r="AY532" i="1" s="1"/>
  <c r="Q532" i="1" s="1"/>
  <c r="AZ532" i="1"/>
  <c r="BA532" i="1"/>
  <c r="AS531" i="1"/>
  <c r="BB522" i="1"/>
  <c r="AY522" i="1" s="1"/>
  <c r="Q522" i="1" s="1"/>
  <c r="AZ522" i="1"/>
  <c r="BA522" i="1"/>
  <c r="AS539" i="1"/>
  <c r="BB530" i="1"/>
  <c r="AY530" i="1" s="1"/>
  <c r="Q530" i="1" s="1"/>
  <c r="AZ530" i="1"/>
  <c r="BA530" i="1"/>
  <c r="AS534" i="1"/>
  <c r="BB525" i="1"/>
  <c r="AY525" i="1" s="1"/>
  <c r="Q525" i="1" s="1"/>
  <c r="AZ525" i="1"/>
  <c r="BA525" i="1"/>
  <c r="AS533" i="1"/>
  <c r="BB524" i="1"/>
  <c r="AY524" i="1" s="1"/>
  <c r="Q524" i="1" s="1"/>
  <c r="AZ524" i="1"/>
  <c r="BA524" i="1"/>
  <c r="AS538" i="1"/>
  <c r="BB529" i="1"/>
  <c r="AY529" i="1" s="1"/>
  <c r="Q529" i="1" s="1"/>
  <c r="AZ529" i="1"/>
  <c r="BA529" i="1"/>
  <c r="AS546" i="1"/>
  <c r="BB537" i="1"/>
  <c r="AY537" i="1" s="1"/>
  <c r="Q537" i="1" s="1"/>
  <c r="AZ537" i="1"/>
  <c r="BA537" i="1"/>
  <c r="P506" i="1"/>
  <c r="BE506" i="1"/>
  <c r="AX506" i="1"/>
  <c r="O520" i="1"/>
  <c r="BC520" i="1"/>
  <c r="BD520" i="1"/>
  <c r="P514" i="1"/>
  <c r="BE514" i="1"/>
  <c r="AX514" i="1"/>
  <c r="BE512" i="1"/>
  <c r="O523" i="1"/>
  <c r="BC523" i="1"/>
  <c r="BD523" i="1"/>
  <c r="O513" i="1"/>
  <c r="BD513" i="1"/>
  <c r="BC513" i="1"/>
  <c r="O521" i="1"/>
  <c r="BD521" i="1"/>
  <c r="BC521" i="1"/>
  <c r="O516" i="1"/>
  <c r="BD516" i="1"/>
  <c r="BC516" i="1"/>
  <c r="O528" i="1"/>
  <c r="BD528" i="1"/>
  <c r="BC528" i="1"/>
  <c r="P512" i="1"/>
  <c r="AX512" i="1"/>
  <c r="P507" i="1"/>
  <c r="BE507" i="1"/>
  <c r="AX507" i="1"/>
  <c r="P519" i="1"/>
  <c r="AX519" i="1"/>
  <c r="BE519" i="1"/>
  <c r="P500" i="1"/>
  <c r="AX500" i="1"/>
  <c r="BE500" i="1"/>
  <c r="O509" i="1"/>
  <c r="BD509" i="1"/>
  <c r="BC509" i="1"/>
  <c r="AS527" i="1"/>
  <c r="BB518" i="1"/>
  <c r="AY518" i="1" s="1"/>
  <c r="Q518" i="1" s="1"/>
  <c r="AZ518" i="1"/>
  <c r="BA518" i="1"/>
  <c r="P517" i="1" l="1"/>
  <c r="BE517" i="1"/>
  <c r="AX517" i="1"/>
  <c r="O526" i="1"/>
  <c r="BC526" i="1"/>
  <c r="BD526" i="1"/>
  <c r="AS544" i="1"/>
  <c r="AZ535" i="1"/>
  <c r="BB535" i="1"/>
  <c r="AY535" i="1" s="1"/>
  <c r="Q535" i="1" s="1"/>
  <c r="BA535" i="1"/>
  <c r="O537" i="1"/>
  <c r="BD537" i="1"/>
  <c r="BC537" i="1"/>
  <c r="O524" i="1"/>
  <c r="BD524" i="1"/>
  <c r="BC524" i="1"/>
  <c r="O530" i="1"/>
  <c r="BC530" i="1"/>
  <c r="BD530" i="1"/>
  <c r="O522" i="1"/>
  <c r="BC522" i="1"/>
  <c r="BD522" i="1"/>
  <c r="P521" i="1"/>
  <c r="BE521" i="1"/>
  <c r="AX521" i="1"/>
  <c r="O529" i="1"/>
  <c r="BD529" i="1"/>
  <c r="BC529" i="1"/>
  <c r="O525" i="1"/>
  <c r="BD525" i="1"/>
  <c r="BC525" i="1"/>
  <c r="O532" i="1"/>
  <c r="BC532" i="1"/>
  <c r="BD532" i="1"/>
  <c r="P516" i="1"/>
  <c r="BE516" i="1"/>
  <c r="AX516" i="1"/>
  <c r="P528" i="1"/>
  <c r="AX528" i="1"/>
  <c r="BE528" i="1"/>
  <c r="P520" i="1"/>
  <c r="BE520" i="1"/>
  <c r="AX520" i="1"/>
  <c r="AS555" i="1"/>
  <c r="BB546" i="1"/>
  <c r="AY546" i="1" s="1"/>
  <c r="Q546" i="1" s="1"/>
  <c r="AZ546" i="1"/>
  <c r="BA546" i="1"/>
  <c r="AS547" i="1"/>
  <c r="BB538" i="1"/>
  <c r="AY538" i="1" s="1"/>
  <c r="Q538" i="1" s="1"/>
  <c r="AZ538" i="1"/>
  <c r="BA538" i="1"/>
  <c r="AS542" i="1"/>
  <c r="AZ533" i="1"/>
  <c r="BB533" i="1"/>
  <c r="AY533" i="1" s="1"/>
  <c r="Q533" i="1" s="1"/>
  <c r="BA533" i="1"/>
  <c r="AS543" i="1"/>
  <c r="BB534" i="1"/>
  <c r="AY534" i="1" s="1"/>
  <c r="Q534" i="1" s="1"/>
  <c r="AZ534" i="1"/>
  <c r="BA534" i="1"/>
  <c r="AS548" i="1"/>
  <c r="BB539" i="1"/>
  <c r="AY539" i="1" s="1"/>
  <c r="Q539" i="1" s="1"/>
  <c r="AZ539" i="1"/>
  <c r="BA539" i="1"/>
  <c r="AS540" i="1"/>
  <c r="BB531" i="1"/>
  <c r="AY531" i="1" s="1"/>
  <c r="Q531" i="1" s="1"/>
  <c r="AZ531" i="1"/>
  <c r="BA531" i="1"/>
  <c r="AS550" i="1"/>
  <c r="BB541" i="1"/>
  <c r="AY541" i="1" s="1"/>
  <c r="Q541" i="1" s="1"/>
  <c r="AZ541" i="1"/>
  <c r="BA541" i="1"/>
  <c r="P515" i="1"/>
  <c r="AX515" i="1"/>
  <c r="BE515" i="1"/>
  <c r="P513" i="1"/>
  <c r="AX513" i="1"/>
  <c r="BE513" i="1"/>
  <c r="P523" i="1"/>
  <c r="BE523" i="1"/>
  <c r="AX523" i="1"/>
  <c r="P509" i="1"/>
  <c r="BE509" i="1"/>
  <c r="AX509" i="1"/>
  <c r="AS536" i="1"/>
  <c r="AZ527" i="1"/>
  <c r="BB527" i="1"/>
  <c r="AY527" i="1" s="1"/>
  <c r="Q527" i="1" s="1"/>
  <c r="BA527" i="1"/>
  <c r="O518" i="1"/>
  <c r="BC518" i="1"/>
  <c r="BD518" i="1"/>
  <c r="O535" i="1" l="1"/>
  <c r="BC535" i="1"/>
  <c r="BD535" i="1"/>
  <c r="AS553" i="1"/>
  <c r="AZ544" i="1"/>
  <c r="BB544" i="1"/>
  <c r="AY544" i="1" s="1"/>
  <c r="Q544" i="1" s="1"/>
  <c r="BA544" i="1"/>
  <c r="P526" i="1"/>
  <c r="AX526" i="1"/>
  <c r="BE526" i="1"/>
  <c r="O531" i="1"/>
  <c r="BC531" i="1"/>
  <c r="BD531" i="1"/>
  <c r="O546" i="1"/>
  <c r="BD546" i="1"/>
  <c r="BC546" i="1"/>
  <c r="P530" i="1"/>
  <c r="AX530" i="1"/>
  <c r="BE530" i="1"/>
  <c r="P532" i="1"/>
  <c r="BE532" i="1"/>
  <c r="AX532" i="1"/>
  <c r="P522" i="1"/>
  <c r="AX522" i="1"/>
  <c r="BE522" i="1"/>
  <c r="P537" i="1"/>
  <c r="BE537" i="1"/>
  <c r="AX537" i="1"/>
  <c r="O539" i="1"/>
  <c r="BC539" i="1"/>
  <c r="BD539" i="1"/>
  <c r="O534" i="1"/>
  <c r="BC534" i="1"/>
  <c r="BD534" i="1"/>
  <c r="O538" i="1"/>
  <c r="BD538" i="1"/>
  <c r="BC538" i="1"/>
  <c r="O533" i="1"/>
  <c r="BD533" i="1"/>
  <c r="BC533" i="1"/>
  <c r="AS559" i="1"/>
  <c r="BB550" i="1"/>
  <c r="AY550" i="1" s="1"/>
  <c r="Q550" i="1" s="1"/>
  <c r="AZ550" i="1"/>
  <c r="BA550" i="1"/>
  <c r="AS549" i="1"/>
  <c r="BB540" i="1"/>
  <c r="AY540" i="1" s="1"/>
  <c r="Q540" i="1" s="1"/>
  <c r="AZ540" i="1"/>
  <c r="BA540" i="1"/>
  <c r="AS557" i="1"/>
  <c r="BB548" i="1"/>
  <c r="AY548" i="1" s="1"/>
  <c r="Q548" i="1" s="1"/>
  <c r="AZ548" i="1"/>
  <c r="BA548" i="1"/>
  <c r="AS552" i="1"/>
  <c r="BB543" i="1"/>
  <c r="AY543" i="1" s="1"/>
  <c r="Q543" i="1" s="1"/>
  <c r="AZ543" i="1"/>
  <c r="BA543" i="1"/>
  <c r="AS551" i="1"/>
  <c r="BB542" i="1"/>
  <c r="AY542" i="1" s="1"/>
  <c r="Q542" i="1" s="1"/>
  <c r="AZ542" i="1"/>
  <c r="BA542" i="1"/>
  <c r="AS556" i="1"/>
  <c r="BB547" i="1"/>
  <c r="AY547" i="1" s="1"/>
  <c r="Q547" i="1" s="1"/>
  <c r="AZ547" i="1"/>
  <c r="BA547" i="1"/>
  <c r="AS564" i="1"/>
  <c r="BB555" i="1"/>
  <c r="AY555" i="1" s="1"/>
  <c r="Q555" i="1" s="1"/>
  <c r="AZ555" i="1"/>
  <c r="BA555" i="1"/>
  <c r="P529" i="1"/>
  <c r="BE529" i="1"/>
  <c r="AX529" i="1"/>
  <c r="P524" i="1"/>
  <c r="AX524" i="1"/>
  <c r="BE524" i="1"/>
  <c r="O541" i="1"/>
  <c r="BC541" i="1"/>
  <c r="BD541" i="1"/>
  <c r="P525" i="1"/>
  <c r="AX525" i="1"/>
  <c r="BE525" i="1"/>
  <c r="AS545" i="1"/>
  <c r="AZ536" i="1"/>
  <c r="BB536" i="1"/>
  <c r="AY536" i="1" s="1"/>
  <c r="Q536" i="1" s="1"/>
  <c r="BA536" i="1"/>
  <c r="P518" i="1"/>
  <c r="AX518" i="1"/>
  <c r="BE518" i="1"/>
  <c r="O527" i="1"/>
  <c r="BC527" i="1"/>
  <c r="BD527" i="1"/>
  <c r="AS562" i="1" l="1"/>
  <c r="BB553" i="1"/>
  <c r="AY553" i="1" s="1"/>
  <c r="Q553" i="1" s="1"/>
  <c r="AZ553" i="1"/>
  <c r="BA553" i="1"/>
  <c r="P535" i="1"/>
  <c r="AX535" i="1"/>
  <c r="BE535" i="1"/>
  <c r="O544" i="1"/>
  <c r="BC544" i="1"/>
  <c r="BD544" i="1"/>
  <c r="P539" i="1"/>
  <c r="BE539" i="1"/>
  <c r="AX539" i="1"/>
  <c r="AS573" i="1"/>
  <c r="BB564" i="1"/>
  <c r="AY564" i="1" s="1"/>
  <c r="Q564" i="1" s="1"/>
  <c r="AZ564" i="1"/>
  <c r="BA564" i="1"/>
  <c r="AS565" i="1"/>
  <c r="AZ556" i="1"/>
  <c r="BB556" i="1"/>
  <c r="AY556" i="1" s="1"/>
  <c r="Q556" i="1" s="1"/>
  <c r="BA556" i="1"/>
  <c r="AS560" i="1"/>
  <c r="BB551" i="1"/>
  <c r="AY551" i="1" s="1"/>
  <c r="Q551" i="1" s="1"/>
  <c r="AZ551" i="1"/>
  <c r="BA551" i="1"/>
  <c r="AS561" i="1"/>
  <c r="BB552" i="1"/>
  <c r="AY552" i="1" s="1"/>
  <c r="Q552" i="1" s="1"/>
  <c r="AZ552" i="1"/>
  <c r="BA552" i="1"/>
  <c r="AS566" i="1"/>
  <c r="BB557" i="1"/>
  <c r="AY557" i="1" s="1"/>
  <c r="Q557" i="1" s="1"/>
  <c r="AZ557" i="1"/>
  <c r="BA557" i="1"/>
  <c r="AS558" i="1"/>
  <c r="BB549" i="1"/>
  <c r="AY549" i="1" s="1"/>
  <c r="Q549" i="1" s="1"/>
  <c r="AZ549" i="1"/>
  <c r="BA549" i="1"/>
  <c r="AS568" i="1"/>
  <c r="BB559" i="1"/>
  <c r="AY559" i="1" s="1"/>
  <c r="Q559" i="1" s="1"/>
  <c r="AZ559" i="1"/>
  <c r="BA559" i="1"/>
  <c r="P538" i="1"/>
  <c r="AX538" i="1"/>
  <c r="BE538" i="1"/>
  <c r="P534" i="1"/>
  <c r="AX534" i="1"/>
  <c r="BE534" i="1"/>
  <c r="P541" i="1"/>
  <c r="BE541" i="1"/>
  <c r="AX541" i="1"/>
  <c r="P533" i="1"/>
  <c r="AX533" i="1"/>
  <c r="BE533" i="1"/>
  <c r="P546" i="1"/>
  <c r="BE546" i="1"/>
  <c r="AX546" i="1"/>
  <c r="P531" i="1"/>
  <c r="BE531" i="1"/>
  <c r="AX531" i="1"/>
  <c r="O555" i="1"/>
  <c r="BD555" i="1"/>
  <c r="BC555" i="1"/>
  <c r="O547" i="1"/>
  <c r="BC547" i="1"/>
  <c r="BD547" i="1"/>
  <c r="O542" i="1"/>
  <c r="BD542" i="1"/>
  <c r="BC542" i="1"/>
  <c r="O543" i="1"/>
  <c r="BD543" i="1"/>
  <c r="BC543" i="1"/>
  <c r="O548" i="1"/>
  <c r="BD548" i="1"/>
  <c r="BC548" i="1"/>
  <c r="O540" i="1"/>
  <c r="BC540" i="1"/>
  <c r="BD540" i="1"/>
  <c r="O550" i="1"/>
  <c r="BD550" i="1"/>
  <c r="BC550" i="1"/>
  <c r="O536" i="1"/>
  <c r="BC536" i="1"/>
  <c r="BD536" i="1"/>
  <c r="P527" i="1"/>
  <c r="AX527" i="1"/>
  <c r="BE527" i="1"/>
  <c r="AS554" i="1"/>
  <c r="AZ545" i="1"/>
  <c r="BB545" i="1"/>
  <c r="AY545" i="1" s="1"/>
  <c r="Q545" i="1" s="1"/>
  <c r="BA545" i="1"/>
  <c r="O553" i="1" l="1"/>
  <c r="BD553" i="1"/>
  <c r="BC553" i="1"/>
  <c r="P544" i="1"/>
  <c r="BE544" i="1"/>
  <c r="AX544" i="1"/>
  <c r="AS571" i="1"/>
  <c r="AZ562" i="1"/>
  <c r="BB562" i="1"/>
  <c r="AY562" i="1" s="1"/>
  <c r="Q562" i="1" s="1"/>
  <c r="BA562" i="1"/>
  <c r="P555" i="1"/>
  <c r="AX555" i="1"/>
  <c r="BE555" i="1"/>
  <c r="AS577" i="1"/>
  <c r="BB568" i="1"/>
  <c r="AY568" i="1" s="1"/>
  <c r="Q568" i="1" s="1"/>
  <c r="AZ568" i="1"/>
  <c r="BA568" i="1"/>
  <c r="AS567" i="1"/>
  <c r="BB558" i="1"/>
  <c r="AY558" i="1" s="1"/>
  <c r="Q558" i="1" s="1"/>
  <c r="AZ558" i="1"/>
  <c r="BA558" i="1"/>
  <c r="AS575" i="1"/>
  <c r="BB566" i="1"/>
  <c r="AY566" i="1" s="1"/>
  <c r="Q566" i="1" s="1"/>
  <c r="AZ566" i="1"/>
  <c r="BA566" i="1"/>
  <c r="AS570" i="1"/>
  <c r="BB561" i="1"/>
  <c r="AY561" i="1" s="1"/>
  <c r="Q561" i="1" s="1"/>
  <c r="AZ561" i="1"/>
  <c r="BA561" i="1"/>
  <c r="AS569" i="1"/>
  <c r="BB560" i="1"/>
  <c r="AY560" i="1" s="1"/>
  <c r="Q560" i="1" s="1"/>
  <c r="AZ560" i="1"/>
  <c r="BA560" i="1"/>
  <c r="AS574" i="1"/>
  <c r="BB565" i="1"/>
  <c r="AY565" i="1" s="1"/>
  <c r="Q565" i="1" s="1"/>
  <c r="AZ565" i="1"/>
  <c r="BA565" i="1"/>
  <c r="AS582" i="1"/>
  <c r="BB573" i="1"/>
  <c r="AY573" i="1" s="1"/>
  <c r="Q573" i="1" s="1"/>
  <c r="AZ573" i="1"/>
  <c r="BA573" i="1"/>
  <c r="P548" i="1"/>
  <c r="AX548" i="1"/>
  <c r="BE548" i="1"/>
  <c r="P550" i="1"/>
  <c r="AX550" i="1"/>
  <c r="BE550" i="1"/>
  <c r="P540" i="1"/>
  <c r="AX540" i="1"/>
  <c r="BE540" i="1"/>
  <c r="P542" i="1"/>
  <c r="AX542" i="1"/>
  <c r="BE542" i="1"/>
  <c r="P547" i="1"/>
  <c r="AX547" i="1"/>
  <c r="BE547" i="1"/>
  <c r="O559" i="1"/>
  <c r="BD559" i="1"/>
  <c r="BC559" i="1"/>
  <c r="O549" i="1"/>
  <c r="BD549" i="1"/>
  <c r="BC549" i="1"/>
  <c r="O557" i="1"/>
  <c r="BC557" i="1"/>
  <c r="BD557" i="1"/>
  <c r="O552" i="1"/>
  <c r="BC552" i="1"/>
  <c r="BD552" i="1"/>
  <c r="O551" i="1"/>
  <c r="BC551" i="1"/>
  <c r="BD551" i="1"/>
  <c r="O564" i="1"/>
  <c r="BD564" i="1"/>
  <c r="BC564" i="1"/>
  <c r="P543" i="1"/>
  <c r="BE543" i="1"/>
  <c r="AX543" i="1"/>
  <c r="O556" i="1"/>
  <c r="BD556" i="1"/>
  <c r="BC556" i="1"/>
  <c r="AS563" i="1"/>
  <c r="BB554" i="1"/>
  <c r="AY554" i="1" s="1"/>
  <c r="Q554" i="1" s="1"/>
  <c r="AZ554" i="1"/>
  <c r="BA554" i="1"/>
  <c r="O545" i="1"/>
  <c r="BD545" i="1"/>
  <c r="BC545" i="1"/>
  <c r="P536" i="1"/>
  <c r="AX536" i="1"/>
  <c r="BE536" i="1"/>
  <c r="O562" i="1" l="1"/>
  <c r="BD562" i="1"/>
  <c r="BC562" i="1"/>
  <c r="AS580" i="1"/>
  <c r="AZ571" i="1"/>
  <c r="BB571" i="1"/>
  <c r="AY571" i="1" s="1"/>
  <c r="Q571" i="1" s="1"/>
  <c r="BA571" i="1"/>
  <c r="P553" i="1"/>
  <c r="BE553" i="1"/>
  <c r="AX553" i="1"/>
  <c r="P552" i="1"/>
  <c r="AX552" i="1"/>
  <c r="BE552" i="1"/>
  <c r="P559" i="1"/>
  <c r="AX559" i="1"/>
  <c r="BE559" i="1"/>
  <c r="P564" i="1"/>
  <c r="BE564" i="1"/>
  <c r="AX564" i="1"/>
  <c r="P549" i="1"/>
  <c r="AX549" i="1"/>
  <c r="BE549" i="1"/>
  <c r="AS591" i="1"/>
  <c r="BB582" i="1"/>
  <c r="AY582" i="1" s="1"/>
  <c r="Q582" i="1" s="1"/>
  <c r="AZ582" i="1"/>
  <c r="BA582" i="1"/>
  <c r="AS578" i="1"/>
  <c r="BB569" i="1"/>
  <c r="AY569" i="1" s="1"/>
  <c r="Q569" i="1" s="1"/>
  <c r="AZ569" i="1"/>
  <c r="BA569" i="1"/>
  <c r="AS579" i="1"/>
  <c r="BB570" i="1"/>
  <c r="AY570" i="1" s="1"/>
  <c r="Q570" i="1" s="1"/>
  <c r="AZ570" i="1"/>
  <c r="BA570" i="1"/>
  <c r="AS584" i="1"/>
  <c r="BB575" i="1"/>
  <c r="AY575" i="1" s="1"/>
  <c r="Q575" i="1" s="1"/>
  <c r="AZ575" i="1"/>
  <c r="BA575" i="1"/>
  <c r="AS576" i="1"/>
  <c r="BB567" i="1"/>
  <c r="AY567" i="1" s="1"/>
  <c r="Q567" i="1" s="1"/>
  <c r="AZ567" i="1"/>
  <c r="BA567" i="1"/>
  <c r="AS586" i="1"/>
  <c r="BB577" i="1"/>
  <c r="AY577" i="1" s="1"/>
  <c r="Q577" i="1" s="1"/>
  <c r="AZ577" i="1"/>
  <c r="BA577" i="1"/>
  <c r="P551" i="1"/>
  <c r="BE551" i="1"/>
  <c r="AX551" i="1"/>
  <c r="AS583" i="1"/>
  <c r="BB574" i="1"/>
  <c r="AY574" i="1" s="1"/>
  <c r="Q574" i="1" s="1"/>
  <c r="AZ574" i="1"/>
  <c r="BA574" i="1"/>
  <c r="P556" i="1"/>
  <c r="BE556" i="1"/>
  <c r="AX556" i="1"/>
  <c r="P557" i="1"/>
  <c r="BE557" i="1"/>
  <c r="AX557" i="1"/>
  <c r="O573" i="1"/>
  <c r="BC573" i="1"/>
  <c r="BD573" i="1"/>
  <c r="O565" i="1"/>
  <c r="BD565" i="1"/>
  <c r="BC565" i="1"/>
  <c r="O560" i="1"/>
  <c r="BC560" i="1"/>
  <c r="BD560" i="1"/>
  <c r="O561" i="1"/>
  <c r="BC561" i="1"/>
  <c r="BD561" i="1"/>
  <c r="O566" i="1"/>
  <c r="BC566" i="1"/>
  <c r="BD566" i="1"/>
  <c r="O558" i="1"/>
  <c r="BD558" i="1"/>
  <c r="BC558" i="1"/>
  <c r="O568" i="1"/>
  <c r="BD568" i="1"/>
  <c r="BC568" i="1"/>
  <c r="O554" i="1"/>
  <c r="BD554" i="1"/>
  <c r="BC554" i="1"/>
  <c r="P545" i="1"/>
  <c r="BE545" i="1"/>
  <c r="AX545" i="1"/>
  <c r="AS572" i="1"/>
  <c r="AZ563" i="1"/>
  <c r="BB563" i="1"/>
  <c r="AY563" i="1" s="1"/>
  <c r="Q563" i="1" s="1"/>
  <c r="BA563" i="1"/>
  <c r="AS589" i="1" l="1"/>
  <c r="AZ580" i="1"/>
  <c r="BB580" i="1"/>
  <c r="AY580" i="1" s="1"/>
  <c r="Q580" i="1" s="1"/>
  <c r="BA580" i="1"/>
  <c r="P562" i="1"/>
  <c r="AX562" i="1"/>
  <c r="BE562" i="1"/>
  <c r="O571" i="1"/>
  <c r="BD571" i="1"/>
  <c r="BC571" i="1"/>
  <c r="P566" i="1"/>
  <c r="AX566" i="1"/>
  <c r="BE566" i="1"/>
  <c r="P573" i="1"/>
  <c r="AX573" i="1"/>
  <c r="BE573" i="1"/>
  <c r="O577" i="1"/>
  <c r="BD577" i="1"/>
  <c r="BC577" i="1"/>
  <c r="O567" i="1"/>
  <c r="BC567" i="1"/>
  <c r="BD567" i="1"/>
  <c r="O575" i="1"/>
  <c r="BC575" i="1"/>
  <c r="BD575" i="1"/>
  <c r="O570" i="1"/>
  <c r="BD570" i="1"/>
  <c r="BC570" i="1"/>
  <c r="O569" i="1"/>
  <c r="BC569" i="1"/>
  <c r="BD569" i="1"/>
  <c r="O582" i="1"/>
  <c r="BC582" i="1"/>
  <c r="BD582" i="1"/>
  <c r="P561" i="1"/>
  <c r="BE561" i="1"/>
  <c r="AX561" i="1"/>
  <c r="AS592" i="1"/>
  <c r="BB583" i="1"/>
  <c r="AY583" i="1" s="1"/>
  <c r="Q583" i="1" s="1"/>
  <c r="AZ583" i="1"/>
  <c r="BA583" i="1"/>
  <c r="P565" i="1"/>
  <c r="BE565" i="1"/>
  <c r="AX565" i="1"/>
  <c r="O574" i="1"/>
  <c r="BD574" i="1"/>
  <c r="BC574" i="1"/>
  <c r="P558" i="1"/>
  <c r="AX558" i="1"/>
  <c r="BE558" i="1"/>
  <c r="P568" i="1"/>
  <c r="AX568" i="1"/>
  <c r="BE568" i="1"/>
  <c r="P560" i="1"/>
  <c r="AX560" i="1"/>
  <c r="BE560" i="1"/>
  <c r="AS595" i="1"/>
  <c r="BB586" i="1"/>
  <c r="AY586" i="1" s="1"/>
  <c r="Q586" i="1" s="1"/>
  <c r="AZ586" i="1"/>
  <c r="BA586" i="1"/>
  <c r="AS585" i="1"/>
  <c r="BB576" i="1"/>
  <c r="AY576" i="1" s="1"/>
  <c r="Q576" i="1" s="1"/>
  <c r="AZ576" i="1"/>
  <c r="BA576" i="1"/>
  <c r="AS593" i="1"/>
  <c r="BB584" i="1"/>
  <c r="AY584" i="1" s="1"/>
  <c r="Q584" i="1" s="1"/>
  <c r="AZ584" i="1"/>
  <c r="BA584" i="1"/>
  <c r="AS588" i="1"/>
  <c r="BB579" i="1"/>
  <c r="AY579" i="1" s="1"/>
  <c r="Q579" i="1" s="1"/>
  <c r="AZ579" i="1"/>
  <c r="BA579" i="1"/>
  <c r="AS587" i="1"/>
  <c r="BB578" i="1"/>
  <c r="AY578" i="1" s="1"/>
  <c r="Q578" i="1" s="1"/>
  <c r="AZ578" i="1"/>
  <c r="BA578" i="1"/>
  <c r="AS600" i="1"/>
  <c r="BB591" i="1"/>
  <c r="AY591" i="1" s="1"/>
  <c r="Q591" i="1" s="1"/>
  <c r="AZ591" i="1"/>
  <c r="BA591" i="1"/>
  <c r="AS581" i="1"/>
  <c r="AZ572" i="1"/>
  <c r="BB572" i="1"/>
  <c r="AY572" i="1" s="1"/>
  <c r="Q572" i="1" s="1"/>
  <c r="BA572" i="1"/>
  <c r="P554" i="1"/>
  <c r="BE554" i="1"/>
  <c r="AX554" i="1"/>
  <c r="O563" i="1"/>
  <c r="BD563" i="1"/>
  <c r="BC563" i="1"/>
  <c r="P571" i="1" l="1"/>
  <c r="BE571" i="1"/>
  <c r="AX571" i="1"/>
  <c r="O580" i="1"/>
  <c r="BD580" i="1"/>
  <c r="BC580" i="1"/>
  <c r="AS598" i="1"/>
  <c r="BB589" i="1"/>
  <c r="AY589" i="1" s="1"/>
  <c r="Q589" i="1" s="1"/>
  <c r="AZ589" i="1"/>
  <c r="BA589" i="1"/>
  <c r="O578" i="1"/>
  <c r="BC578" i="1"/>
  <c r="BD578" i="1"/>
  <c r="AS601" i="1"/>
  <c r="BB592" i="1"/>
  <c r="AY592" i="1" s="1"/>
  <c r="Q592" i="1" s="1"/>
  <c r="AZ592" i="1"/>
  <c r="BA592" i="1"/>
  <c r="P569" i="1"/>
  <c r="BE569" i="1"/>
  <c r="AX569" i="1"/>
  <c r="AS609" i="1"/>
  <c r="BB600" i="1"/>
  <c r="AY600" i="1" s="1"/>
  <c r="Q600" i="1" s="1"/>
  <c r="AZ600" i="1"/>
  <c r="BA600" i="1"/>
  <c r="AS596" i="1"/>
  <c r="BB587" i="1"/>
  <c r="AY587" i="1" s="1"/>
  <c r="Q587" i="1" s="1"/>
  <c r="AZ587" i="1"/>
  <c r="BA587" i="1"/>
  <c r="AS597" i="1"/>
  <c r="BB588" i="1"/>
  <c r="AY588" i="1" s="1"/>
  <c r="Q588" i="1" s="1"/>
  <c r="AZ588" i="1"/>
  <c r="BA588" i="1"/>
  <c r="AS602" i="1"/>
  <c r="BB593" i="1"/>
  <c r="AY593" i="1" s="1"/>
  <c r="Q593" i="1" s="1"/>
  <c r="AZ593" i="1"/>
  <c r="BA593" i="1"/>
  <c r="AS594" i="1"/>
  <c r="BB585" i="1"/>
  <c r="AY585" i="1" s="1"/>
  <c r="Q585" i="1" s="1"/>
  <c r="AZ585" i="1"/>
  <c r="BA585" i="1"/>
  <c r="AS604" i="1"/>
  <c r="BB595" i="1"/>
  <c r="AY595" i="1" s="1"/>
  <c r="Q595" i="1" s="1"/>
  <c r="AZ595" i="1"/>
  <c r="BA595" i="1"/>
  <c r="P582" i="1"/>
  <c r="BE582" i="1"/>
  <c r="AX582" i="1"/>
  <c r="P567" i="1"/>
  <c r="AX567" i="1"/>
  <c r="BE567" i="1"/>
  <c r="O579" i="1"/>
  <c r="BC579" i="1"/>
  <c r="BD579" i="1"/>
  <c r="O583" i="1"/>
  <c r="BD583" i="1"/>
  <c r="BC583" i="1"/>
  <c r="P570" i="1"/>
  <c r="BE570" i="1"/>
  <c r="AX570" i="1"/>
  <c r="P575" i="1"/>
  <c r="AX575" i="1"/>
  <c r="BE575" i="1"/>
  <c r="O591" i="1"/>
  <c r="BD591" i="1"/>
  <c r="BC591" i="1"/>
  <c r="O584" i="1"/>
  <c r="BD584" i="1"/>
  <c r="BC584" i="1"/>
  <c r="O576" i="1"/>
  <c r="BD576" i="1"/>
  <c r="BC576" i="1"/>
  <c r="O586" i="1"/>
  <c r="BC586" i="1"/>
  <c r="BD586" i="1"/>
  <c r="P574" i="1"/>
  <c r="BE574" i="1"/>
  <c r="AX574" i="1"/>
  <c r="P577" i="1"/>
  <c r="BE577" i="1"/>
  <c r="AX577" i="1"/>
  <c r="P563" i="1"/>
  <c r="BE563" i="1"/>
  <c r="AX563" i="1"/>
  <c r="O572" i="1"/>
  <c r="BC572" i="1"/>
  <c r="BD572" i="1"/>
  <c r="AS590" i="1"/>
  <c r="AZ581" i="1"/>
  <c r="BB581" i="1"/>
  <c r="AY581" i="1" s="1"/>
  <c r="Q581" i="1" s="1"/>
  <c r="BA581" i="1"/>
  <c r="P580" i="1" l="1"/>
  <c r="AX580" i="1"/>
  <c r="BE580" i="1"/>
  <c r="AS607" i="1"/>
  <c r="AZ598" i="1"/>
  <c r="BB598" i="1"/>
  <c r="AY598" i="1" s="1"/>
  <c r="Q598" i="1" s="1"/>
  <c r="BA598" i="1"/>
  <c r="O589" i="1"/>
  <c r="BC589" i="1"/>
  <c r="BD589" i="1"/>
  <c r="AS610" i="1"/>
  <c r="BB601" i="1"/>
  <c r="AY601" i="1" s="1"/>
  <c r="Q601" i="1" s="1"/>
  <c r="AZ601" i="1"/>
  <c r="BA601" i="1"/>
  <c r="P586" i="1"/>
  <c r="AX586" i="1"/>
  <c r="BE586" i="1"/>
  <c r="P591" i="1"/>
  <c r="AX591" i="1"/>
  <c r="BE591" i="1"/>
  <c r="AS613" i="1"/>
  <c r="BB604" i="1"/>
  <c r="AY604" i="1" s="1"/>
  <c r="Q604" i="1" s="1"/>
  <c r="AZ604" i="1"/>
  <c r="BA604" i="1"/>
  <c r="AS603" i="1"/>
  <c r="BB594" i="1"/>
  <c r="AY594" i="1" s="1"/>
  <c r="Q594" i="1" s="1"/>
  <c r="AZ594" i="1"/>
  <c r="BA594" i="1"/>
  <c r="AS611" i="1"/>
  <c r="BB602" i="1"/>
  <c r="AY602" i="1" s="1"/>
  <c r="Q602" i="1" s="1"/>
  <c r="AZ602" i="1"/>
  <c r="BA602" i="1"/>
  <c r="AS606" i="1"/>
  <c r="BB597" i="1"/>
  <c r="AY597" i="1" s="1"/>
  <c r="Q597" i="1" s="1"/>
  <c r="AZ597" i="1"/>
  <c r="BA597" i="1"/>
  <c r="AS605" i="1"/>
  <c r="BB596" i="1"/>
  <c r="AY596" i="1" s="1"/>
  <c r="Q596" i="1" s="1"/>
  <c r="AZ596" i="1"/>
  <c r="BA596" i="1"/>
  <c r="AS618" i="1"/>
  <c r="BB609" i="1"/>
  <c r="AY609" i="1" s="1"/>
  <c r="Q609" i="1" s="1"/>
  <c r="AZ609" i="1"/>
  <c r="BA609" i="1"/>
  <c r="P576" i="1"/>
  <c r="BE576" i="1"/>
  <c r="AX576" i="1"/>
  <c r="P584" i="1"/>
  <c r="AX584" i="1"/>
  <c r="BE584" i="1"/>
  <c r="P583" i="1"/>
  <c r="BE583" i="1"/>
  <c r="AX583" i="1"/>
  <c r="P579" i="1"/>
  <c r="BE579" i="1"/>
  <c r="AX579" i="1"/>
  <c r="O592" i="1"/>
  <c r="BC592" i="1"/>
  <c r="BD592" i="1"/>
  <c r="P578" i="1"/>
  <c r="BE578" i="1"/>
  <c r="AX578" i="1"/>
  <c r="O595" i="1"/>
  <c r="BD595" i="1"/>
  <c r="BC595" i="1"/>
  <c r="O585" i="1"/>
  <c r="BD585" i="1"/>
  <c r="BC585" i="1"/>
  <c r="O593" i="1"/>
  <c r="BC593" i="1"/>
  <c r="BD593" i="1"/>
  <c r="O588" i="1"/>
  <c r="BC588" i="1"/>
  <c r="BD588" i="1"/>
  <c r="O587" i="1"/>
  <c r="BC587" i="1"/>
  <c r="BD587" i="1"/>
  <c r="O600" i="1"/>
  <c r="BD600" i="1"/>
  <c r="BC600" i="1"/>
  <c r="O581" i="1"/>
  <c r="BD581" i="1"/>
  <c r="BC581" i="1"/>
  <c r="AS599" i="1"/>
  <c r="BB590" i="1"/>
  <c r="AY590" i="1" s="1"/>
  <c r="Q590" i="1" s="1"/>
  <c r="AZ590" i="1"/>
  <c r="BA590" i="1"/>
  <c r="P572" i="1"/>
  <c r="BE572" i="1"/>
  <c r="AX572" i="1"/>
  <c r="P589" i="1" l="1"/>
  <c r="AX589" i="1"/>
  <c r="BE589" i="1"/>
  <c r="AS616" i="1"/>
  <c r="AZ607" i="1"/>
  <c r="BB607" i="1"/>
  <c r="AY607" i="1" s="1"/>
  <c r="Q607" i="1" s="1"/>
  <c r="BA607" i="1"/>
  <c r="O598" i="1"/>
  <c r="BD598" i="1"/>
  <c r="BC598" i="1"/>
  <c r="P588" i="1"/>
  <c r="BE588" i="1"/>
  <c r="AX588" i="1"/>
  <c r="P595" i="1"/>
  <c r="AX595" i="1"/>
  <c r="BE595" i="1"/>
  <c r="AS627" i="1"/>
  <c r="BB618" i="1"/>
  <c r="AY618" i="1" s="1"/>
  <c r="Q618" i="1" s="1"/>
  <c r="AZ618" i="1"/>
  <c r="BA618" i="1"/>
  <c r="AS614" i="1"/>
  <c r="BB605" i="1"/>
  <c r="AY605" i="1" s="1"/>
  <c r="Q605" i="1" s="1"/>
  <c r="AZ605" i="1"/>
  <c r="BA605" i="1"/>
  <c r="AS615" i="1"/>
  <c r="BB606" i="1"/>
  <c r="AY606" i="1" s="1"/>
  <c r="Q606" i="1" s="1"/>
  <c r="AZ606" i="1"/>
  <c r="BA606" i="1"/>
  <c r="AS620" i="1"/>
  <c r="BB611" i="1"/>
  <c r="AY611" i="1" s="1"/>
  <c r="Q611" i="1" s="1"/>
  <c r="AZ611" i="1"/>
  <c r="BA611" i="1"/>
  <c r="AS612" i="1"/>
  <c r="BB603" i="1"/>
  <c r="AY603" i="1" s="1"/>
  <c r="Q603" i="1" s="1"/>
  <c r="AZ603" i="1"/>
  <c r="BA603" i="1"/>
  <c r="AS622" i="1"/>
  <c r="BB613" i="1"/>
  <c r="AY613" i="1" s="1"/>
  <c r="Q613" i="1" s="1"/>
  <c r="AZ613" i="1"/>
  <c r="BA613" i="1"/>
  <c r="O601" i="1"/>
  <c r="BD601" i="1"/>
  <c r="BC601" i="1"/>
  <c r="P593" i="1"/>
  <c r="AX593" i="1"/>
  <c r="BE593" i="1"/>
  <c r="P592" i="1"/>
  <c r="BE592" i="1"/>
  <c r="AX592" i="1"/>
  <c r="P600" i="1"/>
  <c r="AX600" i="1"/>
  <c r="BE600" i="1"/>
  <c r="P587" i="1"/>
  <c r="BE587" i="1"/>
  <c r="AX587" i="1"/>
  <c r="P585" i="1"/>
  <c r="BE585" i="1"/>
  <c r="AX585" i="1"/>
  <c r="O609" i="1"/>
  <c r="BD609" i="1"/>
  <c r="BC609" i="1"/>
  <c r="O596" i="1"/>
  <c r="BD596" i="1"/>
  <c r="BC596" i="1"/>
  <c r="O597" i="1"/>
  <c r="BC597" i="1"/>
  <c r="BD597" i="1"/>
  <c r="O602" i="1"/>
  <c r="BD602" i="1"/>
  <c r="BC602" i="1"/>
  <c r="O594" i="1"/>
  <c r="BC594" i="1"/>
  <c r="BD594" i="1"/>
  <c r="O604" i="1"/>
  <c r="BC604" i="1"/>
  <c r="BD604" i="1"/>
  <c r="AS619" i="1"/>
  <c r="BB610" i="1"/>
  <c r="AY610" i="1" s="1"/>
  <c r="Q610" i="1" s="1"/>
  <c r="AZ610" i="1"/>
  <c r="BA610" i="1"/>
  <c r="P581" i="1"/>
  <c r="AX581" i="1"/>
  <c r="BE581" i="1"/>
  <c r="AS608" i="1"/>
  <c r="AZ599" i="1"/>
  <c r="BB599" i="1"/>
  <c r="AY599" i="1" s="1"/>
  <c r="Q599" i="1" s="1"/>
  <c r="BA599" i="1"/>
  <c r="O590" i="1"/>
  <c r="BD590" i="1"/>
  <c r="BC590" i="1"/>
  <c r="AS625" i="1" l="1"/>
  <c r="AZ616" i="1"/>
  <c r="BB616" i="1"/>
  <c r="AY616" i="1" s="1"/>
  <c r="Q616" i="1" s="1"/>
  <c r="BA616" i="1"/>
  <c r="P598" i="1"/>
  <c r="AX598" i="1"/>
  <c r="BE598" i="1"/>
  <c r="O607" i="1"/>
  <c r="BC607" i="1"/>
  <c r="BD607" i="1"/>
  <c r="P604" i="1"/>
  <c r="AX604" i="1"/>
  <c r="BE604" i="1"/>
  <c r="P597" i="1"/>
  <c r="BE597" i="1"/>
  <c r="AX597" i="1"/>
  <c r="AS628" i="1"/>
  <c r="BB619" i="1"/>
  <c r="AY619" i="1" s="1"/>
  <c r="Q619" i="1" s="1"/>
  <c r="AZ619" i="1"/>
  <c r="BA619" i="1"/>
  <c r="P609" i="1"/>
  <c r="AX609" i="1"/>
  <c r="BE609" i="1"/>
  <c r="AS631" i="1"/>
  <c r="BB622" i="1"/>
  <c r="AY622" i="1" s="1"/>
  <c r="Q622" i="1" s="1"/>
  <c r="AZ622" i="1"/>
  <c r="BA622" i="1"/>
  <c r="AS621" i="1"/>
  <c r="BB612" i="1"/>
  <c r="AY612" i="1" s="1"/>
  <c r="Q612" i="1" s="1"/>
  <c r="AZ612" i="1"/>
  <c r="BA612" i="1"/>
  <c r="AS629" i="1"/>
  <c r="BB620" i="1"/>
  <c r="AY620" i="1" s="1"/>
  <c r="Q620" i="1" s="1"/>
  <c r="AZ620" i="1"/>
  <c r="BA620" i="1"/>
  <c r="AS624" i="1"/>
  <c r="BB615" i="1"/>
  <c r="AY615" i="1" s="1"/>
  <c r="Q615" i="1" s="1"/>
  <c r="AZ615" i="1"/>
  <c r="BA615" i="1"/>
  <c r="AS623" i="1"/>
  <c r="BB614" i="1"/>
  <c r="AY614" i="1" s="1"/>
  <c r="Q614" i="1" s="1"/>
  <c r="AZ614" i="1"/>
  <c r="BA614" i="1"/>
  <c r="AS636" i="1"/>
  <c r="BB627" i="1"/>
  <c r="AY627" i="1" s="1"/>
  <c r="Q627" i="1" s="1"/>
  <c r="AZ627" i="1"/>
  <c r="BA627" i="1"/>
  <c r="P602" i="1"/>
  <c r="AX602" i="1"/>
  <c r="BE602" i="1"/>
  <c r="P594" i="1"/>
  <c r="AX594" i="1"/>
  <c r="BE594" i="1"/>
  <c r="P596" i="1"/>
  <c r="AX596" i="1"/>
  <c r="BE596" i="1"/>
  <c r="O610" i="1"/>
  <c r="BD610" i="1"/>
  <c r="BC610" i="1"/>
  <c r="P601" i="1"/>
  <c r="AX601" i="1"/>
  <c r="BE601" i="1"/>
  <c r="O613" i="1"/>
  <c r="BC613" i="1"/>
  <c r="BD613" i="1"/>
  <c r="O603" i="1"/>
  <c r="BC603" i="1"/>
  <c r="BD603" i="1"/>
  <c r="O611" i="1"/>
  <c r="BC611" i="1"/>
  <c r="BD611" i="1"/>
  <c r="O606" i="1"/>
  <c r="BD606" i="1"/>
  <c r="BC606" i="1"/>
  <c r="O605" i="1"/>
  <c r="BC605" i="1"/>
  <c r="BD605" i="1"/>
  <c r="O618" i="1"/>
  <c r="BC618" i="1"/>
  <c r="BD618" i="1"/>
  <c r="AS617" i="1"/>
  <c r="AZ608" i="1"/>
  <c r="BB608" i="1"/>
  <c r="AY608" i="1" s="1"/>
  <c r="Q608" i="1" s="1"/>
  <c r="BA608" i="1"/>
  <c r="P590" i="1"/>
  <c r="BE590" i="1"/>
  <c r="AX590" i="1"/>
  <c r="O599" i="1"/>
  <c r="BD599" i="1"/>
  <c r="BC599" i="1"/>
  <c r="O616" i="1" l="1"/>
  <c r="BC616" i="1"/>
  <c r="BD616" i="1"/>
  <c r="P607" i="1"/>
  <c r="AX607" i="1"/>
  <c r="BE607" i="1"/>
  <c r="AS634" i="1"/>
  <c r="BB625" i="1"/>
  <c r="AY625" i="1" s="1"/>
  <c r="Q625" i="1" s="1"/>
  <c r="AZ625" i="1"/>
  <c r="BA625" i="1"/>
  <c r="P611" i="1"/>
  <c r="BE611" i="1"/>
  <c r="AX611" i="1"/>
  <c r="O614" i="1"/>
  <c r="BC614" i="1"/>
  <c r="BD614" i="1"/>
  <c r="O620" i="1"/>
  <c r="BD620" i="1"/>
  <c r="BC620" i="1"/>
  <c r="AS637" i="1"/>
  <c r="BB628" i="1"/>
  <c r="AY628" i="1" s="1"/>
  <c r="Q628" i="1" s="1"/>
  <c r="AZ628" i="1"/>
  <c r="BA628" i="1"/>
  <c r="P606" i="1"/>
  <c r="AX606" i="1"/>
  <c r="BE606" i="1"/>
  <c r="O627" i="1"/>
  <c r="BC627" i="1"/>
  <c r="BD627" i="1"/>
  <c r="O615" i="1"/>
  <c r="BC615" i="1"/>
  <c r="BD615" i="1"/>
  <c r="O612" i="1"/>
  <c r="BD612" i="1"/>
  <c r="BC612" i="1"/>
  <c r="O622" i="1"/>
  <c r="BD622" i="1"/>
  <c r="BC622" i="1"/>
  <c r="P605" i="1"/>
  <c r="AX605" i="1"/>
  <c r="BE605" i="1"/>
  <c r="P613" i="1"/>
  <c r="BE613" i="1"/>
  <c r="AX613" i="1"/>
  <c r="AS645" i="1"/>
  <c r="BB636" i="1"/>
  <c r="AY636" i="1" s="1"/>
  <c r="Q636" i="1" s="1"/>
  <c r="AZ636" i="1"/>
  <c r="BA636" i="1"/>
  <c r="AS632" i="1"/>
  <c r="BB623" i="1"/>
  <c r="AY623" i="1" s="1"/>
  <c r="Q623" i="1" s="1"/>
  <c r="AZ623" i="1"/>
  <c r="BA623" i="1"/>
  <c r="AS633" i="1"/>
  <c r="BB624" i="1"/>
  <c r="AY624" i="1" s="1"/>
  <c r="Q624" i="1" s="1"/>
  <c r="AZ624" i="1"/>
  <c r="BA624" i="1"/>
  <c r="AS638" i="1"/>
  <c r="BB629" i="1"/>
  <c r="AY629" i="1" s="1"/>
  <c r="Q629" i="1" s="1"/>
  <c r="AZ629" i="1"/>
  <c r="BA629" i="1"/>
  <c r="AS630" i="1"/>
  <c r="BB621" i="1"/>
  <c r="AY621" i="1" s="1"/>
  <c r="Q621" i="1" s="1"/>
  <c r="AZ621" i="1"/>
  <c r="BA621" i="1"/>
  <c r="AS640" i="1"/>
  <c r="BB631" i="1"/>
  <c r="AY631" i="1" s="1"/>
  <c r="Q631" i="1" s="1"/>
  <c r="AZ631" i="1"/>
  <c r="BA631" i="1"/>
  <c r="P618" i="1"/>
  <c r="BE618" i="1"/>
  <c r="AX618" i="1"/>
  <c r="P603" i="1"/>
  <c r="AX603" i="1"/>
  <c r="BE603" i="1"/>
  <c r="P610" i="1"/>
  <c r="BE610" i="1"/>
  <c r="AX610" i="1"/>
  <c r="O619" i="1"/>
  <c r="BC619" i="1"/>
  <c r="BD619" i="1"/>
  <c r="O608" i="1"/>
  <c r="BC608" i="1"/>
  <c r="BD608" i="1"/>
  <c r="P599" i="1"/>
  <c r="AX599" i="1"/>
  <c r="BE599" i="1"/>
  <c r="AS626" i="1"/>
  <c r="AZ617" i="1"/>
  <c r="BB617" i="1"/>
  <c r="AY617" i="1" s="1"/>
  <c r="Q617" i="1" s="1"/>
  <c r="BA617" i="1"/>
  <c r="O625" i="1" l="1"/>
  <c r="BC625" i="1"/>
  <c r="BD625" i="1"/>
  <c r="AS643" i="1"/>
  <c r="AZ634" i="1"/>
  <c r="BB634" i="1"/>
  <c r="AY634" i="1" s="1"/>
  <c r="Q634" i="1" s="1"/>
  <c r="BA634" i="1"/>
  <c r="P616" i="1"/>
  <c r="BE616" i="1"/>
  <c r="AX616" i="1"/>
  <c r="O631" i="1"/>
  <c r="BC631" i="1"/>
  <c r="BD631" i="1"/>
  <c r="P622" i="1"/>
  <c r="AX622" i="1"/>
  <c r="BE622" i="1"/>
  <c r="O628" i="1"/>
  <c r="BC628" i="1"/>
  <c r="BD628" i="1"/>
  <c r="AS649" i="1"/>
  <c r="BB640" i="1"/>
  <c r="AY640" i="1" s="1"/>
  <c r="Q640" i="1" s="1"/>
  <c r="AZ640" i="1"/>
  <c r="BA640" i="1"/>
  <c r="AS639" i="1"/>
  <c r="BB630" i="1"/>
  <c r="AY630" i="1" s="1"/>
  <c r="Q630" i="1" s="1"/>
  <c r="AZ630" i="1"/>
  <c r="BA630" i="1"/>
  <c r="AS647" i="1"/>
  <c r="BB638" i="1"/>
  <c r="AY638" i="1" s="1"/>
  <c r="Q638" i="1" s="1"/>
  <c r="AZ638" i="1"/>
  <c r="BA638" i="1"/>
  <c r="AS642" i="1"/>
  <c r="BB633" i="1"/>
  <c r="AY633" i="1" s="1"/>
  <c r="Q633" i="1" s="1"/>
  <c r="AZ633" i="1"/>
  <c r="BA633" i="1"/>
  <c r="AS641" i="1"/>
  <c r="BB632" i="1"/>
  <c r="AY632" i="1" s="1"/>
  <c r="Q632" i="1" s="1"/>
  <c r="AZ632" i="1"/>
  <c r="BA632" i="1"/>
  <c r="AS654" i="1"/>
  <c r="BB645" i="1"/>
  <c r="AY645" i="1" s="1"/>
  <c r="Q645" i="1" s="1"/>
  <c r="AZ645" i="1"/>
  <c r="BA645" i="1"/>
  <c r="P619" i="1"/>
  <c r="BE619" i="1"/>
  <c r="AX619" i="1"/>
  <c r="P627" i="1"/>
  <c r="AX627" i="1"/>
  <c r="BE627" i="1"/>
  <c r="AS646" i="1"/>
  <c r="BB637" i="1"/>
  <c r="AY637" i="1" s="1"/>
  <c r="Q637" i="1" s="1"/>
  <c r="AZ637" i="1"/>
  <c r="BA637" i="1"/>
  <c r="O621" i="1"/>
  <c r="BC621" i="1"/>
  <c r="BD621" i="1"/>
  <c r="O629" i="1"/>
  <c r="BC629" i="1"/>
  <c r="BD629" i="1"/>
  <c r="O624" i="1"/>
  <c r="BC624" i="1"/>
  <c r="BD624" i="1"/>
  <c r="O623" i="1"/>
  <c r="BC623" i="1"/>
  <c r="BD623" i="1"/>
  <c r="O636" i="1"/>
  <c r="BC636" i="1"/>
  <c r="BD636" i="1"/>
  <c r="P612" i="1"/>
  <c r="AX612" i="1"/>
  <c r="BE612" i="1"/>
  <c r="P615" i="1"/>
  <c r="AX615" i="1"/>
  <c r="BE615" i="1"/>
  <c r="P620" i="1"/>
  <c r="BE620" i="1"/>
  <c r="AX620" i="1"/>
  <c r="P614" i="1"/>
  <c r="AX614" i="1"/>
  <c r="BE614" i="1"/>
  <c r="AS635" i="1"/>
  <c r="BB626" i="1"/>
  <c r="AY626" i="1" s="1"/>
  <c r="Q626" i="1" s="1"/>
  <c r="AZ626" i="1"/>
  <c r="BA626" i="1"/>
  <c r="O617" i="1"/>
  <c r="BD617" i="1"/>
  <c r="BC617" i="1"/>
  <c r="P608" i="1"/>
  <c r="BE608" i="1"/>
  <c r="AX608" i="1"/>
  <c r="P625" i="1" l="1"/>
  <c r="AX625" i="1"/>
  <c r="BE625" i="1"/>
  <c r="AS652" i="1"/>
  <c r="AZ643" i="1"/>
  <c r="BB643" i="1"/>
  <c r="AY643" i="1" s="1"/>
  <c r="Q643" i="1" s="1"/>
  <c r="BA643" i="1"/>
  <c r="O634" i="1"/>
  <c r="BD634" i="1"/>
  <c r="BC634" i="1"/>
  <c r="P629" i="1"/>
  <c r="AX629" i="1"/>
  <c r="BE629" i="1"/>
  <c r="O645" i="1"/>
  <c r="BC645" i="1"/>
  <c r="BD645" i="1"/>
  <c r="O633" i="1"/>
  <c r="BC633" i="1"/>
  <c r="BD633" i="1"/>
  <c r="O630" i="1"/>
  <c r="BD630" i="1"/>
  <c r="BC630" i="1"/>
  <c r="P628" i="1"/>
  <c r="BE628" i="1"/>
  <c r="AX628" i="1"/>
  <c r="AS655" i="1"/>
  <c r="BB646" i="1"/>
  <c r="AY646" i="1" s="1"/>
  <c r="Q646" i="1" s="1"/>
  <c r="AZ646" i="1"/>
  <c r="BA646" i="1"/>
  <c r="O632" i="1"/>
  <c r="BD632" i="1"/>
  <c r="BC632" i="1"/>
  <c r="O638" i="1"/>
  <c r="BD638" i="1"/>
  <c r="BC638" i="1"/>
  <c r="O640" i="1"/>
  <c r="BC640" i="1"/>
  <c r="BD640" i="1"/>
  <c r="P624" i="1"/>
  <c r="AX624" i="1"/>
  <c r="BE624" i="1"/>
  <c r="P623" i="1"/>
  <c r="AX623" i="1"/>
  <c r="BE623" i="1"/>
  <c r="BE621" i="1"/>
  <c r="O637" i="1"/>
  <c r="BC637" i="1"/>
  <c r="BD637" i="1"/>
  <c r="AS663" i="1"/>
  <c r="BB654" i="1"/>
  <c r="AY654" i="1" s="1"/>
  <c r="Q654" i="1" s="1"/>
  <c r="AZ654" i="1"/>
  <c r="BA654" i="1"/>
  <c r="AS650" i="1"/>
  <c r="BB641" i="1"/>
  <c r="AY641" i="1" s="1"/>
  <c r="Q641" i="1" s="1"/>
  <c r="AZ641" i="1"/>
  <c r="BA641" i="1"/>
  <c r="AS651" i="1"/>
  <c r="BB642" i="1"/>
  <c r="AY642" i="1" s="1"/>
  <c r="Q642" i="1" s="1"/>
  <c r="AZ642" i="1"/>
  <c r="BA642" i="1"/>
  <c r="AS656" i="1"/>
  <c r="BB647" i="1"/>
  <c r="AY647" i="1" s="1"/>
  <c r="Q647" i="1" s="1"/>
  <c r="AZ647" i="1"/>
  <c r="BA647" i="1"/>
  <c r="AS648" i="1"/>
  <c r="BB639" i="1"/>
  <c r="AY639" i="1" s="1"/>
  <c r="Q639" i="1" s="1"/>
  <c r="AZ639" i="1"/>
  <c r="BA639" i="1"/>
  <c r="AS658" i="1"/>
  <c r="BB649" i="1"/>
  <c r="AY649" i="1" s="1"/>
  <c r="Q649" i="1" s="1"/>
  <c r="AZ649" i="1"/>
  <c r="BA649" i="1"/>
  <c r="P631" i="1"/>
  <c r="AX631" i="1"/>
  <c r="BE631" i="1"/>
  <c r="P636" i="1"/>
  <c r="AX636" i="1"/>
  <c r="BE636" i="1"/>
  <c r="AX621" i="1"/>
  <c r="P621" i="1"/>
  <c r="P617" i="1"/>
  <c r="BE617" i="1"/>
  <c r="AX617" i="1"/>
  <c r="O626" i="1"/>
  <c r="BC626" i="1"/>
  <c r="BD626" i="1"/>
  <c r="AS644" i="1"/>
  <c r="AZ635" i="1"/>
  <c r="BB635" i="1"/>
  <c r="AY635" i="1" s="1"/>
  <c r="Q635" i="1" s="1"/>
  <c r="BA635" i="1"/>
  <c r="O643" i="1" l="1"/>
  <c r="BD643" i="1"/>
  <c r="BC643" i="1"/>
  <c r="AS661" i="1"/>
  <c r="AZ652" i="1"/>
  <c r="BB652" i="1"/>
  <c r="AY652" i="1" s="1"/>
  <c r="Q652" i="1" s="1"/>
  <c r="BA652" i="1"/>
  <c r="P634" i="1"/>
  <c r="BE634" i="1"/>
  <c r="AX634" i="1"/>
  <c r="O639" i="1"/>
  <c r="BD639" i="1"/>
  <c r="BC639" i="1"/>
  <c r="AS664" i="1"/>
  <c r="BB655" i="1"/>
  <c r="AY655" i="1" s="1"/>
  <c r="Q655" i="1" s="1"/>
  <c r="AZ655" i="1"/>
  <c r="BA655" i="1"/>
  <c r="P630" i="1"/>
  <c r="AX630" i="1"/>
  <c r="BE630" i="1"/>
  <c r="P633" i="1"/>
  <c r="AX633" i="1"/>
  <c r="BE633" i="1"/>
  <c r="AS667" i="1"/>
  <c r="BB658" i="1"/>
  <c r="AY658" i="1" s="1"/>
  <c r="Q658" i="1" s="1"/>
  <c r="AZ658" i="1"/>
  <c r="BA658" i="1"/>
  <c r="AS657" i="1"/>
  <c r="BB648" i="1"/>
  <c r="AY648" i="1" s="1"/>
  <c r="Q648" i="1" s="1"/>
  <c r="AZ648" i="1"/>
  <c r="BA648" i="1"/>
  <c r="AS665" i="1"/>
  <c r="BB656" i="1"/>
  <c r="AY656" i="1" s="1"/>
  <c r="Q656" i="1" s="1"/>
  <c r="AZ656" i="1"/>
  <c r="BA656" i="1"/>
  <c r="AS660" i="1"/>
  <c r="BB651" i="1"/>
  <c r="AY651" i="1" s="1"/>
  <c r="Q651" i="1" s="1"/>
  <c r="AZ651" i="1"/>
  <c r="BA651" i="1"/>
  <c r="AS659" i="1"/>
  <c r="BB650" i="1"/>
  <c r="AY650" i="1" s="1"/>
  <c r="Q650" i="1" s="1"/>
  <c r="AZ650" i="1"/>
  <c r="BA650" i="1"/>
  <c r="AS672" i="1"/>
  <c r="BB663" i="1"/>
  <c r="AY663" i="1" s="1"/>
  <c r="Q663" i="1" s="1"/>
  <c r="AZ663" i="1"/>
  <c r="BA663" i="1"/>
  <c r="P640" i="1"/>
  <c r="BE640" i="1"/>
  <c r="AX640" i="1"/>
  <c r="O649" i="1"/>
  <c r="BD649" i="1"/>
  <c r="BC649" i="1"/>
  <c r="P632" i="1"/>
  <c r="AX632" i="1"/>
  <c r="BE632" i="1"/>
  <c r="O646" i="1"/>
  <c r="BC646" i="1"/>
  <c r="BD646" i="1"/>
  <c r="O647" i="1"/>
  <c r="BC647" i="1"/>
  <c r="BD647" i="1"/>
  <c r="O642" i="1"/>
  <c r="BC642" i="1"/>
  <c r="BD642" i="1"/>
  <c r="O641" i="1"/>
  <c r="BC641" i="1"/>
  <c r="BD641" i="1"/>
  <c r="O654" i="1"/>
  <c r="BC654" i="1"/>
  <c r="BD654" i="1"/>
  <c r="P637" i="1"/>
  <c r="BE637" i="1"/>
  <c r="AX637" i="1"/>
  <c r="P638" i="1"/>
  <c r="AX638" i="1"/>
  <c r="BE638" i="1"/>
  <c r="P645" i="1"/>
  <c r="BE645" i="1"/>
  <c r="AX645" i="1"/>
  <c r="O635" i="1"/>
  <c r="BD635" i="1"/>
  <c r="BC635" i="1"/>
  <c r="AS653" i="1"/>
  <c r="AZ644" i="1"/>
  <c r="BB644" i="1"/>
  <c r="AY644" i="1" s="1"/>
  <c r="Q644" i="1" s="1"/>
  <c r="BA644" i="1"/>
  <c r="P626" i="1"/>
  <c r="BE626" i="1"/>
  <c r="AX626" i="1"/>
  <c r="AS670" i="1" l="1"/>
  <c r="BB661" i="1"/>
  <c r="AY661" i="1" s="1"/>
  <c r="Q661" i="1" s="1"/>
  <c r="AZ661" i="1"/>
  <c r="BA661" i="1"/>
  <c r="P643" i="1"/>
  <c r="BE643" i="1"/>
  <c r="AX643" i="1"/>
  <c r="O652" i="1"/>
  <c r="BC652" i="1"/>
  <c r="BD652" i="1"/>
  <c r="P654" i="1"/>
  <c r="AX654" i="1"/>
  <c r="BE654" i="1"/>
  <c r="O663" i="1"/>
  <c r="BD663" i="1"/>
  <c r="BC663" i="1"/>
  <c r="O651" i="1"/>
  <c r="BC651" i="1"/>
  <c r="BD651" i="1"/>
  <c r="O648" i="1"/>
  <c r="BD648" i="1"/>
  <c r="BC648" i="1"/>
  <c r="P649" i="1"/>
  <c r="AX649" i="1"/>
  <c r="BE649" i="1"/>
  <c r="P639" i="1"/>
  <c r="BE639" i="1"/>
  <c r="AX639" i="1"/>
  <c r="P646" i="1"/>
  <c r="AX646" i="1"/>
  <c r="BE646" i="1"/>
  <c r="O650" i="1"/>
  <c r="BD650" i="1"/>
  <c r="BC650" i="1"/>
  <c r="O656" i="1"/>
  <c r="BC656" i="1"/>
  <c r="BD656" i="1"/>
  <c r="O658" i="1"/>
  <c r="BC658" i="1"/>
  <c r="BD658" i="1"/>
  <c r="AS673" i="1"/>
  <c r="BB664" i="1"/>
  <c r="AY664" i="1" s="1"/>
  <c r="Q664" i="1" s="1"/>
  <c r="AZ664" i="1"/>
  <c r="BA664" i="1"/>
  <c r="P647" i="1"/>
  <c r="BE647" i="1"/>
  <c r="AX647" i="1"/>
  <c r="P642" i="1"/>
  <c r="AX642" i="1"/>
  <c r="BE642" i="1"/>
  <c r="AS681" i="1"/>
  <c r="BB672" i="1"/>
  <c r="AY672" i="1" s="1"/>
  <c r="Q672" i="1" s="1"/>
  <c r="AZ672" i="1"/>
  <c r="BA672" i="1"/>
  <c r="AS668" i="1"/>
  <c r="BB659" i="1"/>
  <c r="AY659" i="1" s="1"/>
  <c r="Q659" i="1" s="1"/>
  <c r="AZ659" i="1"/>
  <c r="BA659" i="1"/>
  <c r="AS669" i="1"/>
  <c r="BB660" i="1"/>
  <c r="AY660" i="1" s="1"/>
  <c r="Q660" i="1" s="1"/>
  <c r="AZ660" i="1"/>
  <c r="BA660" i="1"/>
  <c r="AS674" i="1"/>
  <c r="BB665" i="1"/>
  <c r="AY665" i="1" s="1"/>
  <c r="Q665" i="1" s="1"/>
  <c r="AZ665" i="1"/>
  <c r="BA665" i="1"/>
  <c r="AS666" i="1"/>
  <c r="BB657" i="1"/>
  <c r="AY657" i="1" s="1"/>
  <c r="Q657" i="1" s="1"/>
  <c r="AZ657" i="1"/>
  <c r="BA657" i="1"/>
  <c r="AS676" i="1"/>
  <c r="BB667" i="1"/>
  <c r="AY667" i="1" s="1"/>
  <c r="Q667" i="1" s="1"/>
  <c r="AZ667" i="1"/>
  <c r="BA667" i="1"/>
  <c r="O655" i="1"/>
  <c r="BD655" i="1"/>
  <c r="BC655" i="1"/>
  <c r="P641" i="1"/>
  <c r="AX641" i="1"/>
  <c r="BE641" i="1"/>
  <c r="P635" i="1"/>
  <c r="AX635" i="1"/>
  <c r="BE635" i="1"/>
  <c r="AS662" i="1"/>
  <c r="AZ653" i="1"/>
  <c r="BB653" i="1"/>
  <c r="AY653" i="1" s="1"/>
  <c r="Q653" i="1" s="1"/>
  <c r="BA653" i="1"/>
  <c r="O644" i="1"/>
  <c r="BC644" i="1"/>
  <c r="BD644" i="1"/>
  <c r="O661" i="1" l="1"/>
  <c r="BD661" i="1"/>
  <c r="BC661" i="1"/>
  <c r="P652" i="1"/>
  <c r="BE652" i="1"/>
  <c r="AX652" i="1"/>
  <c r="AS679" i="1"/>
  <c r="AZ670" i="1"/>
  <c r="BB670" i="1"/>
  <c r="AY670" i="1" s="1"/>
  <c r="Q670" i="1" s="1"/>
  <c r="BA670" i="1"/>
  <c r="P648" i="1"/>
  <c r="BE648" i="1"/>
  <c r="AX648" i="1"/>
  <c r="O667" i="1"/>
  <c r="BD667" i="1"/>
  <c r="BC667" i="1"/>
  <c r="O657" i="1"/>
  <c r="BC657" i="1"/>
  <c r="BD657" i="1"/>
  <c r="O665" i="1"/>
  <c r="BD665" i="1"/>
  <c r="BC665" i="1"/>
  <c r="O660" i="1"/>
  <c r="BD660" i="1"/>
  <c r="BC660" i="1"/>
  <c r="O659" i="1"/>
  <c r="BC659" i="1"/>
  <c r="BD659" i="1"/>
  <c r="O672" i="1"/>
  <c r="BC672" i="1"/>
  <c r="BD672" i="1"/>
  <c r="AS682" i="1"/>
  <c r="BB673" i="1"/>
  <c r="AY673" i="1" s="1"/>
  <c r="Q673" i="1" s="1"/>
  <c r="AZ673" i="1"/>
  <c r="BA673" i="1"/>
  <c r="P656" i="1"/>
  <c r="BE656" i="1"/>
  <c r="AX656" i="1"/>
  <c r="P663" i="1"/>
  <c r="AX663" i="1"/>
  <c r="BE663" i="1"/>
  <c r="P650" i="1"/>
  <c r="BE650" i="1"/>
  <c r="AX650" i="1"/>
  <c r="P651" i="1"/>
  <c r="BE651" i="1"/>
  <c r="AX651" i="1"/>
  <c r="P655" i="1"/>
  <c r="AX655" i="1"/>
  <c r="BE655" i="1"/>
  <c r="AS685" i="1"/>
  <c r="BB676" i="1"/>
  <c r="AY676" i="1" s="1"/>
  <c r="Q676" i="1" s="1"/>
  <c r="AZ676" i="1"/>
  <c r="BA676" i="1"/>
  <c r="AS675" i="1"/>
  <c r="BB666" i="1"/>
  <c r="AY666" i="1" s="1"/>
  <c r="Q666" i="1" s="1"/>
  <c r="AZ666" i="1"/>
  <c r="BA666" i="1"/>
  <c r="AS683" i="1"/>
  <c r="BB674" i="1"/>
  <c r="AY674" i="1" s="1"/>
  <c r="Q674" i="1" s="1"/>
  <c r="AZ674" i="1"/>
  <c r="BA674" i="1"/>
  <c r="AS678" i="1"/>
  <c r="BB669" i="1"/>
  <c r="AY669" i="1" s="1"/>
  <c r="Q669" i="1" s="1"/>
  <c r="AZ669" i="1"/>
  <c r="BA669" i="1"/>
  <c r="AS677" i="1"/>
  <c r="BB668" i="1"/>
  <c r="AY668" i="1" s="1"/>
  <c r="Q668" i="1" s="1"/>
  <c r="AZ668" i="1"/>
  <c r="BA668" i="1"/>
  <c r="AS690" i="1"/>
  <c r="BB681" i="1"/>
  <c r="AY681" i="1" s="1"/>
  <c r="Q681" i="1" s="1"/>
  <c r="AZ681" i="1"/>
  <c r="BA681" i="1"/>
  <c r="O664" i="1"/>
  <c r="BD664" i="1"/>
  <c r="BC664" i="1"/>
  <c r="P658" i="1"/>
  <c r="AX658" i="1"/>
  <c r="BE658" i="1"/>
  <c r="AS671" i="1"/>
  <c r="BB662" i="1"/>
  <c r="AY662" i="1" s="1"/>
  <c r="Q662" i="1" s="1"/>
  <c r="AZ662" i="1"/>
  <c r="BA662" i="1"/>
  <c r="P644" i="1"/>
  <c r="BE644" i="1"/>
  <c r="AX644" i="1"/>
  <c r="O653" i="1"/>
  <c r="BD653" i="1"/>
  <c r="BC653" i="1"/>
  <c r="O670" i="1" l="1"/>
  <c r="BD670" i="1"/>
  <c r="BC670" i="1"/>
  <c r="AS688" i="1"/>
  <c r="AZ679" i="1"/>
  <c r="BB679" i="1"/>
  <c r="AY679" i="1" s="1"/>
  <c r="Q679" i="1" s="1"/>
  <c r="BA679" i="1"/>
  <c r="P661" i="1"/>
  <c r="AX661" i="1"/>
  <c r="BE661" i="1"/>
  <c r="P665" i="1"/>
  <c r="BE665" i="1"/>
  <c r="AX665" i="1"/>
  <c r="O681" i="1"/>
  <c r="BC681" i="1"/>
  <c r="BD681" i="1"/>
  <c r="O669" i="1"/>
  <c r="BC669" i="1"/>
  <c r="BD669" i="1"/>
  <c r="O674" i="1"/>
  <c r="BC674" i="1"/>
  <c r="BD674" i="1"/>
  <c r="O666" i="1"/>
  <c r="BC666" i="1"/>
  <c r="BD666" i="1"/>
  <c r="O676" i="1"/>
  <c r="BD676" i="1"/>
  <c r="BC676" i="1"/>
  <c r="P660" i="1"/>
  <c r="AX660" i="1"/>
  <c r="BE660" i="1"/>
  <c r="O673" i="1"/>
  <c r="BC673" i="1"/>
  <c r="BD673" i="1"/>
  <c r="P664" i="1"/>
  <c r="AX664" i="1"/>
  <c r="BE664" i="1"/>
  <c r="AS691" i="1"/>
  <c r="BB682" i="1"/>
  <c r="AY682" i="1" s="1"/>
  <c r="Q682" i="1" s="1"/>
  <c r="AZ682" i="1"/>
  <c r="BA682" i="1"/>
  <c r="P667" i="1"/>
  <c r="AX667" i="1"/>
  <c r="BE667" i="1"/>
  <c r="P672" i="1"/>
  <c r="AX672" i="1"/>
  <c r="BE672" i="1"/>
  <c r="P657" i="1"/>
  <c r="AX657" i="1"/>
  <c r="BE657" i="1"/>
  <c r="O668" i="1"/>
  <c r="BC668" i="1"/>
  <c r="BD668" i="1"/>
  <c r="AS699" i="1"/>
  <c r="BB690" i="1"/>
  <c r="AY690" i="1" s="1"/>
  <c r="Q690" i="1" s="1"/>
  <c r="AZ690" i="1"/>
  <c r="BA690" i="1"/>
  <c r="AS686" i="1"/>
  <c r="BB677" i="1"/>
  <c r="AY677" i="1" s="1"/>
  <c r="Q677" i="1" s="1"/>
  <c r="AZ677" i="1"/>
  <c r="BA677" i="1"/>
  <c r="AS687" i="1"/>
  <c r="BB678" i="1"/>
  <c r="AY678" i="1" s="1"/>
  <c r="Q678" i="1" s="1"/>
  <c r="AZ678" i="1"/>
  <c r="BA678" i="1"/>
  <c r="AS692" i="1"/>
  <c r="BB683" i="1"/>
  <c r="AY683" i="1" s="1"/>
  <c r="Q683" i="1" s="1"/>
  <c r="AZ683" i="1"/>
  <c r="BA683" i="1"/>
  <c r="AS684" i="1"/>
  <c r="BB675" i="1"/>
  <c r="AY675" i="1" s="1"/>
  <c r="Q675" i="1" s="1"/>
  <c r="AZ675" i="1"/>
  <c r="BA675" i="1"/>
  <c r="AS694" i="1"/>
  <c r="BB685" i="1"/>
  <c r="AY685" i="1" s="1"/>
  <c r="Q685" i="1" s="1"/>
  <c r="AZ685" i="1"/>
  <c r="BA685" i="1"/>
  <c r="P659" i="1"/>
  <c r="BE659" i="1"/>
  <c r="AX659" i="1"/>
  <c r="O662" i="1"/>
  <c r="BD662" i="1"/>
  <c r="BC662" i="1"/>
  <c r="P653" i="1"/>
  <c r="AX653" i="1"/>
  <c r="BE653" i="1"/>
  <c r="AS680" i="1"/>
  <c r="AZ671" i="1"/>
  <c r="BB671" i="1"/>
  <c r="AY671" i="1" s="1"/>
  <c r="Q671" i="1" s="1"/>
  <c r="BA671" i="1"/>
  <c r="AS697" i="1" l="1"/>
  <c r="AZ688" i="1"/>
  <c r="BB688" i="1"/>
  <c r="AY688" i="1" s="1"/>
  <c r="Q688" i="1" s="1"/>
  <c r="BA688" i="1"/>
  <c r="O679" i="1"/>
  <c r="BD679" i="1"/>
  <c r="BC679" i="1"/>
  <c r="P670" i="1"/>
  <c r="BE670" i="1"/>
  <c r="AX670" i="1"/>
  <c r="AS701" i="1"/>
  <c r="BB692" i="1"/>
  <c r="AY692" i="1" s="1"/>
  <c r="Q692" i="1" s="1"/>
  <c r="AZ692" i="1"/>
  <c r="BA692" i="1"/>
  <c r="P669" i="1"/>
  <c r="AX669" i="1"/>
  <c r="BE669" i="1"/>
  <c r="P673" i="1"/>
  <c r="BE673" i="1"/>
  <c r="AX673" i="1"/>
  <c r="P674" i="1"/>
  <c r="AX674" i="1"/>
  <c r="BE674" i="1"/>
  <c r="AS703" i="1"/>
  <c r="BB694" i="1"/>
  <c r="AY694" i="1" s="1"/>
  <c r="Q694" i="1" s="1"/>
  <c r="AZ694" i="1"/>
  <c r="BA694" i="1"/>
  <c r="AS693" i="1"/>
  <c r="BB684" i="1"/>
  <c r="AY684" i="1" s="1"/>
  <c r="Q684" i="1" s="1"/>
  <c r="AZ684" i="1"/>
  <c r="BA684" i="1"/>
  <c r="AS696" i="1"/>
  <c r="BB687" i="1"/>
  <c r="AY687" i="1" s="1"/>
  <c r="Q687" i="1" s="1"/>
  <c r="AZ687" i="1"/>
  <c r="BA687" i="1"/>
  <c r="AS695" i="1"/>
  <c r="BB686" i="1"/>
  <c r="AY686" i="1" s="1"/>
  <c r="Q686" i="1" s="1"/>
  <c r="AZ686" i="1"/>
  <c r="BA686" i="1"/>
  <c r="AS708" i="1"/>
  <c r="BB699" i="1"/>
  <c r="AY699" i="1" s="1"/>
  <c r="Q699" i="1" s="1"/>
  <c r="AZ699" i="1"/>
  <c r="BA699" i="1"/>
  <c r="AS700" i="1"/>
  <c r="BB691" i="1"/>
  <c r="AY691" i="1" s="1"/>
  <c r="Q691" i="1" s="1"/>
  <c r="AZ691" i="1"/>
  <c r="BA691" i="1"/>
  <c r="O685" i="1"/>
  <c r="BC685" i="1"/>
  <c r="BD685" i="1"/>
  <c r="O675" i="1"/>
  <c r="BD675" i="1"/>
  <c r="BC675" i="1"/>
  <c r="O683" i="1"/>
  <c r="BC683" i="1"/>
  <c r="BD683" i="1"/>
  <c r="O678" i="1"/>
  <c r="BC678" i="1"/>
  <c r="BD678" i="1"/>
  <c r="O677" i="1"/>
  <c r="BC677" i="1"/>
  <c r="BD677" i="1"/>
  <c r="O690" i="1"/>
  <c r="BC690" i="1"/>
  <c r="BD690" i="1"/>
  <c r="P668" i="1"/>
  <c r="AX668" i="1"/>
  <c r="BE668" i="1"/>
  <c r="O682" i="1"/>
  <c r="BC682" i="1"/>
  <c r="BD682" i="1"/>
  <c r="P676" i="1"/>
  <c r="AX676" i="1"/>
  <c r="BE676" i="1"/>
  <c r="P666" i="1"/>
  <c r="AX666" i="1"/>
  <c r="BE666" i="1"/>
  <c r="P681" i="1"/>
  <c r="BE681" i="1"/>
  <c r="AX681" i="1"/>
  <c r="O671" i="1"/>
  <c r="BC671" i="1"/>
  <c r="BD671" i="1"/>
  <c r="AS689" i="1"/>
  <c r="AZ680" i="1"/>
  <c r="BB680" i="1"/>
  <c r="AY680" i="1" s="1"/>
  <c r="Q680" i="1" s="1"/>
  <c r="BA680" i="1"/>
  <c r="P662" i="1"/>
  <c r="AX662" i="1"/>
  <c r="BE662" i="1"/>
  <c r="P679" i="1" l="1"/>
  <c r="BE679" i="1"/>
  <c r="AX679" i="1"/>
  <c r="O688" i="1"/>
  <c r="BD688" i="1"/>
  <c r="BC688" i="1"/>
  <c r="AS706" i="1"/>
  <c r="BB697" i="1"/>
  <c r="AY697" i="1" s="1"/>
  <c r="Q697" i="1" s="1"/>
  <c r="AZ697" i="1"/>
  <c r="BA697" i="1"/>
  <c r="P678" i="1"/>
  <c r="AX678" i="1"/>
  <c r="BE678" i="1"/>
  <c r="O699" i="1"/>
  <c r="BC699" i="1"/>
  <c r="BD699" i="1"/>
  <c r="O687" i="1"/>
  <c r="BC687" i="1"/>
  <c r="BD687" i="1"/>
  <c r="O694" i="1"/>
  <c r="BC694" i="1"/>
  <c r="BD694" i="1"/>
  <c r="P677" i="1"/>
  <c r="AX677" i="1"/>
  <c r="BE677" i="1"/>
  <c r="P685" i="1"/>
  <c r="BE685" i="1"/>
  <c r="AX685" i="1"/>
  <c r="O692" i="1"/>
  <c r="BD692" i="1"/>
  <c r="BC692" i="1"/>
  <c r="P682" i="1"/>
  <c r="AX682" i="1"/>
  <c r="BE682" i="1"/>
  <c r="O691" i="1"/>
  <c r="BC691" i="1"/>
  <c r="BD691" i="1"/>
  <c r="O686" i="1"/>
  <c r="BC686" i="1"/>
  <c r="BD686" i="1"/>
  <c r="O684" i="1"/>
  <c r="BD684" i="1"/>
  <c r="BC684" i="1"/>
  <c r="P675" i="1"/>
  <c r="BE675" i="1"/>
  <c r="AX675" i="1"/>
  <c r="P690" i="1"/>
  <c r="AX690" i="1"/>
  <c r="BE690" i="1"/>
  <c r="AS709" i="1"/>
  <c r="BB700" i="1"/>
  <c r="AY700" i="1" s="1"/>
  <c r="Q700" i="1" s="1"/>
  <c r="AZ700" i="1"/>
  <c r="BA700" i="1"/>
  <c r="AS717" i="1"/>
  <c r="BB708" i="1"/>
  <c r="AY708" i="1" s="1"/>
  <c r="Q708" i="1" s="1"/>
  <c r="AZ708" i="1"/>
  <c r="BA708" i="1"/>
  <c r="AS704" i="1"/>
  <c r="BB695" i="1"/>
  <c r="AY695" i="1" s="1"/>
  <c r="Q695" i="1" s="1"/>
  <c r="AZ695" i="1"/>
  <c r="BA695" i="1"/>
  <c r="AS705" i="1"/>
  <c r="BB696" i="1"/>
  <c r="AY696" i="1" s="1"/>
  <c r="Q696" i="1" s="1"/>
  <c r="AZ696" i="1"/>
  <c r="BA696" i="1"/>
  <c r="AS702" i="1"/>
  <c r="BB693" i="1"/>
  <c r="AY693" i="1" s="1"/>
  <c r="Q693" i="1" s="1"/>
  <c r="AZ693" i="1"/>
  <c r="BA693" i="1"/>
  <c r="AS712" i="1"/>
  <c r="BB703" i="1"/>
  <c r="AY703" i="1" s="1"/>
  <c r="Q703" i="1" s="1"/>
  <c r="AZ703" i="1"/>
  <c r="BA703" i="1"/>
  <c r="P683" i="1"/>
  <c r="AX683" i="1"/>
  <c r="BE683" i="1"/>
  <c r="AS710" i="1"/>
  <c r="BB701" i="1"/>
  <c r="AY701" i="1" s="1"/>
  <c r="Q701" i="1" s="1"/>
  <c r="AZ701" i="1"/>
  <c r="BA701" i="1"/>
  <c r="AS698" i="1"/>
  <c r="AZ689" i="1"/>
  <c r="BB689" i="1"/>
  <c r="AY689" i="1" s="1"/>
  <c r="Q689" i="1" s="1"/>
  <c r="BA689" i="1"/>
  <c r="P671" i="1"/>
  <c r="BE671" i="1"/>
  <c r="AX671" i="1"/>
  <c r="O680" i="1"/>
  <c r="BD680" i="1"/>
  <c r="BC680" i="1"/>
  <c r="AS715" i="1" l="1"/>
  <c r="AZ706" i="1"/>
  <c r="BB706" i="1"/>
  <c r="AY706" i="1" s="1"/>
  <c r="Q706" i="1" s="1"/>
  <c r="BA706" i="1"/>
  <c r="P688" i="1"/>
  <c r="BE688" i="1"/>
  <c r="AX688" i="1"/>
  <c r="O697" i="1"/>
  <c r="BC697" i="1"/>
  <c r="BD697" i="1"/>
  <c r="O701" i="1"/>
  <c r="BC701" i="1"/>
  <c r="BD701" i="1"/>
  <c r="AS711" i="1"/>
  <c r="BB702" i="1"/>
  <c r="AY702" i="1" s="1"/>
  <c r="Q702" i="1" s="1"/>
  <c r="AZ702" i="1"/>
  <c r="BA702" i="1"/>
  <c r="AS713" i="1"/>
  <c r="BB704" i="1"/>
  <c r="AY704" i="1" s="1"/>
  <c r="Q704" i="1" s="1"/>
  <c r="AZ704" i="1"/>
  <c r="BA704" i="1"/>
  <c r="P687" i="1"/>
  <c r="BE687" i="1"/>
  <c r="AX687" i="1"/>
  <c r="AS719" i="1"/>
  <c r="BB710" i="1"/>
  <c r="AY710" i="1" s="1"/>
  <c r="Q710" i="1" s="1"/>
  <c r="AZ710" i="1"/>
  <c r="BA710" i="1"/>
  <c r="P694" i="1"/>
  <c r="BE694" i="1"/>
  <c r="AX694" i="1"/>
  <c r="AS721" i="1"/>
  <c r="BB712" i="1"/>
  <c r="AY712" i="1" s="1"/>
  <c r="Q712" i="1" s="1"/>
  <c r="AZ712" i="1"/>
  <c r="BA712" i="1"/>
  <c r="AS714" i="1"/>
  <c r="BB705" i="1"/>
  <c r="AY705" i="1" s="1"/>
  <c r="Q705" i="1" s="1"/>
  <c r="AZ705" i="1"/>
  <c r="BA705" i="1"/>
  <c r="AS726" i="1"/>
  <c r="BB717" i="1"/>
  <c r="AY717" i="1" s="1"/>
  <c r="Q717" i="1" s="1"/>
  <c r="AZ717" i="1"/>
  <c r="BA717" i="1"/>
  <c r="AS718" i="1"/>
  <c r="BB709" i="1"/>
  <c r="AY709" i="1" s="1"/>
  <c r="Q709" i="1" s="1"/>
  <c r="AZ709" i="1"/>
  <c r="BA709" i="1"/>
  <c r="O703" i="1"/>
  <c r="BC703" i="1"/>
  <c r="BD703" i="1"/>
  <c r="O693" i="1"/>
  <c r="BC693" i="1"/>
  <c r="BD693" i="1"/>
  <c r="O696" i="1"/>
  <c r="BD696" i="1"/>
  <c r="BC696" i="1"/>
  <c r="O695" i="1"/>
  <c r="BD695" i="1"/>
  <c r="BC695" i="1"/>
  <c r="O708" i="1"/>
  <c r="BC708" i="1"/>
  <c r="BD708" i="1"/>
  <c r="O700" i="1"/>
  <c r="BD700" i="1"/>
  <c r="BC700" i="1"/>
  <c r="P691" i="1"/>
  <c r="BE691" i="1"/>
  <c r="AX691" i="1"/>
  <c r="P684" i="1"/>
  <c r="AX684" i="1"/>
  <c r="BE684" i="1"/>
  <c r="P686" i="1"/>
  <c r="AX686" i="1"/>
  <c r="BE686" i="1"/>
  <c r="P692" i="1"/>
  <c r="BE692" i="1"/>
  <c r="AX692" i="1"/>
  <c r="P699" i="1"/>
  <c r="AX699" i="1"/>
  <c r="BE699" i="1"/>
  <c r="P680" i="1"/>
  <c r="BE680" i="1"/>
  <c r="AX680" i="1"/>
  <c r="O689" i="1"/>
  <c r="BD689" i="1"/>
  <c r="BC689" i="1"/>
  <c r="AS707" i="1"/>
  <c r="BB698" i="1"/>
  <c r="AY698" i="1" s="1"/>
  <c r="Q698" i="1" s="1"/>
  <c r="AZ698" i="1"/>
  <c r="BA698" i="1"/>
  <c r="P697" i="1" l="1"/>
  <c r="AX697" i="1"/>
  <c r="BE697" i="1"/>
  <c r="O706" i="1"/>
  <c r="BC706" i="1"/>
  <c r="BD706" i="1"/>
  <c r="AS724" i="1"/>
  <c r="AZ715" i="1"/>
  <c r="BB715" i="1"/>
  <c r="AY715" i="1" s="1"/>
  <c r="Q715" i="1" s="1"/>
  <c r="BA715" i="1"/>
  <c r="P695" i="1"/>
  <c r="BE695" i="1"/>
  <c r="AX695" i="1"/>
  <c r="O709" i="1"/>
  <c r="BC709" i="1"/>
  <c r="BD709" i="1"/>
  <c r="O705" i="1"/>
  <c r="BD705" i="1"/>
  <c r="BC705" i="1"/>
  <c r="AS722" i="1"/>
  <c r="BB713" i="1"/>
  <c r="AY713" i="1" s="1"/>
  <c r="Q713" i="1" s="1"/>
  <c r="AZ713" i="1"/>
  <c r="BA713" i="1"/>
  <c r="P708" i="1"/>
  <c r="BE708" i="1"/>
  <c r="AX708" i="1"/>
  <c r="P703" i="1"/>
  <c r="AX703" i="1"/>
  <c r="BE703" i="1"/>
  <c r="AS728" i="1"/>
  <c r="BB719" i="1"/>
  <c r="AY719" i="1" s="1"/>
  <c r="Q719" i="1" s="1"/>
  <c r="AZ719" i="1"/>
  <c r="BA719" i="1"/>
  <c r="O717" i="1"/>
  <c r="BD717" i="1"/>
  <c r="BC717" i="1"/>
  <c r="O712" i="1"/>
  <c r="BC712" i="1"/>
  <c r="BD712" i="1"/>
  <c r="AS720" i="1"/>
  <c r="BB711" i="1"/>
  <c r="AY711" i="1" s="1"/>
  <c r="Q711" i="1" s="1"/>
  <c r="AZ711" i="1"/>
  <c r="BA711" i="1"/>
  <c r="P700" i="1"/>
  <c r="AX700" i="1"/>
  <c r="BE700" i="1"/>
  <c r="P696" i="1"/>
  <c r="AX696" i="1"/>
  <c r="BE696" i="1"/>
  <c r="P693" i="1"/>
  <c r="AX693" i="1"/>
  <c r="BE693" i="1"/>
  <c r="AS727" i="1"/>
  <c r="BB718" i="1"/>
  <c r="AY718" i="1" s="1"/>
  <c r="Q718" i="1" s="1"/>
  <c r="AZ718" i="1"/>
  <c r="BA718" i="1"/>
  <c r="AS735" i="1"/>
  <c r="BB726" i="1"/>
  <c r="AY726" i="1" s="1"/>
  <c r="Q726" i="1" s="1"/>
  <c r="AZ726" i="1"/>
  <c r="BA726" i="1"/>
  <c r="AS723" i="1"/>
  <c r="BB714" i="1"/>
  <c r="AY714" i="1" s="1"/>
  <c r="Q714" i="1" s="1"/>
  <c r="AZ714" i="1"/>
  <c r="BA714" i="1"/>
  <c r="AS730" i="1"/>
  <c r="BB721" i="1"/>
  <c r="AY721" i="1" s="1"/>
  <c r="Q721" i="1" s="1"/>
  <c r="AZ721" i="1"/>
  <c r="BA721" i="1"/>
  <c r="O704" i="1"/>
  <c r="BD704" i="1"/>
  <c r="BC704" i="1"/>
  <c r="O702" i="1"/>
  <c r="BC702" i="1"/>
  <c r="BD702" i="1"/>
  <c r="P701" i="1"/>
  <c r="AX701" i="1"/>
  <c r="BE701" i="1"/>
  <c r="O710" i="1"/>
  <c r="BC710" i="1"/>
  <c r="BD710" i="1"/>
  <c r="AS716" i="1"/>
  <c r="AZ707" i="1"/>
  <c r="BB707" i="1"/>
  <c r="AY707" i="1" s="1"/>
  <c r="Q707" i="1" s="1"/>
  <c r="BA707" i="1"/>
  <c r="P689" i="1"/>
  <c r="AX689" i="1"/>
  <c r="BE689" i="1"/>
  <c r="O698" i="1"/>
  <c r="BD698" i="1"/>
  <c r="BC698" i="1"/>
  <c r="O715" i="1" l="1"/>
  <c r="BC715" i="1"/>
  <c r="BD715" i="1"/>
  <c r="AS733" i="1"/>
  <c r="AZ724" i="1"/>
  <c r="BB724" i="1"/>
  <c r="AY724" i="1" s="1"/>
  <c r="Q724" i="1" s="1"/>
  <c r="BA724" i="1"/>
  <c r="P706" i="1"/>
  <c r="BE706" i="1"/>
  <c r="AX706" i="1"/>
  <c r="P704" i="1"/>
  <c r="BE704" i="1"/>
  <c r="AX704" i="1"/>
  <c r="O711" i="1"/>
  <c r="BD711" i="1"/>
  <c r="BC711" i="1"/>
  <c r="P712" i="1"/>
  <c r="BE712" i="1"/>
  <c r="AX712" i="1"/>
  <c r="AS737" i="1"/>
  <c r="BB728" i="1"/>
  <c r="AY728" i="1" s="1"/>
  <c r="Q728" i="1" s="1"/>
  <c r="AZ728" i="1"/>
  <c r="BA728" i="1"/>
  <c r="AS732" i="1"/>
  <c r="BB723" i="1"/>
  <c r="AY723" i="1" s="1"/>
  <c r="Q723" i="1" s="1"/>
  <c r="AZ723" i="1"/>
  <c r="BA723" i="1"/>
  <c r="AS744" i="1"/>
  <c r="BB735" i="1"/>
  <c r="AY735" i="1" s="1"/>
  <c r="Q735" i="1" s="1"/>
  <c r="AZ735" i="1"/>
  <c r="BA735" i="1"/>
  <c r="AS736" i="1"/>
  <c r="BB727" i="1"/>
  <c r="AY727" i="1" s="1"/>
  <c r="Q727" i="1" s="1"/>
  <c r="AZ727" i="1"/>
  <c r="BA727" i="1"/>
  <c r="P710" i="1"/>
  <c r="BE710" i="1"/>
  <c r="AX710" i="1"/>
  <c r="O713" i="1"/>
  <c r="BD713" i="1"/>
  <c r="BC713" i="1"/>
  <c r="P702" i="1"/>
  <c r="BE702" i="1"/>
  <c r="AX702" i="1"/>
  <c r="AS739" i="1"/>
  <c r="BB730" i="1"/>
  <c r="AY730" i="1" s="1"/>
  <c r="Q730" i="1" s="1"/>
  <c r="AZ730" i="1"/>
  <c r="BA730" i="1"/>
  <c r="AS729" i="1"/>
  <c r="BB720" i="1"/>
  <c r="AY720" i="1" s="1"/>
  <c r="Q720" i="1" s="1"/>
  <c r="AZ720" i="1"/>
  <c r="BA720" i="1"/>
  <c r="P717" i="1"/>
  <c r="AX717" i="1"/>
  <c r="BE717" i="1"/>
  <c r="O719" i="1"/>
  <c r="BC719" i="1"/>
  <c r="BD719" i="1"/>
  <c r="AS731" i="1"/>
  <c r="BB722" i="1"/>
  <c r="AY722" i="1" s="1"/>
  <c r="Q722" i="1" s="1"/>
  <c r="AZ722" i="1"/>
  <c r="BA722" i="1"/>
  <c r="O721" i="1"/>
  <c r="BC721" i="1"/>
  <c r="BD721" i="1"/>
  <c r="O714" i="1"/>
  <c r="BD714" i="1"/>
  <c r="BC714" i="1"/>
  <c r="O726" i="1"/>
  <c r="BC726" i="1"/>
  <c r="BD726" i="1"/>
  <c r="O718" i="1"/>
  <c r="BD718" i="1"/>
  <c r="BC718" i="1"/>
  <c r="P705" i="1"/>
  <c r="BE705" i="1"/>
  <c r="AX705" i="1"/>
  <c r="P709" i="1"/>
  <c r="BE709" i="1"/>
  <c r="AX709" i="1"/>
  <c r="P698" i="1"/>
  <c r="BE698" i="1"/>
  <c r="AX698" i="1"/>
  <c r="O707" i="1"/>
  <c r="BC707" i="1"/>
  <c r="BD707" i="1"/>
  <c r="AS725" i="1"/>
  <c r="AZ716" i="1"/>
  <c r="BB716" i="1"/>
  <c r="AY716" i="1" s="1"/>
  <c r="Q716" i="1" s="1"/>
  <c r="BA716" i="1"/>
  <c r="AS742" i="1" l="1"/>
  <c r="BB733" i="1"/>
  <c r="AY733" i="1" s="1"/>
  <c r="Q733" i="1" s="1"/>
  <c r="AZ733" i="1"/>
  <c r="BA733" i="1"/>
  <c r="P715" i="1"/>
  <c r="AX715" i="1"/>
  <c r="BE715" i="1"/>
  <c r="O724" i="1"/>
  <c r="BD724" i="1"/>
  <c r="BC724" i="1"/>
  <c r="P718" i="1"/>
  <c r="AX718" i="1"/>
  <c r="BE718" i="1"/>
  <c r="O727" i="1"/>
  <c r="BD727" i="1"/>
  <c r="BC727" i="1"/>
  <c r="O728" i="1"/>
  <c r="BD728" i="1"/>
  <c r="BC728" i="1"/>
  <c r="O735" i="1"/>
  <c r="BC735" i="1"/>
  <c r="BD735" i="1"/>
  <c r="O723" i="1"/>
  <c r="BD723" i="1"/>
  <c r="BC723" i="1"/>
  <c r="O722" i="1"/>
  <c r="BC722" i="1"/>
  <c r="BD722" i="1"/>
  <c r="P719" i="1"/>
  <c r="BE719" i="1"/>
  <c r="AX719" i="1"/>
  <c r="AS738" i="1"/>
  <c r="BB729" i="1"/>
  <c r="AY729" i="1" s="1"/>
  <c r="Q729" i="1" s="1"/>
  <c r="AZ729" i="1"/>
  <c r="BA729" i="1"/>
  <c r="AS748" i="1"/>
  <c r="BB739" i="1"/>
  <c r="AY739" i="1" s="1"/>
  <c r="Q739" i="1" s="1"/>
  <c r="AZ739" i="1"/>
  <c r="BA739" i="1"/>
  <c r="P713" i="1"/>
  <c r="AX713" i="1"/>
  <c r="BE713" i="1"/>
  <c r="P714" i="1"/>
  <c r="AX714" i="1"/>
  <c r="BE714" i="1"/>
  <c r="P721" i="1"/>
  <c r="BE721" i="1"/>
  <c r="AX721" i="1"/>
  <c r="AS745" i="1"/>
  <c r="BB736" i="1"/>
  <c r="AY736" i="1" s="1"/>
  <c r="Q736" i="1" s="1"/>
  <c r="AZ736" i="1"/>
  <c r="BA736" i="1"/>
  <c r="AS753" i="1"/>
  <c r="BB744" i="1"/>
  <c r="AY744" i="1" s="1"/>
  <c r="Q744" i="1" s="1"/>
  <c r="AZ744" i="1"/>
  <c r="BA744" i="1"/>
  <c r="AS741" i="1"/>
  <c r="BB732" i="1"/>
  <c r="AY732" i="1" s="1"/>
  <c r="Q732" i="1" s="1"/>
  <c r="AZ732" i="1"/>
  <c r="BA732" i="1"/>
  <c r="AS746" i="1"/>
  <c r="BB737" i="1"/>
  <c r="AY737" i="1" s="1"/>
  <c r="Q737" i="1" s="1"/>
  <c r="AZ737" i="1"/>
  <c r="BA737" i="1"/>
  <c r="P711" i="1"/>
  <c r="AX711" i="1"/>
  <c r="BE711" i="1"/>
  <c r="P726" i="1"/>
  <c r="AX726" i="1"/>
  <c r="BE726" i="1"/>
  <c r="AS740" i="1"/>
  <c r="BB731" i="1"/>
  <c r="AY731" i="1" s="1"/>
  <c r="Q731" i="1" s="1"/>
  <c r="AZ731" i="1"/>
  <c r="BA731" i="1"/>
  <c r="O720" i="1"/>
  <c r="BD720" i="1"/>
  <c r="BC720" i="1"/>
  <c r="O730" i="1"/>
  <c r="BD730" i="1"/>
  <c r="BC730" i="1"/>
  <c r="AS734" i="1"/>
  <c r="AZ725" i="1"/>
  <c r="BB725" i="1"/>
  <c r="AY725" i="1" s="1"/>
  <c r="Q725" i="1" s="1"/>
  <c r="BA725" i="1"/>
  <c r="O716" i="1"/>
  <c r="BC716" i="1"/>
  <c r="BD716" i="1"/>
  <c r="P707" i="1"/>
  <c r="AX707" i="1"/>
  <c r="BE707" i="1"/>
  <c r="O733" i="1" l="1"/>
  <c r="BD733" i="1"/>
  <c r="BC733" i="1"/>
  <c r="P724" i="1"/>
  <c r="BE724" i="1"/>
  <c r="AX724" i="1"/>
  <c r="AS751" i="1"/>
  <c r="AZ742" i="1"/>
  <c r="BB742" i="1"/>
  <c r="AY742" i="1" s="1"/>
  <c r="Q742" i="1" s="1"/>
  <c r="BA742" i="1"/>
  <c r="O729" i="1"/>
  <c r="BC729" i="1"/>
  <c r="BD729" i="1"/>
  <c r="P720" i="1"/>
  <c r="AX720" i="1"/>
  <c r="BE720" i="1"/>
  <c r="AS755" i="1"/>
  <c r="BB746" i="1"/>
  <c r="AY746" i="1" s="1"/>
  <c r="Q746" i="1" s="1"/>
  <c r="AZ746" i="1"/>
  <c r="BA746" i="1"/>
  <c r="AS750" i="1"/>
  <c r="BB741" i="1"/>
  <c r="AY741" i="1" s="1"/>
  <c r="Q741" i="1" s="1"/>
  <c r="AZ741" i="1"/>
  <c r="BA741" i="1"/>
  <c r="AS762" i="1"/>
  <c r="BB753" i="1"/>
  <c r="AY753" i="1" s="1"/>
  <c r="Q753" i="1" s="1"/>
  <c r="AZ753" i="1"/>
  <c r="BA753" i="1"/>
  <c r="AS754" i="1"/>
  <c r="BB745" i="1"/>
  <c r="AY745" i="1" s="1"/>
  <c r="Q745" i="1" s="1"/>
  <c r="AZ745" i="1"/>
  <c r="BA745" i="1"/>
  <c r="P723" i="1"/>
  <c r="AX723" i="1"/>
  <c r="BE723" i="1"/>
  <c r="P735" i="1"/>
  <c r="AX735" i="1"/>
  <c r="BE735" i="1"/>
  <c r="O739" i="1"/>
  <c r="BC739" i="1"/>
  <c r="BD739" i="1"/>
  <c r="O731" i="1"/>
  <c r="BC731" i="1"/>
  <c r="BD731" i="1"/>
  <c r="P730" i="1"/>
  <c r="AX730" i="1"/>
  <c r="BE730" i="1"/>
  <c r="AS757" i="1"/>
  <c r="BB748" i="1"/>
  <c r="AY748" i="1" s="1"/>
  <c r="Q748" i="1" s="1"/>
  <c r="AZ748" i="1"/>
  <c r="BA748" i="1"/>
  <c r="AS747" i="1"/>
  <c r="BB738" i="1"/>
  <c r="AY738" i="1" s="1"/>
  <c r="Q738" i="1" s="1"/>
  <c r="AZ738" i="1"/>
  <c r="BA738" i="1"/>
  <c r="P727" i="1"/>
  <c r="AX727" i="1"/>
  <c r="BE727" i="1"/>
  <c r="AS749" i="1"/>
  <c r="BB740" i="1"/>
  <c r="AY740" i="1" s="1"/>
  <c r="Q740" i="1" s="1"/>
  <c r="AZ740" i="1"/>
  <c r="BA740" i="1"/>
  <c r="O737" i="1"/>
  <c r="BD737" i="1"/>
  <c r="BC737" i="1"/>
  <c r="O732" i="1"/>
  <c r="BC732" i="1"/>
  <c r="BD732" i="1"/>
  <c r="O744" i="1"/>
  <c r="BD744" i="1"/>
  <c r="BC744" i="1"/>
  <c r="O736" i="1"/>
  <c r="BD736" i="1"/>
  <c r="BC736" i="1"/>
  <c r="P722" i="1"/>
  <c r="AX722" i="1"/>
  <c r="BE722" i="1"/>
  <c r="P728" i="1"/>
  <c r="AX728" i="1"/>
  <c r="BE728" i="1"/>
  <c r="O725" i="1"/>
  <c r="BD725" i="1"/>
  <c r="BC725" i="1"/>
  <c r="P716" i="1"/>
  <c r="BE716" i="1"/>
  <c r="AX716" i="1"/>
  <c r="AS743" i="1"/>
  <c r="BB734" i="1"/>
  <c r="AY734" i="1" s="1"/>
  <c r="Q734" i="1" s="1"/>
  <c r="AZ734" i="1"/>
  <c r="BA734" i="1"/>
  <c r="O742" i="1" l="1"/>
  <c r="BD742" i="1"/>
  <c r="BC742" i="1"/>
  <c r="AS760" i="1"/>
  <c r="AZ751" i="1"/>
  <c r="BB751" i="1"/>
  <c r="AY751" i="1" s="1"/>
  <c r="Q751" i="1" s="1"/>
  <c r="BA751" i="1"/>
  <c r="P733" i="1"/>
  <c r="BE733" i="1"/>
  <c r="AX733" i="1"/>
  <c r="P736" i="1"/>
  <c r="AX736" i="1"/>
  <c r="BE736" i="1"/>
  <c r="O738" i="1"/>
  <c r="BD738" i="1"/>
  <c r="BC738" i="1"/>
  <c r="P737" i="1"/>
  <c r="BE737" i="1"/>
  <c r="AX737" i="1"/>
  <c r="O740" i="1"/>
  <c r="BC740" i="1"/>
  <c r="BD740" i="1"/>
  <c r="AS763" i="1"/>
  <c r="BB754" i="1"/>
  <c r="AY754" i="1" s="1"/>
  <c r="Q754" i="1" s="1"/>
  <c r="AZ754" i="1"/>
  <c r="BA754" i="1"/>
  <c r="AS771" i="1"/>
  <c r="BB762" i="1"/>
  <c r="AY762" i="1" s="1"/>
  <c r="Q762" i="1" s="1"/>
  <c r="AZ762" i="1"/>
  <c r="BA762" i="1"/>
  <c r="AS759" i="1"/>
  <c r="BB750" i="1"/>
  <c r="AY750" i="1" s="1"/>
  <c r="Q750" i="1" s="1"/>
  <c r="AZ750" i="1"/>
  <c r="BA750" i="1"/>
  <c r="AS764" i="1"/>
  <c r="BB755" i="1"/>
  <c r="AY755" i="1" s="1"/>
  <c r="Q755" i="1" s="1"/>
  <c r="AZ755" i="1"/>
  <c r="BA755" i="1"/>
  <c r="O748" i="1"/>
  <c r="BD748" i="1"/>
  <c r="BC748" i="1"/>
  <c r="AS756" i="1"/>
  <c r="BB747" i="1"/>
  <c r="AY747" i="1" s="1"/>
  <c r="Q747" i="1" s="1"/>
  <c r="AZ747" i="1"/>
  <c r="BA747" i="1"/>
  <c r="AS766" i="1"/>
  <c r="BB757" i="1"/>
  <c r="AY757" i="1" s="1"/>
  <c r="Q757" i="1" s="1"/>
  <c r="AZ757" i="1"/>
  <c r="BA757" i="1"/>
  <c r="P739" i="1"/>
  <c r="BE739" i="1"/>
  <c r="AX739" i="1"/>
  <c r="P729" i="1"/>
  <c r="BE729" i="1"/>
  <c r="AX729" i="1"/>
  <c r="P744" i="1"/>
  <c r="BE744" i="1"/>
  <c r="AX744" i="1"/>
  <c r="P732" i="1"/>
  <c r="AX732" i="1"/>
  <c r="BE732" i="1"/>
  <c r="AS758" i="1"/>
  <c r="BB749" i="1"/>
  <c r="AY749" i="1" s="1"/>
  <c r="Q749" i="1" s="1"/>
  <c r="AZ749" i="1"/>
  <c r="BA749" i="1"/>
  <c r="P731" i="1"/>
  <c r="AX731" i="1"/>
  <c r="BE731" i="1"/>
  <c r="O745" i="1"/>
  <c r="BC745" i="1"/>
  <c r="BD745" i="1"/>
  <c r="O753" i="1"/>
  <c r="BC753" i="1"/>
  <c r="BD753" i="1"/>
  <c r="O741" i="1"/>
  <c r="BD741" i="1"/>
  <c r="BC741" i="1"/>
  <c r="O746" i="1"/>
  <c r="BC746" i="1"/>
  <c r="BD746" i="1"/>
  <c r="P725" i="1"/>
  <c r="AX725" i="1"/>
  <c r="BE725" i="1"/>
  <c r="AS752" i="1"/>
  <c r="AZ743" i="1"/>
  <c r="BB743" i="1"/>
  <c r="AY743" i="1" s="1"/>
  <c r="Q743" i="1" s="1"/>
  <c r="BA743" i="1"/>
  <c r="O734" i="1"/>
  <c r="BC734" i="1"/>
  <c r="BD734" i="1"/>
  <c r="AS769" i="1" l="1"/>
  <c r="AZ760" i="1"/>
  <c r="BB760" i="1"/>
  <c r="AY760" i="1" s="1"/>
  <c r="Q760" i="1" s="1"/>
  <c r="BA760" i="1"/>
  <c r="P742" i="1"/>
  <c r="AX742" i="1"/>
  <c r="BE742" i="1"/>
  <c r="O751" i="1"/>
  <c r="BC751" i="1"/>
  <c r="BD751" i="1"/>
  <c r="AS767" i="1"/>
  <c r="BB758" i="1"/>
  <c r="AY758" i="1" s="1"/>
  <c r="Q758" i="1" s="1"/>
  <c r="AZ758" i="1"/>
  <c r="BA758" i="1"/>
  <c r="AS765" i="1"/>
  <c r="BB756" i="1"/>
  <c r="AY756" i="1" s="1"/>
  <c r="Q756" i="1" s="1"/>
  <c r="AZ756" i="1"/>
  <c r="BA756" i="1"/>
  <c r="P741" i="1"/>
  <c r="BE741" i="1"/>
  <c r="AX741" i="1"/>
  <c r="P748" i="1"/>
  <c r="AX748" i="1"/>
  <c r="BE748" i="1"/>
  <c r="O755" i="1"/>
  <c r="BC755" i="1"/>
  <c r="BD755" i="1"/>
  <c r="O750" i="1"/>
  <c r="BD750" i="1"/>
  <c r="BC750" i="1"/>
  <c r="O762" i="1"/>
  <c r="BC762" i="1"/>
  <c r="BD762" i="1"/>
  <c r="O754" i="1"/>
  <c r="BD754" i="1"/>
  <c r="BC754" i="1"/>
  <c r="P740" i="1"/>
  <c r="BE740" i="1"/>
  <c r="AX740" i="1"/>
  <c r="P753" i="1"/>
  <c r="BE753" i="1"/>
  <c r="AX753" i="1"/>
  <c r="O749" i="1"/>
  <c r="BC749" i="1"/>
  <c r="BD749" i="1"/>
  <c r="O757" i="1"/>
  <c r="BC757" i="1"/>
  <c r="BD757" i="1"/>
  <c r="O747" i="1"/>
  <c r="BD747" i="1"/>
  <c r="BC747" i="1"/>
  <c r="P738" i="1"/>
  <c r="BE738" i="1"/>
  <c r="AX738" i="1"/>
  <c r="P745" i="1"/>
  <c r="BE745" i="1"/>
  <c r="AX745" i="1"/>
  <c r="AS775" i="1"/>
  <c r="BB766" i="1"/>
  <c r="AY766" i="1" s="1"/>
  <c r="Q766" i="1" s="1"/>
  <c r="AZ766" i="1"/>
  <c r="BA766" i="1"/>
  <c r="P746" i="1"/>
  <c r="BE746" i="1"/>
  <c r="AX746" i="1"/>
  <c r="AS773" i="1"/>
  <c r="BB764" i="1"/>
  <c r="AY764" i="1" s="1"/>
  <c r="Q764" i="1" s="1"/>
  <c r="AZ764" i="1"/>
  <c r="BA764" i="1"/>
  <c r="AS768" i="1"/>
  <c r="BB759" i="1"/>
  <c r="AY759" i="1" s="1"/>
  <c r="Q759" i="1" s="1"/>
  <c r="AZ759" i="1"/>
  <c r="BA759" i="1"/>
  <c r="AS780" i="1"/>
  <c r="BB771" i="1"/>
  <c r="AY771" i="1" s="1"/>
  <c r="Q771" i="1" s="1"/>
  <c r="AZ771" i="1"/>
  <c r="BA771" i="1"/>
  <c r="AS772" i="1"/>
  <c r="BB763" i="1"/>
  <c r="AY763" i="1" s="1"/>
  <c r="Q763" i="1" s="1"/>
  <c r="AZ763" i="1"/>
  <c r="BA763" i="1"/>
  <c r="AS761" i="1"/>
  <c r="AZ752" i="1"/>
  <c r="BB752" i="1"/>
  <c r="AY752" i="1" s="1"/>
  <c r="Q752" i="1" s="1"/>
  <c r="BA752" i="1"/>
  <c r="P734" i="1"/>
  <c r="AX734" i="1"/>
  <c r="BE734" i="1"/>
  <c r="O743" i="1"/>
  <c r="BD743" i="1"/>
  <c r="BC743" i="1"/>
  <c r="P751" i="1" l="1"/>
  <c r="AX751" i="1"/>
  <c r="BE751" i="1"/>
  <c r="O760" i="1"/>
  <c r="BD760" i="1"/>
  <c r="BC760" i="1"/>
  <c r="AS778" i="1"/>
  <c r="BB769" i="1"/>
  <c r="AY769" i="1" s="1"/>
  <c r="Q769" i="1" s="1"/>
  <c r="AZ769" i="1"/>
  <c r="BA769" i="1"/>
  <c r="P750" i="1"/>
  <c r="BE750" i="1"/>
  <c r="AX750" i="1"/>
  <c r="P755" i="1"/>
  <c r="AX755" i="1"/>
  <c r="BE755" i="1"/>
  <c r="AS781" i="1"/>
  <c r="BB772" i="1"/>
  <c r="AY772" i="1" s="1"/>
  <c r="Q772" i="1" s="1"/>
  <c r="AZ772" i="1"/>
  <c r="BA772" i="1"/>
  <c r="AS789" i="1"/>
  <c r="BB780" i="1"/>
  <c r="AY780" i="1" s="1"/>
  <c r="Q780" i="1" s="1"/>
  <c r="AZ780" i="1"/>
  <c r="BA780" i="1"/>
  <c r="AS777" i="1"/>
  <c r="BB768" i="1"/>
  <c r="AY768" i="1" s="1"/>
  <c r="Q768" i="1" s="1"/>
  <c r="AZ768" i="1"/>
  <c r="BA768" i="1"/>
  <c r="AS782" i="1"/>
  <c r="BB773" i="1"/>
  <c r="AY773" i="1" s="1"/>
  <c r="Q773" i="1" s="1"/>
  <c r="AZ773" i="1"/>
  <c r="BA773" i="1"/>
  <c r="O756" i="1"/>
  <c r="BD756" i="1"/>
  <c r="BC756" i="1"/>
  <c r="O758" i="1"/>
  <c r="BC758" i="1"/>
  <c r="BD758" i="1"/>
  <c r="AS784" i="1"/>
  <c r="BB775" i="1"/>
  <c r="AY775" i="1" s="1"/>
  <c r="Q775" i="1" s="1"/>
  <c r="AZ775" i="1"/>
  <c r="BA775" i="1"/>
  <c r="O766" i="1"/>
  <c r="BC766" i="1"/>
  <c r="BD766" i="1"/>
  <c r="BE757" i="1"/>
  <c r="P749" i="1"/>
  <c r="AX749" i="1"/>
  <c r="BE749" i="1"/>
  <c r="P754" i="1"/>
  <c r="BE754" i="1"/>
  <c r="AX754" i="1"/>
  <c r="P762" i="1"/>
  <c r="BE762" i="1"/>
  <c r="AX762" i="1"/>
  <c r="O763" i="1"/>
  <c r="BC763" i="1"/>
  <c r="BD763" i="1"/>
  <c r="O771" i="1"/>
  <c r="BC771" i="1"/>
  <c r="BD771" i="1"/>
  <c r="O759" i="1"/>
  <c r="BC759" i="1"/>
  <c r="BD759" i="1"/>
  <c r="O764" i="1"/>
  <c r="BD764" i="1"/>
  <c r="BC764" i="1"/>
  <c r="P747" i="1"/>
  <c r="AX747" i="1"/>
  <c r="BE747" i="1"/>
  <c r="P757" i="1"/>
  <c r="AX757" i="1"/>
  <c r="AS774" i="1"/>
  <c r="BB765" i="1"/>
  <c r="AY765" i="1" s="1"/>
  <c r="Q765" i="1" s="1"/>
  <c r="AZ765" i="1"/>
  <c r="BA765" i="1"/>
  <c r="AS776" i="1"/>
  <c r="BB767" i="1"/>
  <c r="AY767" i="1" s="1"/>
  <c r="Q767" i="1" s="1"/>
  <c r="AZ767" i="1"/>
  <c r="BA767" i="1"/>
  <c r="P743" i="1"/>
  <c r="AX743" i="1"/>
  <c r="BE743" i="1"/>
  <c r="O752" i="1"/>
  <c r="BD752" i="1"/>
  <c r="BC752" i="1"/>
  <c r="AS770" i="1"/>
  <c r="AZ761" i="1"/>
  <c r="BB761" i="1"/>
  <c r="AY761" i="1" s="1"/>
  <c r="Q761" i="1" s="1"/>
  <c r="BA761" i="1"/>
  <c r="AS787" i="1" l="1"/>
  <c r="AZ778" i="1"/>
  <c r="BB778" i="1"/>
  <c r="AY778" i="1" s="1"/>
  <c r="Q778" i="1" s="1"/>
  <c r="BA778" i="1"/>
  <c r="O769" i="1"/>
  <c r="BD769" i="1"/>
  <c r="BC769" i="1"/>
  <c r="P760" i="1"/>
  <c r="AX760" i="1"/>
  <c r="BE760" i="1"/>
  <c r="AS785" i="1"/>
  <c r="BB776" i="1"/>
  <c r="AY776" i="1" s="1"/>
  <c r="Q776" i="1" s="1"/>
  <c r="AZ776" i="1"/>
  <c r="BA776" i="1"/>
  <c r="AS783" i="1"/>
  <c r="BB774" i="1"/>
  <c r="AY774" i="1" s="1"/>
  <c r="Q774" i="1" s="1"/>
  <c r="AZ774" i="1"/>
  <c r="BA774" i="1"/>
  <c r="P763" i="1"/>
  <c r="AX763" i="1"/>
  <c r="BE763" i="1"/>
  <c r="O775" i="1"/>
  <c r="BD775" i="1"/>
  <c r="BC775" i="1"/>
  <c r="P758" i="1"/>
  <c r="BE758" i="1"/>
  <c r="AX758" i="1"/>
  <c r="AS791" i="1"/>
  <c r="BB782" i="1"/>
  <c r="AY782" i="1" s="1"/>
  <c r="Q782" i="1" s="1"/>
  <c r="AZ782" i="1"/>
  <c r="BA782" i="1"/>
  <c r="AS786" i="1"/>
  <c r="BB777" i="1"/>
  <c r="AY777" i="1" s="1"/>
  <c r="Q777" i="1" s="1"/>
  <c r="AZ777" i="1"/>
  <c r="BA777" i="1"/>
  <c r="AS798" i="1"/>
  <c r="BB789" i="1"/>
  <c r="AY789" i="1" s="1"/>
  <c r="Q789" i="1" s="1"/>
  <c r="AZ789" i="1"/>
  <c r="BA789" i="1"/>
  <c r="AS790" i="1"/>
  <c r="BB781" i="1"/>
  <c r="AY781" i="1" s="1"/>
  <c r="Q781" i="1" s="1"/>
  <c r="AZ781" i="1"/>
  <c r="BA781" i="1"/>
  <c r="P771" i="1"/>
  <c r="AX771" i="1"/>
  <c r="BE771" i="1"/>
  <c r="P766" i="1"/>
  <c r="AX766" i="1"/>
  <c r="BE766" i="1"/>
  <c r="O767" i="1"/>
  <c r="BC767" i="1"/>
  <c r="BD767" i="1"/>
  <c r="O765" i="1"/>
  <c r="BD765" i="1"/>
  <c r="BC765" i="1"/>
  <c r="P764" i="1"/>
  <c r="AX764" i="1"/>
  <c r="BE764" i="1"/>
  <c r="P759" i="1"/>
  <c r="BE759" i="1"/>
  <c r="AX759" i="1"/>
  <c r="AS793" i="1"/>
  <c r="BB784" i="1"/>
  <c r="AY784" i="1" s="1"/>
  <c r="Q784" i="1" s="1"/>
  <c r="AZ784" i="1"/>
  <c r="BA784" i="1"/>
  <c r="P756" i="1"/>
  <c r="AX756" i="1"/>
  <c r="BE756" i="1"/>
  <c r="O773" i="1"/>
  <c r="BC773" i="1"/>
  <c r="BD773" i="1"/>
  <c r="O768" i="1"/>
  <c r="BC768" i="1"/>
  <c r="BD768" i="1"/>
  <c r="O780" i="1"/>
  <c r="BD780" i="1"/>
  <c r="BC780" i="1"/>
  <c r="O772" i="1"/>
  <c r="BC772" i="1"/>
  <c r="BD772" i="1"/>
  <c r="AS779" i="1"/>
  <c r="BB770" i="1"/>
  <c r="AY770" i="1" s="1"/>
  <c r="Q770" i="1" s="1"/>
  <c r="AZ770" i="1"/>
  <c r="BA770" i="1"/>
  <c r="P752" i="1"/>
  <c r="BE752" i="1"/>
  <c r="AX752" i="1"/>
  <c r="O761" i="1"/>
  <c r="BD761" i="1"/>
  <c r="BC761" i="1"/>
  <c r="O778" i="1" l="1"/>
  <c r="BD778" i="1"/>
  <c r="BC778" i="1"/>
  <c r="P769" i="1"/>
  <c r="BE769" i="1"/>
  <c r="AX769" i="1"/>
  <c r="AS796" i="1"/>
  <c r="AZ787" i="1"/>
  <c r="BB787" i="1"/>
  <c r="AY787" i="1" s="1"/>
  <c r="Q787" i="1" s="1"/>
  <c r="BA787" i="1"/>
  <c r="O789" i="1"/>
  <c r="BD789" i="1"/>
  <c r="BC789" i="1"/>
  <c r="O774" i="1"/>
  <c r="BD774" i="1"/>
  <c r="BC774" i="1"/>
  <c r="O776" i="1"/>
  <c r="BC776" i="1"/>
  <c r="BD776" i="1"/>
  <c r="P773" i="1"/>
  <c r="AX773" i="1"/>
  <c r="BE773" i="1"/>
  <c r="AS802" i="1"/>
  <c r="BB793" i="1"/>
  <c r="AY793" i="1" s="1"/>
  <c r="Q793" i="1" s="1"/>
  <c r="AZ793" i="1"/>
  <c r="BA793" i="1"/>
  <c r="O777" i="1"/>
  <c r="BD777" i="1"/>
  <c r="BC777" i="1"/>
  <c r="P780" i="1"/>
  <c r="AX780" i="1"/>
  <c r="BE780" i="1"/>
  <c r="O784" i="1"/>
  <c r="BD784" i="1"/>
  <c r="BC784" i="1"/>
  <c r="AS799" i="1"/>
  <c r="BB790" i="1"/>
  <c r="AY790" i="1" s="1"/>
  <c r="Q790" i="1" s="1"/>
  <c r="AZ790" i="1"/>
  <c r="BA790" i="1"/>
  <c r="AS807" i="1"/>
  <c r="BB798" i="1"/>
  <c r="AY798" i="1" s="1"/>
  <c r="Q798" i="1" s="1"/>
  <c r="AZ798" i="1"/>
  <c r="BA798" i="1"/>
  <c r="AS795" i="1"/>
  <c r="BB786" i="1"/>
  <c r="AY786" i="1" s="1"/>
  <c r="Q786" i="1" s="1"/>
  <c r="AZ786" i="1"/>
  <c r="BA786" i="1"/>
  <c r="AS800" i="1"/>
  <c r="BB791" i="1"/>
  <c r="AY791" i="1" s="1"/>
  <c r="Q791" i="1" s="1"/>
  <c r="AZ791" i="1"/>
  <c r="BA791" i="1"/>
  <c r="P775" i="1"/>
  <c r="AX775" i="1"/>
  <c r="BE775" i="1"/>
  <c r="O781" i="1"/>
  <c r="BD781" i="1"/>
  <c r="BC781" i="1"/>
  <c r="O782" i="1"/>
  <c r="BD782" i="1"/>
  <c r="BC782" i="1"/>
  <c r="P768" i="1"/>
  <c r="BE768" i="1"/>
  <c r="AX768" i="1"/>
  <c r="P772" i="1"/>
  <c r="AX772" i="1"/>
  <c r="BE772" i="1"/>
  <c r="P765" i="1"/>
  <c r="BE765" i="1"/>
  <c r="AX765" i="1"/>
  <c r="P767" i="1"/>
  <c r="AX767" i="1"/>
  <c r="BE767" i="1"/>
  <c r="AS792" i="1"/>
  <c r="BB783" i="1"/>
  <c r="AY783" i="1" s="1"/>
  <c r="Q783" i="1" s="1"/>
  <c r="AZ783" i="1"/>
  <c r="BA783" i="1"/>
  <c r="AS794" i="1"/>
  <c r="BB785" i="1"/>
  <c r="AY785" i="1" s="1"/>
  <c r="Q785" i="1" s="1"/>
  <c r="AZ785" i="1"/>
  <c r="BA785" i="1"/>
  <c r="O770" i="1"/>
  <c r="BC770" i="1"/>
  <c r="BD770" i="1"/>
  <c r="P761" i="1"/>
  <c r="BE761" i="1"/>
  <c r="AX761" i="1"/>
  <c r="AS788" i="1"/>
  <c r="AZ779" i="1"/>
  <c r="BB779" i="1"/>
  <c r="AY779" i="1" s="1"/>
  <c r="Q779" i="1" s="1"/>
  <c r="BA779" i="1"/>
  <c r="O787" i="1" l="1"/>
  <c r="BD787" i="1"/>
  <c r="BC787" i="1"/>
  <c r="AS805" i="1"/>
  <c r="AZ796" i="1"/>
  <c r="BB796" i="1"/>
  <c r="AY796" i="1" s="1"/>
  <c r="Q796" i="1" s="1"/>
  <c r="BA796" i="1"/>
  <c r="P778" i="1"/>
  <c r="AX778" i="1"/>
  <c r="BE778" i="1"/>
  <c r="O798" i="1"/>
  <c r="BD798" i="1"/>
  <c r="BC798" i="1"/>
  <c r="AS803" i="1"/>
  <c r="BB794" i="1"/>
  <c r="AY794" i="1" s="1"/>
  <c r="Q794" i="1" s="1"/>
  <c r="AZ794" i="1"/>
  <c r="BA794" i="1"/>
  <c r="AS801" i="1"/>
  <c r="BB792" i="1"/>
  <c r="AY792" i="1" s="1"/>
  <c r="Q792" i="1" s="1"/>
  <c r="AZ792" i="1"/>
  <c r="BA792" i="1"/>
  <c r="P781" i="1"/>
  <c r="BE781" i="1"/>
  <c r="AX781" i="1"/>
  <c r="P777" i="1"/>
  <c r="BE777" i="1"/>
  <c r="AX777" i="1"/>
  <c r="O793" i="1"/>
  <c r="BC793" i="1"/>
  <c r="BD793" i="1"/>
  <c r="P789" i="1"/>
  <c r="AX789" i="1"/>
  <c r="BE789" i="1"/>
  <c r="O791" i="1"/>
  <c r="BC791" i="1"/>
  <c r="BD791" i="1"/>
  <c r="O790" i="1"/>
  <c r="BC790" i="1"/>
  <c r="BD790" i="1"/>
  <c r="P776" i="1"/>
  <c r="AX776" i="1"/>
  <c r="BE776" i="1"/>
  <c r="P782" i="1"/>
  <c r="AX782" i="1"/>
  <c r="BE782" i="1"/>
  <c r="AS809" i="1"/>
  <c r="BB800" i="1"/>
  <c r="AY800" i="1" s="1"/>
  <c r="Q800" i="1" s="1"/>
  <c r="AZ800" i="1"/>
  <c r="BA800" i="1"/>
  <c r="AS804" i="1"/>
  <c r="BB795" i="1"/>
  <c r="AY795" i="1" s="1"/>
  <c r="Q795" i="1" s="1"/>
  <c r="AZ795" i="1"/>
  <c r="BA795" i="1"/>
  <c r="AS816" i="1"/>
  <c r="BB807" i="1"/>
  <c r="AY807" i="1" s="1"/>
  <c r="Q807" i="1" s="1"/>
  <c r="AZ807" i="1"/>
  <c r="BA807" i="1"/>
  <c r="AS808" i="1"/>
  <c r="BB799" i="1"/>
  <c r="AY799" i="1" s="1"/>
  <c r="Q799" i="1" s="1"/>
  <c r="AZ799" i="1"/>
  <c r="BA799" i="1"/>
  <c r="P774" i="1"/>
  <c r="BE774" i="1"/>
  <c r="AX774" i="1"/>
  <c r="O786" i="1"/>
  <c r="BD786" i="1"/>
  <c r="BC786" i="1"/>
  <c r="O785" i="1"/>
  <c r="BC785" i="1"/>
  <c r="BD785" i="1"/>
  <c r="O783" i="1"/>
  <c r="BD783" i="1"/>
  <c r="BC783" i="1"/>
  <c r="P784" i="1"/>
  <c r="AX784" i="1"/>
  <c r="BE784" i="1"/>
  <c r="AS811" i="1"/>
  <c r="BB802" i="1"/>
  <c r="AY802" i="1" s="1"/>
  <c r="Q802" i="1" s="1"/>
  <c r="AZ802" i="1"/>
  <c r="BA802" i="1"/>
  <c r="P770" i="1"/>
  <c r="BE770" i="1"/>
  <c r="AX770" i="1"/>
  <c r="O779" i="1"/>
  <c r="BD779" i="1"/>
  <c r="BC779" i="1"/>
  <c r="AS797" i="1"/>
  <c r="AZ788" i="1"/>
  <c r="BB788" i="1"/>
  <c r="AY788" i="1" s="1"/>
  <c r="Q788" i="1" s="1"/>
  <c r="BA788" i="1"/>
  <c r="O796" i="1" l="1"/>
  <c r="BD796" i="1"/>
  <c r="BC796" i="1"/>
  <c r="AS814" i="1"/>
  <c r="BB805" i="1"/>
  <c r="AY805" i="1" s="1"/>
  <c r="Q805" i="1" s="1"/>
  <c r="AZ805" i="1"/>
  <c r="BA805" i="1"/>
  <c r="P787" i="1"/>
  <c r="BE787" i="1"/>
  <c r="AX787" i="1"/>
  <c r="P786" i="1"/>
  <c r="AX786" i="1"/>
  <c r="BE786" i="1"/>
  <c r="AS817" i="1"/>
  <c r="BB808" i="1"/>
  <c r="AY808" i="1" s="1"/>
  <c r="Q808" i="1" s="1"/>
  <c r="AZ808" i="1"/>
  <c r="BA808" i="1"/>
  <c r="AS813" i="1"/>
  <c r="BB804" i="1"/>
  <c r="AY804" i="1" s="1"/>
  <c r="Q804" i="1" s="1"/>
  <c r="AZ804" i="1"/>
  <c r="BA804" i="1"/>
  <c r="AS818" i="1"/>
  <c r="BB809" i="1"/>
  <c r="AY809" i="1" s="1"/>
  <c r="Q809" i="1" s="1"/>
  <c r="AZ809" i="1"/>
  <c r="BA809" i="1"/>
  <c r="P790" i="1"/>
  <c r="BE790" i="1"/>
  <c r="AX790" i="1"/>
  <c r="AS810" i="1"/>
  <c r="BB801" i="1"/>
  <c r="AY801" i="1" s="1"/>
  <c r="Q801" i="1" s="1"/>
  <c r="AZ801" i="1"/>
  <c r="BA801" i="1"/>
  <c r="AS820" i="1"/>
  <c r="BB811" i="1"/>
  <c r="AY811" i="1" s="1"/>
  <c r="Q811" i="1" s="1"/>
  <c r="AZ811" i="1"/>
  <c r="BA811" i="1"/>
  <c r="P783" i="1"/>
  <c r="AX783" i="1"/>
  <c r="BE783" i="1"/>
  <c r="P785" i="1"/>
  <c r="AX785" i="1"/>
  <c r="BE785" i="1"/>
  <c r="P793" i="1"/>
  <c r="BE793" i="1"/>
  <c r="AX793" i="1"/>
  <c r="P798" i="1"/>
  <c r="AX798" i="1"/>
  <c r="BE798" i="1"/>
  <c r="AS825" i="1"/>
  <c r="BB816" i="1"/>
  <c r="AY816" i="1" s="1"/>
  <c r="Q816" i="1" s="1"/>
  <c r="AZ816" i="1"/>
  <c r="BA816" i="1"/>
  <c r="AS812" i="1"/>
  <c r="BB803" i="1"/>
  <c r="AY803" i="1" s="1"/>
  <c r="Q803" i="1" s="1"/>
  <c r="AZ803" i="1"/>
  <c r="BA803" i="1"/>
  <c r="O799" i="1"/>
  <c r="BC799" i="1"/>
  <c r="BD799" i="1"/>
  <c r="O807" i="1"/>
  <c r="BD807" i="1"/>
  <c r="BC807" i="1"/>
  <c r="O795" i="1"/>
  <c r="BD795" i="1"/>
  <c r="BC795" i="1"/>
  <c r="O800" i="1"/>
  <c r="BC800" i="1"/>
  <c r="BD800" i="1"/>
  <c r="O792" i="1"/>
  <c r="BC792" i="1"/>
  <c r="BD792" i="1"/>
  <c r="O794" i="1"/>
  <c r="BC794" i="1"/>
  <c r="BD794" i="1"/>
  <c r="O802" i="1"/>
  <c r="BD802" i="1"/>
  <c r="BC802" i="1"/>
  <c r="P791" i="1"/>
  <c r="BE791" i="1"/>
  <c r="AX791" i="1"/>
  <c r="O788" i="1"/>
  <c r="BC788" i="1"/>
  <c r="BD788" i="1"/>
  <c r="AS806" i="1"/>
  <c r="AZ797" i="1"/>
  <c r="BB797" i="1"/>
  <c r="AY797" i="1" s="1"/>
  <c r="Q797" i="1" s="1"/>
  <c r="BA797" i="1"/>
  <c r="P779" i="1"/>
  <c r="AX779" i="1"/>
  <c r="BE779" i="1"/>
  <c r="AS823" i="1" l="1"/>
  <c r="AZ814" i="1"/>
  <c r="BB814" i="1"/>
  <c r="AY814" i="1" s="1"/>
  <c r="Q814" i="1" s="1"/>
  <c r="BA814" i="1"/>
  <c r="P796" i="1"/>
  <c r="AX796" i="1"/>
  <c r="BE796" i="1"/>
  <c r="O805" i="1"/>
  <c r="BD805" i="1"/>
  <c r="BC805" i="1"/>
  <c r="O803" i="1"/>
  <c r="BC803" i="1"/>
  <c r="BD803" i="1"/>
  <c r="P792" i="1"/>
  <c r="AX792" i="1"/>
  <c r="BE792" i="1"/>
  <c r="P807" i="1"/>
  <c r="AX807" i="1"/>
  <c r="BE807" i="1"/>
  <c r="P799" i="1"/>
  <c r="BE799" i="1"/>
  <c r="AX799" i="1"/>
  <c r="AS827" i="1"/>
  <c r="BB818" i="1"/>
  <c r="AY818" i="1" s="1"/>
  <c r="Q818" i="1" s="1"/>
  <c r="AZ818" i="1"/>
  <c r="BA818" i="1"/>
  <c r="AS822" i="1"/>
  <c r="BB813" i="1"/>
  <c r="AY813" i="1" s="1"/>
  <c r="Q813" i="1" s="1"/>
  <c r="AZ813" i="1"/>
  <c r="BA813" i="1"/>
  <c r="AS826" i="1"/>
  <c r="BB817" i="1"/>
  <c r="AY817" i="1" s="1"/>
  <c r="Q817" i="1" s="1"/>
  <c r="AZ817" i="1"/>
  <c r="BA817" i="1"/>
  <c r="P802" i="1"/>
  <c r="AX802" i="1"/>
  <c r="BE802" i="1"/>
  <c r="P794" i="1"/>
  <c r="BE794" i="1"/>
  <c r="AX794" i="1"/>
  <c r="P795" i="1"/>
  <c r="BE795" i="1"/>
  <c r="AX795" i="1"/>
  <c r="AS821" i="1"/>
  <c r="BB812" i="1"/>
  <c r="AY812" i="1" s="1"/>
  <c r="Q812" i="1" s="1"/>
  <c r="AZ812" i="1"/>
  <c r="BA812" i="1"/>
  <c r="AS834" i="1"/>
  <c r="BB825" i="1"/>
  <c r="AY825" i="1" s="1"/>
  <c r="Q825" i="1" s="1"/>
  <c r="AZ825" i="1"/>
  <c r="BA825" i="1"/>
  <c r="AS829" i="1"/>
  <c r="BB820" i="1"/>
  <c r="AY820" i="1" s="1"/>
  <c r="Q820" i="1" s="1"/>
  <c r="AZ820" i="1"/>
  <c r="BA820" i="1"/>
  <c r="AS819" i="1"/>
  <c r="BB810" i="1"/>
  <c r="AY810" i="1" s="1"/>
  <c r="Q810" i="1" s="1"/>
  <c r="AZ810" i="1"/>
  <c r="BA810" i="1"/>
  <c r="O816" i="1"/>
  <c r="BC816" i="1"/>
  <c r="BD816" i="1"/>
  <c r="O809" i="1"/>
  <c r="BD809" i="1"/>
  <c r="BC809" i="1"/>
  <c r="O804" i="1"/>
  <c r="BD804" i="1"/>
  <c r="BC804" i="1"/>
  <c r="O808" i="1"/>
  <c r="BD808" i="1"/>
  <c r="BC808" i="1"/>
  <c r="P800" i="1"/>
  <c r="BE800" i="1"/>
  <c r="AX800" i="1"/>
  <c r="O811" i="1"/>
  <c r="BD811" i="1"/>
  <c r="BC811" i="1"/>
  <c r="O801" i="1"/>
  <c r="BC801" i="1"/>
  <c r="BD801" i="1"/>
  <c r="AS815" i="1"/>
  <c r="BB806" i="1"/>
  <c r="AY806" i="1" s="1"/>
  <c r="Q806" i="1" s="1"/>
  <c r="AZ806" i="1"/>
  <c r="BA806" i="1"/>
  <c r="P788" i="1"/>
  <c r="BE788" i="1"/>
  <c r="AX788" i="1"/>
  <c r="O797" i="1"/>
  <c r="BC797" i="1"/>
  <c r="BD797" i="1"/>
  <c r="P805" i="1" l="1"/>
  <c r="AX805" i="1"/>
  <c r="BE805" i="1"/>
  <c r="O814" i="1"/>
  <c r="BD814" i="1"/>
  <c r="BC814" i="1"/>
  <c r="AS832" i="1"/>
  <c r="AZ823" i="1"/>
  <c r="BB823" i="1"/>
  <c r="AY823" i="1" s="1"/>
  <c r="Q823" i="1" s="1"/>
  <c r="BA823" i="1"/>
  <c r="O820" i="1"/>
  <c r="BC820" i="1"/>
  <c r="BD820" i="1"/>
  <c r="P809" i="1"/>
  <c r="AX809" i="1"/>
  <c r="BE809" i="1"/>
  <c r="O817" i="1"/>
  <c r="BD817" i="1"/>
  <c r="BC817" i="1"/>
  <c r="O813" i="1"/>
  <c r="BC813" i="1"/>
  <c r="BD813" i="1"/>
  <c r="O818" i="1"/>
  <c r="BC818" i="1"/>
  <c r="BD818" i="1"/>
  <c r="O810" i="1"/>
  <c r="BC810" i="1"/>
  <c r="BD810" i="1"/>
  <c r="O812" i="1"/>
  <c r="BC812" i="1"/>
  <c r="BD812" i="1"/>
  <c r="P811" i="1"/>
  <c r="AX811" i="1"/>
  <c r="BE811" i="1"/>
  <c r="P816" i="1"/>
  <c r="AX816" i="1"/>
  <c r="BE816" i="1"/>
  <c r="P804" i="1"/>
  <c r="AX804" i="1"/>
  <c r="BE804" i="1"/>
  <c r="AS828" i="1"/>
  <c r="BB819" i="1"/>
  <c r="AY819" i="1" s="1"/>
  <c r="Q819" i="1" s="1"/>
  <c r="AZ819" i="1"/>
  <c r="BA819" i="1"/>
  <c r="AS838" i="1"/>
  <c r="BB829" i="1"/>
  <c r="AY829" i="1" s="1"/>
  <c r="Q829" i="1" s="1"/>
  <c r="AZ829" i="1"/>
  <c r="BA829" i="1"/>
  <c r="AS843" i="1"/>
  <c r="BB834" i="1"/>
  <c r="AY834" i="1" s="1"/>
  <c r="Q834" i="1" s="1"/>
  <c r="AZ834" i="1"/>
  <c r="BA834" i="1"/>
  <c r="AS830" i="1"/>
  <c r="BB821" i="1"/>
  <c r="AY821" i="1" s="1"/>
  <c r="Q821" i="1" s="1"/>
  <c r="AZ821" i="1"/>
  <c r="BA821" i="1"/>
  <c r="P803" i="1"/>
  <c r="BE803" i="1"/>
  <c r="AX803" i="1"/>
  <c r="O825" i="1"/>
  <c r="BC825" i="1"/>
  <c r="BD825" i="1"/>
  <c r="P801" i="1"/>
  <c r="BE801" i="1"/>
  <c r="AX801" i="1"/>
  <c r="P808" i="1"/>
  <c r="AX808" i="1"/>
  <c r="BE808" i="1"/>
  <c r="AS835" i="1"/>
  <c r="BB826" i="1"/>
  <c r="AY826" i="1" s="1"/>
  <c r="Q826" i="1" s="1"/>
  <c r="AZ826" i="1"/>
  <c r="BA826" i="1"/>
  <c r="AS831" i="1"/>
  <c r="BB822" i="1"/>
  <c r="AY822" i="1" s="1"/>
  <c r="Q822" i="1" s="1"/>
  <c r="AZ822" i="1"/>
  <c r="BA822" i="1"/>
  <c r="AS836" i="1"/>
  <c r="BB827" i="1"/>
  <c r="AY827" i="1" s="1"/>
  <c r="Q827" i="1" s="1"/>
  <c r="AZ827" i="1"/>
  <c r="BA827" i="1"/>
  <c r="O806" i="1"/>
  <c r="BC806" i="1"/>
  <c r="BD806" i="1"/>
  <c r="P797" i="1"/>
  <c r="BE797" i="1"/>
  <c r="AX797" i="1"/>
  <c r="AS824" i="1"/>
  <c r="AZ815" i="1"/>
  <c r="BB815" i="1"/>
  <c r="AY815" i="1" s="1"/>
  <c r="Q815" i="1" s="1"/>
  <c r="BA815" i="1"/>
  <c r="O823" i="1" l="1"/>
  <c r="BC823" i="1"/>
  <c r="BD823" i="1"/>
  <c r="AS841" i="1"/>
  <c r="AZ832" i="1"/>
  <c r="BB832" i="1"/>
  <c r="AY832" i="1" s="1"/>
  <c r="Q832" i="1" s="1"/>
  <c r="BA832" i="1"/>
  <c r="P814" i="1"/>
  <c r="BE814" i="1"/>
  <c r="AX814" i="1"/>
  <c r="O822" i="1"/>
  <c r="BC822" i="1"/>
  <c r="BD822" i="1"/>
  <c r="P812" i="1"/>
  <c r="BE812" i="1"/>
  <c r="AX812" i="1"/>
  <c r="AS845" i="1"/>
  <c r="BB836" i="1"/>
  <c r="AY836" i="1" s="1"/>
  <c r="Q836" i="1" s="1"/>
  <c r="AZ836" i="1"/>
  <c r="BA836" i="1"/>
  <c r="AS840" i="1"/>
  <c r="BB831" i="1"/>
  <c r="AY831" i="1" s="1"/>
  <c r="Q831" i="1" s="1"/>
  <c r="AZ831" i="1"/>
  <c r="BA831" i="1"/>
  <c r="AS844" i="1"/>
  <c r="BB835" i="1"/>
  <c r="AY835" i="1" s="1"/>
  <c r="Q835" i="1" s="1"/>
  <c r="AZ835" i="1"/>
  <c r="BA835" i="1"/>
  <c r="P825" i="1"/>
  <c r="BE825" i="1"/>
  <c r="AX825" i="1"/>
  <c r="AS839" i="1"/>
  <c r="BB830" i="1"/>
  <c r="AY830" i="1" s="1"/>
  <c r="Q830" i="1" s="1"/>
  <c r="AZ830" i="1"/>
  <c r="BA830" i="1"/>
  <c r="AS852" i="1"/>
  <c r="BB843" i="1"/>
  <c r="AY843" i="1" s="1"/>
  <c r="Q843" i="1" s="1"/>
  <c r="AZ843" i="1"/>
  <c r="BA843" i="1"/>
  <c r="AS847" i="1"/>
  <c r="BB838" i="1"/>
  <c r="AY838" i="1" s="1"/>
  <c r="Q838" i="1" s="1"/>
  <c r="AZ838" i="1"/>
  <c r="BA838" i="1"/>
  <c r="AS837" i="1"/>
  <c r="BB828" i="1"/>
  <c r="AY828" i="1" s="1"/>
  <c r="Q828" i="1" s="1"/>
  <c r="AZ828" i="1"/>
  <c r="BA828" i="1"/>
  <c r="P813" i="1"/>
  <c r="AX813" i="1"/>
  <c r="BE813" i="1"/>
  <c r="P818" i="1"/>
  <c r="AX818" i="1"/>
  <c r="BE818" i="1"/>
  <c r="P820" i="1"/>
  <c r="AX820" i="1"/>
  <c r="BE820" i="1"/>
  <c r="O827" i="1"/>
  <c r="BD827" i="1"/>
  <c r="BC827" i="1"/>
  <c r="O826" i="1"/>
  <c r="BC826" i="1"/>
  <c r="BD826" i="1"/>
  <c r="O821" i="1"/>
  <c r="BC821" i="1"/>
  <c r="BD821" i="1"/>
  <c r="O834" i="1"/>
  <c r="BC834" i="1"/>
  <c r="BD834" i="1"/>
  <c r="O829" i="1"/>
  <c r="BD829" i="1"/>
  <c r="BC829" i="1"/>
  <c r="O819" i="1"/>
  <c r="BC819" i="1"/>
  <c r="BD819" i="1"/>
  <c r="P810" i="1"/>
  <c r="AX810" i="1"/>
  <c r="BE810" i="1"/>
  <c r="P817" i="1"/>
  <c r="BE817" i="1"/>
  <c r="AX817" i="1"/>
  <c r="AS833" i="1"/>
  <c r="AZ824" i="1"/>
  <c r="BB824" i="1"/>
  <c r="AY824" i="1" s="1"/>
  <c r="Q824" i="1" s="1"/>
  <c r="BA824" i="1"/>
  <c r="O815" i="1"/>
  <c r="BC815" i="1"/>
  <c r="BD815" i="1"/>
  <c r="P806" i="1"/>
  <c r="BE806" i="1"/>
  <c r="AX806" i="1"/>
  <c r="AS850" i="1" l="1"/>
  <c r="BB841" i="1"/>
  <c r="AY841" i="1" s="1"/>
  <c r="Q841" i="1" s="1"/>
  <c r="AZ841" i="1"/>
  <c r="BA841" i="1"/>
  <c r="P823" i="1"/>
  <c r="AX823" i="1"/>
  <c r="BE823" i="1"/>
  <c r="O832" i="1"/>
  <c r="BC832" i="1"/>
  <c r="BD832" i="1"/>
  <c r="O838" i="1"/>
  <c r="BC838" i="1"/>
  <c r="BD838" i="1"/>
  <c r="O830" i="1"/>
  <c r="BC830" i="1"/>
  <c r="BD830" i="1"/>
  <c r="P826" i="1"/>
  <c r="BE826" i="1"/>
  <c r="AX826" i="1"/>
  <c r="AS853" i="1"/>
  <c r="BB844" i="1"/>
  <c r="AY844" i="1" s="1"/>
  <c r="Q844" i="1" s="1"/>
  <c r="AZ844" i="1"/>
  <c r="BA844" i="1"/>
  <c r="AS849" i="1"/>
  <c r="BB840" i="1"/>
  <c r="AY840" i="1" s="1"/>
  <c r="Q840" i="1" s="1"/>
  <c r="AZ840" i="1"/>
  <c r="BA840" i="1"/>
  <c r="AS854" i="1"/>
  <c r="BB845" i="1"/>
  <c r="AY845" i="1" s="1"/>
  <c r="Q845" i="1" s="1"/>
  <c r="AZ845" i="1"/>
  <c r="BA845" i="1"/>
  <c r="O828" i="1"/>
  <c r="BC828" i="1"/>
  <c r="BD828" i="1"/>
  <c r="O843" i="1"/>
  <c r="BD843" i="1"/>
  <c r="BC843" i="1"/>
  <c r="P819" i="1"/>
  <c r="AX819" i="1"/>
  <c r="BE819" i="1"/>
  <c r="P821" i="1"/>
  <c r="AX821" i="1"/>
  <c r="BE821" i="1"/>
  <c r="AS846" i="1"/>
  <c r="BB837" i="1"/>
  <c r="AY837" i="1" s="1"/>
  <c r="Q837" i="1" s="1"/>
  <c r="AZ837" i="1"/>
  <c r="BA837" i="1"/>
  <c r="AS856" i="1"/>
  <c r="BB847" i="1"/>
  <c r="AY847" i="1" s="1"/>
  <c r="Q847" i="1" s="1"/>
  <c r="AZ847" i="1"/>
  <c r="BA847" i="1"/>
  <c r="AS861" i="1"/>
  <c r="BB852" i="1"/>
  <c r="AY852" i="1" s="1"/>
  <c r="Q852" i="1" s="1"/>
  <c r="AZ852" i="1"/>
  <c r="BA852" i="1"/>
  <c r="AS848" i="1"/>
  <c r="BB839" i="1"/>
  <c r="AY839" i="1" s="1"/>
  <c r="Q839" i="1" s="1"/>
  <c r="AZ839" i="1"/>
  <c r="BA839" i="1"/>
  <c r="P822" i="1"/>
  <c r="AX822" i="1"/>
  <c r="BE822" i="1"/>
  <c r="P829" i="1"/>
  <c r="AX829" i="1"/>
  <c r="BE829" i="1"/>
  <c r="P834" i="1"/>
  <c r="BE834" i="1"/>
  <c r="AX834" i="1"/>
  <c r="P827" i="1"/>
  <c r="AX827" i="1"/>
  <c r="BE827" i="1"/>
  <c r="O835" i="1"/>
  <c r="BC835" i="1"/>
  <c r="BD835" i="1"/>
  <c r="O831" i="1"/>
  <c r="BD831" i="1"/>
  <c r="BC831" i="1"/>
  <c r="O836" i="1"/>
  <c r="BD836" i="1"/>
  <c r="BC836" i="1"/>
  <c r="O824" i="1"/>
  <c r="BC824" i="1"/>
  <c r="BD824" i="1"/>
  <c r="P815" i="1"/>
  <c r="BE815" i="1"/>
  <c r="AX815" i="1"/>
  <c r="AS842" i="1"/>
  <c r="AZ833" i="1"/>
  <c r="BB833" i="1"/>
  <c r="AY833" i="1" s="1"/>
  <c r="Q833" i="1" s="1"/>
  <c r="BA833" i="1"/>
  <c r="O841" i="1" l="1"/>
  <c r="BD841" i="1"/>
  <c r="BC841" i="1"/>
  <c r="P832" i="1"/>
  <c r="AX832" i="1"/>
  <c r="BE832" i="1"/>
  <c r="AS859" i="1"/>
  <c r="AZ850" i="1"/>
  <c r="BB850" i="1"/>
  <c r="AY850" i="1" s="1"/>
  <c r="Q850" i="1" s="1"/>
  <c r="BA850" i="1"/>
  <c r="O839" i="1"/>
  <c r="BD839" i="1"/>
  <c r="BC839" i="1"/>
  <c r="O847" i="1"/>
  <c r="BD847" i="1"/>
  <c r="BC847" i="1"/>
  <c r="O845" i="1"/>
  <c r="BD845" i="1"/>
  <c r="BC845" i="1"/>
  <c r="O844" i="1"/>
  <c r="BD844" i="1"/>
  <c r="BC844" i="1"/>
  <c r="O852" i="1"/>
  <c r="BC852" i="1"/>
  <c r="BD852" i="1"/>
  <c r="O837" i="1"/>
  <c r="BD837" i="1"/>
  <c r="BC837" i="1"/>
  <c r="O840" i="1"/>
  <c r="BC840" i="1"/>
  <c r="BD840" i="1"/>
  <c r="P831" i="1"/>
  <c r="AX831" i="1"/>
  <c r="BE831" i="1"/>
  <c r="P835" i="1"/>
  <c r="AX835" i="1"/>
  <c r="BE835" i="1"/>
  <c r="P843" i="1"/>
  <c r="BE843" i="1"/>
  <c r="AX843" i="1"/>
  <c r="P828" i="1"/>
  <c r="AX828" i="1"/>
  <c r="BE828" i="1"/>
  <c r="P836" i="1"/>
  <c r="AX836" i="1"/>
  <c r="BE836" i="1"/>
  <c r="AS857" i="1"/>
  <c r="BB848" i="1"/>
  <c r="AY848" i="1" s="1"/>
  <c r="Q848" i="1" s="1"/>
  <c r="AZ848" i="1"/>
  <c r="BA848" i="1"/>
  <c r="AS870" i="1"/>
  <c r="BB861" i="1"/>
  <c r="AY861" i="1" s="1"/>
  <c r="Q861" i="1" s="1"/>
  <c r="AZ861" i="1"/>
  <c r="BA861" i="1"/>
  <c r="AS865" i="1"/>
  <c r="BB856" i="1"/>
  <c r="AY856" i="1" s="1"/>
  <c r="Q856" i="1" s="1"/>
  <c r="AZ856" i="1"/>
  <c r="BA856" i="1"/>
  <c r="AS855" i="1"/>
  <c r="BB846" i="1"/>
  <c r="AY846" i="1" s="1"/>
  <c r="Q846" i="1" s="1"/>
  <c r="AZ846" i="1"/>
  <c r="BA846" i="1"/>
  <c r="AS863" i="1"/>
  <c r="BB854" i="1"/>
  <c r="AY854" i="1" s="1"/>
  <c r="Q854" i="1" s="1"/>
  <c r="AZ854" i="1"/>
  <c r="BA854" i="1"/>
  <c r="AS858" i="1"/>
  <c r="BB849" i="1"/>
  <c r="AY849" i="1" s="1"/>
  <c r="Q849" i="1" s="1"/>
  <c r="AZ849" i="1"/>
  <c r="BA849" i="1"/>
  <c r="AS862" i="1"/>
  <c r="BB853" i="1"/>
  <c r="AY853" i="1" s="1"/>
  <c r="Q853" i="1" s="1"/>
  <c r="AZ853" i="1"/>
  <c r="BA853" i="1"/>
  <c r="P838" i="1"/>
  <c r="AX838" i="1"/>
  <c r="BE838" i="1"/>
  <c r="P830" i="1"/>
  <c r="AX830" i="1"/>
  <c r="BE830" i="1"/>
  <c r="O833" i="1"/>
  <c r="BD833" i="1"/>
  <c r="BC833" i="1"/>
  <c r="AS851" i="1"/>
  <c r="BB842" i="1"/>
  <c r="AY842" i="1" s="1"/>
  <c r="Q842" i="1" s="1"/>
  <c r="AZ842" i="1"/>
  <c r="BA842" i="1"/>
  <c r="P824" i="1"/>
  <c r="AX824" i="1"/>
  <c r="BE824" i="1"/>
  <c r="O850" i="1" l="1"/>
  <c r="BC850" i="1"/>
  <c r="BD850" i="1"/>
  <c r="AS868" i="1"/>
  <c r="AZ859" i="1"/>
  <c r="BB859" i="1"/>
  <c r="AY859" i="1" s="1"/>
  <c r="Q859" i="1" s="1"/>
  <c r="BA859" i="1"/>
  <c r="P841" i="1"/>
  <c r="BE841" i="1"/>
  <c r="AX841" i="1"/>
  <c r="O849" i="1"/>
  <c r="BD849" i="1"/>
  <c r="BC849" i="1"/>
  <c r="O854" i="1"/>
  <c r="BC854" i="1"/>
  <c r="BD854" i="1"/>
  <c r="O846" i="1"/>
  <c r="BC846" i="1"/>
  <c r="BD846" i="1"/>
  <c r="O856" i="1"/>
  <c r="BC856" i="1"/>
  <c r="BD856" i="1"/>
  <c r="O861" i="1"/>
  <c r="BC861" i="1"/>
  <c r="BD861" i="1"/>
  <c r="O848" i="1"/>
  <c r="BD848" i="1"/>
  <c r="BC848" i="1"/>
  <c r="P839" i="1"/>
  <c r="AX839" i="1"/>
  <c r="BE839" i="1"/>
  <c r="P844" i="1"/>
  <c r="AX844" i="1"/>
  <c r="BE844" i="1"/>
  <c r="O853" i="1"/>
  <c r="BC853" i="1"/>
  <c r="BD853" i="1"/>
  <c r="P837" i="1"/>
  <c r="AX837" i="1"/>
  <c r="BE837" i="1"/>
  <c r="P852" i="1"/>
  <c r="AX852" i="1"/>
  <c r="BE852" i="1"/>
  <c r="P847" i="1"/>
  <c r="AX847" i="1"/>
  <c r="BE847" i="1"/>
  <c r="P840" i="1"/>
  <c r="BE840" i="1"/>
  <c r="AX840" i="1"/>
  <c r="AS871" i="1"/>
  <c r="BB862" i="1"/>
  <c r="AY862" i="1" s="1"/>
  <c r="Q862" i="1" s="1"/>
  <c r="AZ862" i="1"/>
  <c r="BA862" i="1"/>
  <c r="AS867" i="1"/>
  <c r="BB858" i="1"/>
  <c r="AY858" i="1" s="1"/>
  <c r="Q858" i="1" s="1"/>
  <c r="AZ858" i="1"/>
  <c r="BA858" i="1"/>
  <c r="AS872" i="1"/>
  <c r="BB863" i="1"/>
  <c r="AY863" i="1" s="1"/>
  <c r="Q863" i="1" s="1"/>
  <c r="AZ863" i="1"/>
  <c r="BA863" i="1"/>
  <c r="AS864" i="1"/>
  <c r="BB855" i="1"/>
  <c r="AY855" i="1" s="1"/>
  <c r="Q855" i="1" s="1"/>
  <c r="AZ855" i="1"/>
  <c r="BA855" i="1"/>
  <c r="AS874" i="1"/>
  <c r="BB865" i="1"/>
  <c r="AY865" i="1" s="1"/>
  <c r="Q865" i="1" s="1"/>
  <c r="AZ865" i="1"/>
  <c r="BA865" i="1"/>
  <c r="AS879" i="1"/>
  <c r="BB870" i="1"/>
  <c r="AY870" i="1" s="1"/>
  <c r="Q870" i="1" s="1"/>
  <c r="AZ870" i="1"/>
  <c r="BA870" i="1"/>
  <c r="AS866" i="1"/>
  <c r="AZ857" i="1"/>
  <c r="BB857" i="1"/>
  <c r="AY857" i="1" s="1"/>
  <c r="Q857" i="1" s="1"/>
  <c r="BA857" i="1"/>
  <c r="P845" i="1"/>
  <c r="AX845" i="1"/>
  <c r="BE845" i="1"/>
  <c r="P833" i="1"/>
  <c r="AX833" i="1"/>
  <c r="BE833" i="1"/>
  <c r="AS860" i="1"/>
  <c r="AZ851" i="1"/>
  <c r="BB851" i="1"/>
  <c r="AY851" i="1" s="1"/>
  <c r="Q851" i="1" s="1"/>
  <c r="BA851" i="1"/>
  <c r="O842" i="1"/>
  <c r="BC842" i="1"/>
  <c r="BD842" i="1"/>
  <c r="P850" i="1" l="1"/>
  <c r="BE850" i="1"/>
  <c r="AX850" i="1"/>
  <c r="AS877" i="1"/>
  <c r="AZ868" i="1"/>
  <c r="BB868" i="1"/>
  <c r="AY868" i="1" s="1"/>
  <c r="Q868" i="1" s="1"/>
  <c r="BA868" i="1"/>
  <c r="O859" i="1"/>
  <c r="BD859" i="1"/>
  <c r="BC859" i="1"/>
  <c r="AS888" i="1"/>
  <c r="BB879" i="1"/>
  <c r="AY879" i="1" s="1"/>
  <c r="Q879" i="1" s="1"/>
  <c r="AZ879" i="1"/>
  <c r="BA879" i="1"/>
  <c r="AS873" i="1"/>
  <c r="BB864" i="1"/>
  <c r="AY864" i="1" s="1"/>
  <c r="Q864" i="1" s="1"/>
  <c r="AZ864" i="1"/>
  <c r="BA864" i="1"/>
  <c r="AS876" i="1"/>
  <c r="BB867" i="1"/>
  <c r="AY867" i="1" s="1"/>
  <c r="Q867" i="1" s="1"/>
  <c r="AZ867" i="1"/>
  <c r="BA867" i="1"/>
  <c r="P846" i="1"/>
  <c r="AX846" i="1"/>
  <c r="BE846" i="1"/>
  <c r="P856" i="1"/>
  <c r="BE856" i="1"/>
  <c r="AX856" i="1"/>
  <c r="P849" i="1"/>
  <c r="BE849" i="1"/>
  <c r="AX849" i="1"/>
  <c r="O857" i="1"/>
  <c r="BD857" i="1"/>
  <c r="BC857" i="1"/>
  <c r="AS875" i="1"/>
  <c r="BB866" i="1"/>
  <c r="AY866" i="1" s="1"/>
  <c r="Q866" i="1" s="1"/>
  <c r="AZ866" i="1"/>
  <c r="BA866" i="1"/>
  <c r="AS883" i="1"/>
  <c r="BB874" i="1"/>
  <c r="AY874" i="1" s="1"/>
  <c r="Q874" i="1" s="1"/>
  <c r="AZ874" i="1"/>
  <c r="BA874" i="1"/>
  <c r="AS881" i="1"/>
  <c r="BB872" i="1"/>
  <c r="AY872" i="1" s="1"/>
  <c r="Q872" i="1" s="1"/>
  <c r="AZ872" i="1"/>
  <c r="BA872" i="1"/>
  <c r="AS880" i="1"/>
  <c r="BB871" i="1"/>
  <c r="AY871" i="1" s="1"/>
  <c r="Q871" i="1" s="1"/>
  <c r="AZ871" i="1"/>
  <c r="BA871" i="1"/>
  <c r="O870" i="1"/>
  <c r="BD870" i="1"/>
  <c r="BC870" i="1"/>
  <c r="O865" i="1"/>
  <c r="BD865" i="1"/>
  <c r="BC865" i="1"/>
  <c r="O855" i="1"/>
  <c r="BC855" i="1"/>
  <c r="BD855" i="1"/>
  <c r="O863" i="1"/>
  <c r="BD863" i="1"/>
  <c r="BC863" i="1"/>
  <c r="O858" i="1"/>
  <c r="BD858" i="1"/>
  <c r="BC858" i="1"/>
  <c r="O862" i="1"/>
  <c r="BD862" i="1"/>
  <c r="BC862" i="1"/>
  <c r="P853" i="1"/>
  <c r="BE853" i="1"/>
  <c r="AX853" i="1"/>
  <c r="P848" i="1"/>
  <c r="AX848" i="1"/>
  <c r="BE848" i="1"/>
  <c r="P861" i="1"/>
  <c r="AX861" i="1"/>
  <c r="BE861" i="1"/>
  <c r="P854" i="1"/>
  <c r="AX854" i="1"/>
  <c r="BE854" i="1"/>
  <c r="AS869" i="1"/>
  <c r="AZ860" i="1"/>
  <c r="BB860" i="1"/>
  <c r="AY860" i="1" s="1"/>
  <c r="Q860" i="1" s="1"/>
  <c r="BA860" i="1"/>
  <c r="P842" i="1"/>
  <c r="BE842" i="1"/>
  <c r="AX842" i="1"/>
  <c r="O851" i="1"/>
  <c r="BD851" i="1"/>
  <c r="BC851" i="1"/>
  <c r="AS886" i="1" l="1"/>
  <c r="BB877" i="1"/>
  <c r="AY877" i="1" s="1"/>
  <c r="Q877" i="1" s="1"/>
  <c r="AZ877" i="1"/>
  <c r="BA877" i="1"/>
  <c r="P859" i="1"/>
  <c r="AX859" i="1"/>
  <c r="BE859" i="1"/>
  <c r="O868" i="1"/>
  <c r="BD868" i="1"/>
  <c r="BC868" i="1"/>
  <c r="P858" i="1"/>
  <c r="AX858" i="1"/>
  <c r="BE858" i="1"/>
  <c r="P870" i="1"/>
  <c r="BE870" i="1"/>
  <c r="AX870" i="1"/>
  <c r="O871" i="1"/>
  <c r="BC871" i="1"/>
  <c r="BD871" i="1"/>
  <c r="O872" i="1"/>
  <c r="BD872" i="1"/>
  <c r="BC872" i="1"/>
  <c r="O874" i="1"/>
  <c r="BC874" i="1"/>
  <c r="BD874" i="1"/>
  <c r="O866" i="1"/>
  <c r="BD866" i="1"/>
  <c r="BC866" i="1"/>
  <c r="O867" i="1"/>
  <c r="BD867" i="1"/>
  <c r="BC867" i="1"/>
  <c r="O864" i="1"/>
  <c r="BD864" i="1"/>
  <c r="BC864" i="1"/>
  <c r="O879" i="1"/>
  <c r="BC879" i="1"/>
  <c r="BD879" i="1"/>
  <c r="P863" i="1"/>
  <c r="BE863" i="1"/>
  <c r="AX863" i="1"/>
  <c r="P862" i="1"/>
  <c r="BE862" i="1"/>
  <c r="AX862" i="1"/>
  <c r="P865" i="1"/>
  <c r="BE865" i="1"/>
  <c r="AX865" i="1"/>
  <c r="P855" i="1"/>
  <c r="AX855" i="1"/>
  <c r="BE855" i="1"/>
  <c r="P857" i="1"/>
  <c r="BE857" i="1"/>
  <c r="AX857" i="1"/>
  <c r="AS889" i="1"/>
  <c r="BB880" i="1"/>
  <c r="AY880" i="1" s="1"/>
  <c r="Q880" i="1" s="1"/>
  <c r="AZ880" i="1"/>
  <c r="BA880" i="1"/>
  <c r="AS890" i="1"/>
  <c r="BB881" i="1"/>
  <c r="AY881" i="1" s="1"/>
  <c r="Q881" i="1" s="1"/>
  <c r="AZ881" i="1"/>
  <c r="BA881" i="1"/>
  <c r="AS892" i="1"/>
  <c r="BB883" i="1"/>
  <c r="AY883" i="1" s="1"/>
  <c r="Q883" i="1" s="1"/>
  <c r="AZ883" i="1"/>
  <c r="BA883" i="1"/>
  <c r="AS884" i="1"/>
  <c r="BB875" i="1"/>
  <c r="AY875" i="1" s="1"/>
  <c r="Q875" i="1" s="1"/>
  <c r="AZ875" i="1"/>
  <c r="BA875" i="1"/>
  <c r="AS885" i="1"/>
  <c r="BB876" i="1"/>
  <c r="AY876" i="1" s="1"/>
  <c r="Q876" i="1" s="1"/>
  <c r="AZ876" i="1"/>
  <c r="BA876" i="1"/>
  <c r="AS882" i="1"/>
  <c r="BB873" i="1"/>
  <c r="AY873" i="1" s="1"/>
  <c r="Q873" i="1" s="1"/>
  <c r="AZ873" i="1"/>
  <c r="BA873" i="1"/>
  <c r="AS897" i="1"/>
  <c r="BB888" i="1"/>
  <c r="AY888" i="1" s="1"/>
  <c r="Q888" i="1" s="1"/>
  <c r="AZ888" i="1"/>
  <c r="BA888" i="1"/>
  <c r="O860" i="1"/>
  <c r="BD860" i="1"/>
  <c r="BC860" i="1"/>
  <c r="P851" i="1"/>
  <c r="AX851" i="1"/>
  <c r="BE851" i="1"/>
  <c r="AS878" i="1"/>
  <c r="AZ869" i="1"/>
  <c r="BB869" i="1"/>
  <c r="AY869" i="1" s="1"/>
  <c r="Q869" i="1" s="1"/>
  <c r="BA869" i="1"/>
  <c r="AS895" i="1" l="1"/>
  <c r="AZ886" i="1"/>
  <c r="BB886" i="1"/>
  <c r="AY886" i="1" s="1"/>
  <c r="Q886" i="1" s="1"/>
  <c r="BA886" i="1"/>
  <c r="O877" i="1"/>
  <c r="BD877" i="1"/>
  <c r="BC877" i="1"/>
  <c r="P868" i="1"/>
  <c r="AX868" i="1"/>
  <c r="BE868" i="1"/>
  <c r="O876" i="1"/>
  <c r="BD876" i="1"/>
  <c r="BC876" i="1"/>
  <c r="P864" i="1"/>
  <c r="BE864" i="1"/>
  <c r="AX864" i="1"/>
  <c r="P872" i="1"/>
  <c r="AX872" i="1"/>
  <c r="BE872" i="1"/>
  <c r="P871" i="1"/>
  <c r="BE871" i="1"/>
  <c r="AX871" i="1"/>
  <c r="BB897" i="1"/>
  <c r="AY897" i="1" s="1"/>
  <c r="Q897" i="1" s="1"/>
  <c r="AZ897" i="1"/>
  <c r="BA897" i="1"/>
  <c r="AS891" i="1"/>
  <c r="BB882" i="1"/>
  <c r="AY882" i="1" s="1"/>
  <c r="Q882" i="1" s="1"/>
  <c r="AZ882" i="1"/>
  <c r="BA882" i="1"/>
  <c r="AS894" i="1"/>
  <c r="BB885" i="1"/>
  <c r="AY885" i="1" s="1"/>
  <c r="Q885" i="1" s="1"/>
  <c r="AZ885" i="1"/>
  <c r="BA885" i="1"/>
  <c r="AS893" i="1"/>
  <c r="BB884" i="1"/>
  <c r="AY884" i="1" s="1"/>
  <c r="Q884" i="1" s="1"/>
  <c r="AZ884" i="1"/>
  <c r="BA884" i="1"/>
  <c r="AS901" i="1"/>
  <c r="BB892" i="1"/>
  <c r="AY892" i="1" s="1"/>
  <c r="Q892" i="1" s="1"/>
  <c r="AZ892" i="1"/>
  <c r="BA892" i="1"/>
  <c r="AS899" i="1"/>
  <c r="BB890" i="1"/>
  <c r="AY890" i="1" s="1"/>
  <c r="Q890" i="1" s="1"/>
  <c r="AZ890" i="1"/>
  <c r="BA890" i="1"/>
  <c r="AS898" i="1"/>
  <c r="BB889" i="1"/>
  <c r="AY889" i="1" s="1"/>
  <c r="Q889" i="1" s="1"/>
  <c r="AZ889" i="1"/>
  <c r="BA889" i="1"/>
  <c r="O888" i="1"/>
  <c r="BC888" i="1"/>
  <c r="BD888" i="1"/>
  <c r="P879" i="1"/>
  <c r="AX879" i="1"/>
  <c r="BE879" i="1"/>
  <c r="P866" i="1"/>
  <c r="AX866" i="1"/>
  <c r="BE866" i="1"/>
  <c r="P874" i="1"/>
  <c r="AX874" i="1"/>
  <c r="BE874" i="1"/>
  <c r="O873" i="1"/>
  <c r="BD873" i="1"/>
  <c r="BC873" i="1"/>
  <c r="O875" i="1"/>
  <c r="BD875" i="1"/>
  <c r="BC875" i="1"/>
  <c r="O883" i="1"/>
  <c r="BD883" i="1"/>
  <c r="BC883" i="1"/>
  <c r="O881" i="1"/>
  <c r="BD881" i="1"/>
  <c r="BC881" i="1"/>
  <c r="O880" i="1"/>
  <c r="BD880" i="1"/>
  <c r="BC880" i="1"/>
  <c r="P867" i="1"/>
  <c r="AX867" i="1"/>
  <c r="BE867" i="1"/>
  <c r="AS887" i="1"/>
  <c r="BB878" i="1"/>
  <c r="AY878" i="1" s="1"/>
  <c r="Q878" i="1" s="1"/>
  <c r="AZ878" i="1"/>
  <c r="BA878" i="1"/>
  <c r="P860" i="1"/>
  <c r="AX860" i="1"/>
  <c r="BE860" i="1"/>
  <c r="O869" i="1"/>
  <c r="BC869" i="1"/>
  <c r="BD869" i="1"/>
  <c r="P877" i="1" l="1"/>
  <c r="AX877" i="1"/>
  <c r="BE877" i="1"/>
  <c r="O886" i="1"/>
  <c r="BC886" i="1"/>
  <c r="BD886" i="1"/>
  <c r="AZ895" i="1"/>
  <c r="BB895" i="1"/>
  <c r="AY895" i="1" s="1"/>
  <c r="Q895" i="1" s="1"/>
  <c r="BA895" i="1"/>
  <c r="BB898" i="1"/>
  <c r="AY898" i="1" s="1"/>
  <c r="Q898" i="1" s="1"/>
  <c r="AZ898" i="1"/>
  <c r="BA898" i="1"/>
  <c r="BB901" i="1"/>
  <c r="AY901" i="1" s="1"/>
  <c r="Q901" i="1" s="1"/>
  <c r="AZ901" i="1"/>
  <c r="BA901" i="1"/>
  <c r="AS902" i="1"/>
  <c r="BB893" i="1"/>
  <c r="AY893" i="1" s="1"/>
  <c r="Q893" i="1" s="1"/>
  <c r="AZ893" i="1"/>
  <c r="BA893" i="1"/>
  <c r="AS900" i="1"/>
  <c r="BB891" i="1"/>
  <c r="AY891" i="1" s="1"/>
  <c r="Q891" i="1" s="1"/>
  <c r="AZ891" i="1"/>
  <c r="BA891" i="1"/>
  <c r="P881" i="1"/>
  <c r="BE881" i="1"/>
  <c r="AX881" i="1"/>
  <c r="P876" i="1"/>
  <c r="AX876" i="1"/>
  <c r="BE876" i="1"/>
  <c r="P875" i="1"/>
  <c r="AX875" i="1"/>
  <c r="BE875" i="1"/>
  <c r="P883" i="1"/>
  <c r="BE883" i="1"/>
  <c r="AX883" i="1"/>
  <c r="BB899" i="1"/>
  <c r="AY899" i="1" s="1"/>
  <c r="Q899" i="1" s="1"/>
  <c r="AZ899" i="1"/>
  <c r="BA899" i="1"/>
  <c r="AS903" i="1"/>
  <c r="BB894" i="1"/>
  <c r="AY894" i="1" s="1"/>
  <c r="Q894" i="1" s="1"/>
  <c r="AZ894" i="1"/>
  <c r="BA894" i="1"/>
  <c r="P880" i="1"/>
  <c r="AX880" i="1"/>
  <c r="BE880" i="1"/>
  <c r="P873" i="1"/>
  <c r="BE873" i="1"/>
  <c r="AX873" i="1"/>
  <c r="O889" i="1"/>
  <c r="BC889" i="1"/>
  <c r="BD889" i="1"/>
  <c r="O890" i="1"/>
  <c r="BD890" i="1"/>
  <c r="BC890" i="1"/>
  <c r="O892" i="1"/>
  <c r="BC892" i="1"/>
  <c r="BD892" i="1"/>
  <c r="O884" i="1"/>
  <c r="BC884" i="1"/>
  <c r="BD884" i="1"/>
  <c r="O885" i="1"/>
  <c r="BD885" i="1"/>
  <c r="BC885" i="1"/>
  <c r="O882" i="1"/>
  <c r="BD882" i="1"/>
  <c r="BC882" i="1"/>
  <c r="O897" i="1"/>
  <c r="BC897" i="1"/>
  <c r="BD897" i="1"/>
  <c r="P888" i="1"/>
  <c r="BE888" i="1"/>
  <c r="AX888" i="1"/>
  <c r="O878" i="1"/>
  <c r="BD878" i="1"/>
  <c r="BC878" i="1"/>
  <c r="P869" i="1"/>
  <c r="AX869" i="1"/>
  <c r="BE869" i="1"/>
  <c r="AS896" i="1"/>
  <c r="AZ887" i="1"/>
  <c r="BB887" i="1"/>
  <c r="AY887" i="1" s="1"/>
  <c r="Q887" i="1" s="1"/>
  <c r="BA887" i="1"/>
  <c r="P886" i="1" l="1"/>
  <c r="BE886" i="1"/>
  <c r="AX886" i="1"/>
  <c r="O895" i="1"/>
  <c r="BC895" i="1"/>
  <c r="BD895" i="1"/>
  <c r="P882" i="1"/>
  <c r="AX882" i="1"/>
  <c r="BE882" i="1"/>
  <c r="P890" i="1"/>
  <c r="BE890" i="1"/>
  <c r="AX890" i="1"/>
  <c r="O899" i="1"/>
  <c r="BC899" i="1"/>
  <c r="BD899" i="1"/>
  <c r="BB900" i="1"/>
  <c r="AY900" i="1" s="1"/>
  <c r="Q900" i="1" s="1"/>
  <c r="AZ900" i="1"/>
  <c r="BA900" i="1"/>
  <c r="BB902" i="1"/>
  <c r="AY902" i="1" s="1"/>
  <c r="Q902" i="1" s="1"/>
  <c r="AZ902" i="1"/>
  <c r="BA902" i="1"/>
  <c r="P889" i="1"/>
  <c r="AX889" i="1"/>
  <c r="BE889" i="1"/>
  <c r="O894" i="1"/>
  <c r="BC894" i="1"/>
  <c r="BD894" i="1"/>
  <c r="P897" i="1"/>
  <c r="AX897" i="1"/>
  <c r="BE897" i="1"/>
  <c r="P892" i="1"/>
  <c r="BE892" i="1"/>
  <c r="AX892" i="1"/>
  <c r="P885" i="1"/>
  <c r="AX885" i="1"/>
  <c r="BE885" i="1"/>
  <c r="P884" i="1"/>
  <c r="BE884" i="1"/>
  <c r="AX884" i="1"/>
  <c r="BB903" i="1"/>
  <c r="AY903" i="1" s="1"/>
  <c r="Q903" i="1" s="1"/>
  <c r="AZ903" i="1"/>
  <c r="BA903" i="1"/>
  <c r="O898" i="1"/>
  <c r="BD898" i="1"/>
  <c r="BC898" i="1"/>
  <c r="O891" i="1"/>
  <c r="BD891" i="1"/>
  <c r="BC891" i="1"/>
  <c r="O893" i="1"/>
  <c r="BC893" i="1"/>
  <c r="BD893" i="1"/>
  <c r="O901" i="1"/>
  <c r="BC901" i="1"/>
  <c r="BD901" i="1"/>
  <c r="O887" i="1"/>
  <c r="BD887" i="1"/>
  <c r="BC887" i="1"/>
  <c r="AZ896" i="1"/>
  <c r="BB896" i="1"/>
  <c r="AY896" i="1" s="1"/>
  <c r="Q896" i="1" s="1"/>
  <c r="BA896" i="1"/>
  <c r="P878" i="1"/>
  <c r="BE878" i="1"/>
  <c r="AX878" i="1"/>
  <c r="P895" i="1" l="1"/>
  <c r="AX895" i="1"/>
  <c r="BE895" i="1"/>
  <c r="P893" i="1"/>
  <c r="AX893" i="1"/>
  <c r="BE893" i="1"/>
  <c r="P899" i="1"/>
  <c r="AX899" i="1"/>
  <c r="BE899" i="1"/>
  <c r="P898" i="1"/>
  <c r="BE898" i="1"/>
  <c r="AX898" i="1"/>
  <c r="O903" i="1"/>
  <c r="BC903" i="1"/>
  <c r="BD903" i="1"/>
  <c r="O900" i="1"/>
  <c r="BC900" i="1"/>
  <c r="BD900" i="1"/>
  <c r="P901" i="1"/>
  <c r="AX901" i="1"/>
  <c r="BE901" i="1"/>
  <c r="P891" i="1"/>
  <c r="AX891" i="1"/>
  <c r="BE891" i="1"/>
  <c r="O902" i="1"/>
  <c r="BC902" i="1"/>
  <c r="BD902" i="1"/>
  <c r="P894" i="1"/>
  <c r="BE894" i="1"/>
  <c r="AX894" i="1"/>
  <c r="P887" i="1"/>
  <c r="BE887" i="1"/>
  <c r="AX887" i="1"/>
  <c r="O896" i="1"/>
  <c r="BD896" i="1"/>
  <c r="BC896" i="1"/>
  <c r="P903" i="1" l="1"/>
  <c r="AX903" i="1"/>
  <c r="BE903" i="1"/>
  <c r="P902" i="1"/>
  <c r="BE902" i="1"/>
  <c r="AX902" i="1"/>
  <c r="P900" i="1"/>
  <c r="AX900" i="1"/>
  <c r="BE900" i="1"/>
  <c r="P896" i="1"/>
  <c r="AX896" i="1"/>
  <c r="BE896" i="1"/>
</calcChain>
</file>

<file path=xl/sharedStrings.xml><?xml version="1.0" encoding="utf-8"?>
<sst xmlns="http://schemas.openxmlformats.org/spreadsheetml/2006/main" count="10386" uniqueCount="204">
  <si>
    <t>id</t>
  </si>
  <si>
    <t>name</t>
  </si>
  <si>
    <t>star</t>
  </si>
  <si>
    <t>classes</t>
  </si>
  <si>
    <t>camp</t>
  </si>
  <si>
    <t>prefab</t>
  </si>
  <si>
    <t>scale</t>
  </si>
  <si>
    <t>image</t>
  </si>
  <si>
    <t>prepare_attack</t>
  </si>
  <si>
    <t>normal_attack</t>
  </si>
  <si>
    <t>range</t>
  </si>
  <si>
    <t>speed</t>
  </si>
  <si>
    <t>skill_speed</t>
  </si>
  <si>
    <t>damage_reduce</t>
  </si>
  <si>
    <t>atk</t>
  </si>
  <si>
    <t>hp</t>
  </si>
  <si>
    <t>def</t>
  </si>
  <si>
    <t>crit</t>
  </si>
  <si>
    <t>crit_damage</t>
  </si>
  <si>
    <t>hit</t>
  </si>
  <si>
    <t>dodge</t>
  </si>
  <si>
    <t>def_break</t>
  </si>
  <si>
    <t>skill_id</t>
  </si>
  <si>
    <t>talent_id</t>
  </si>
  <si>
    <t>power_skill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</si>
  <si>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how_level</t>
    </r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</si>
  <si>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ighting</t>
    </r>
  </si>
  <si>
    <t>fight_type</t>
  </si>
  <si>
    <t>fight_param1</t>
  </si>
  <si>
    <t>fight_param2</t>
  </si>
  <si>
    <t>fight_param3</t>
  </si>
  <si>
    <t>fight_num</t>
  </si>
  <si>
    <t>luck_type</t>
  </si>
  <si>
    <t>luck_param1</t>
  </si>
  <si>
    <t>luck_param2</t>
  </si>
  <si>
    <t>luck_param3</t>
  </si>
  <si>
    <t>luck_num</t>
  </si>
  <si>
    <t>luck_count</t>
  </si>
  <si>
    <t>map_id</t>
  </si>
  <si>
    <t>id = 公会祭坛等级*100 + bossID</t>
  </si>
  <si>
    <t>星级</t>
  </si>
  <si>
    <t>职业</t>
  </si>
  <si>
    <t>阵营</t>
  </si>
  <si>
    <t>攻速</t>
  </si>
  <si>
    <t>攻</t>
  </si>
  <si>
    <t>攻+</t>
  </si>
  <si>
    <t>血</t>
  </si>
  <si>
    <t>血+</t>
  </si>
  <si>
    <t>防</t>
  </si>
  <si>
    <t>防+</t>
  </si>
  <si>
    <t>等级</t>
  </si>
  <si>
    <t>战力</t>
  </si>
  <si>
    <t>参考星级</t>
  </si>
  <si>
    <t>升星加成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</si>
  <si>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</si>
  <si>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</si>
  <si>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</si>
  <si>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</si>
  <si>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</si>
  <si>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</si>
  <si>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int64</t>
  </si>
  <si>
    <t>list&lt;int32&gt;</t>
  </si>
  <si>
    <r>
      <rPr>
        <sz val="11"/>
        <color theme="1"/>
        <rFont val="宋体"/>
        <family val="3"/>
        <charset val="134"/>
        <scheme val="minor"/>
      </rPr>
      <t>list&lt;</t>
    </r>
    <r>
      <rPr>
        <sz val="11"/>
        <color theme="1"/>
        <rFont val="宋体"/>
        <family val="3"/>
        <charset val="134"/>
        <scheme val="minor"/>
      </rPr>
      <t>int32</t>
    </r>
    <r>
      <rPr>
        <sz val="11"/>
        <color theme="1"/>
        <rFont val="宋体"/>
        <family val="3"/>
        <charset val="134"/>
        <scheme val="minor"/>
      </rPr>
      <t>&gt;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</si>
  <si>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</si>
  <si>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白1星</t>
  </si>
  <si>
    <t>ID</t>
  </si>
  <si>
    <t>名称</t>
  </si>
  <si>
    <t>形象</t>
  </si>
  <si>
    <t>场景中的缩放</t>
  </si>
  <si>
    <t>头像</t>
  </si>
  <si>
    <t>普攻蓄力帧出现的粒子</t>
  </si>
  <si>
    <t>普通攻击帧粒子名字</t>
  </si>
  <si>
    <t>射程</t>
  </si>
  <si>
    <t>技能速度</t>
  </si>
  <si>
    <t>免伤值</t>
  </si>
  <si>
    <t>攻击力</t>
  </si>
  <si>
    <t>血量</t>
  </si>
  <si>
    <t>护甲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</si>
  <si>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</si>
  <si>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</si>
  <si>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</si>
  <si>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</si>
  <si>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</si>
  <si>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</si>
  <si>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</si>
  <si>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多少能量放技能</t>
  </si>
  <si>
    <t>显示等级</t>
  </si>
  <si>
    <t>显示战力</t>
  </si>
  <si>
    <t>挑战奖励类型</t>
  </si>
  <si>
    <t>挑战奖励参数</t>
  </si>
  <si>
    <t>挑战奖励数量</t>
  </si>
  <si>
    <t>奖池奖励类型</t>
  </si>
  <si>
    <t>奖池奖励参数</t>
  </si>
  <si>
    <t>奖池奖励数量</t>
  </si>
  <si>
    <t>奖池奖励次数</t>
  </si>
  <si>
    <t>地图ID</t>
  </si>
  <si>
    <t>当前级别</t>
  </si>
  <si>
    <t>参考英雄星级</t>
  </si>
  <si>
    <t>参考英雄等级</t>
  </si>
  <si>
    <t>公会人数</t>
  </si>
  <si>
    <t>挑战次数</t>
  </si>
  <si>
    <t>boss攻击力</t>
  </si>
  <si>
    <t>boss血量</t>
  </si>
  <si>
    <t>boss护甲</t>
  </si>
  <si>
    <t>基础攻击力</t>
  </si>
  <si>
    <t>基础生命</t>
  </si>
  <si>
    <t>基础护甲</t>
  </si>
  <si>
    <t>绿2星</t>
  </si>
  <si>
    <t>DATA_GuildBossName1</t>
  </si>
  <si>
    <t>5</t>
  </si>
  <si>
    <t>2</t>
  </si>
  <si>
    <t>28,1</t>
  </si>
  <si>
    <t>0,0</t>
  </si>
  <si>
    <t>100,10000</t>
  </si>
  <si>
    <t>紫3星</t>
  </si>
  <si>
    <t>DATA_GuildBossName2</t>
  </si>
  <si>
    <t>紫4星</t>
  </si>
  <si>
    <t>DATA_GuildBossName3</t>
  </si>
  <si>
    <t>紫5星</t>
  </si>
  <si>
    <t>DATA_GuildBossName4</t>
  </si>
  <si>
    <t>4</t>
  </si>
  <si>
    <t>橙5星</t>
  </si>
  <si>
    <t>DATA_GuildBossName5</t>
  </si>
  <si>
    <t>橙6星</t>
  </si>
  <si>
    <t>DATA_GuildBossName6</t>
  </si>
  <si>
    <t>橙7星</t>
  </si>
  <si>
    <t>DATA_GuildBossName7</t>
  </si>
  <si>
    <t>橙8星</t>
  </si>
  <si>
    <t>DATA_GuildBossName8</t>
  </si>
  <si>
    <t>怪_黑骑士_5</t>
  </si>
  <si>
    <t>黑骑士_5</t>
  </si>
  <si>
    <t>橙9星</t>
  </si>
  <si>
    <t>DATA_GuildBossName9</t>
  </si>
  <si>
    <t>橙10星</t>
  </si>
  <si>
    <t>橙11星</t>
  </si>
  <si>
    <t>橙12星</t>
  </si>
  <si>
    <t>橙13星</t>
  </si>
  <si>
    <t>bossHP=1分半时间内造成的基础伤害。</t>
    <phoneticPr fontId="8" type="noConversion"/>
  </si>
  <si>
    <t>免伤</t>
    <phoneticPr fontId="8" type="noConversion"/>
  </si>
  <si>
    <t>显示战力</t>
    <phoneticPr fontId="8" type="noConversion"/>
  </si>
  <si>
    <t>战士2_55_5</t>
    <phoneticPr fontId="8" type="noConversion"/>
  </si>
  <si>
    <t>怪_树人_5</t>
    <phoneticPr fontId="8" type="noConversion"/>
  </si>
  <si>
    <t>怪_刺客1_6</t>
    <phoneticPr fontId="8" type="noConversion"/>
  </si>
  <si>
    <t>怪_刺客2_7</t>
  </si>
  <si>
    <t>怪_战士1_5</t>
  </si>
  <si>
    <t>怪_刺客0_7</t>
    <phoneticPr fontId="8" type="noConversion"/>
  </si>
  <si>
    <t>怪_法师0_7</t>
    <phoneticPr fontId="8" type="noConversion"/>
  </si>
  <si>
    <t>怪_游侠0_9</t>
    <phoneticPr fontId="8" type="noConversion"/>
  </si>
  <si>
    <t>新普攻粒子/法老普通攻击</t>
    <phoneticPr fontId="8" type="noConversion"/>
  </si>
  <si>
    <t>新普攻粒子/海盗船长普通攻击</t>
    <phoneticPr fontId="8" type="noConversion"/>
  </si>
  <si>
    <t>BOSSID</t>
  </si>
  <si>
    <t>第1个BOSS</t>
  </si>
  <si>
    <t>钻石*100</t>
  </si>
  <si>
    <t>钻石*200</t>
  </si>
  <si>
    <t>五星普通碎片*5</t>
  </si>
  <si>
    <t>五星传奇碎片*5</t>
  </si>
  <si>
    <t>6h经验宝箱*1</t>
  </si>
  <si>
    <t>6h经验宝箱*2</t>
  </si>
  <si>
    <t>第2个BOSS</t>
  </si>
  <si>
    <t>6h金币宝箱*1</t>
  </si>
  <si>
    <t>6h金币宝箱*2</t>
  </si>
  <si>
    <t>第3个BOSS</t>
  </si>
  <si>
    <t>公会币*1000</t>
  </si>
  <si>
    <t>公会币*1500</t>
  </si>
  <si>
    <t>第4个BOSS</t>
  </si>
  <si>
    <t>英雄契约*1</t>
  </si>
  <si>
    <t>英雄契约*2</t>
  </si>
  <si>
    <t>第5个BOSS</t>
  </si>
  <si>
    <t>神秘碎片*100</t>
  </si>
  <si>
    <t>神秘碎片*200</t>
  </si>
  <si>
    <t>第6个BOSS</t>
  </si>
  <si>
    <t>12h经验宝箱*1</t>
  </si>
  <si>
    <t>12h经验宝箱*2</t>
  </si>
  <si>
    <t>第7个BOSS</t>
  </si>
  <si>
    <t>第8个BOSS</t>
  </si>
  <si>
    <t>第9个BOSS</t>
  </si>
  <si>
    <t>12h金币宝箱*1</t>
  </si>
  <si>
    <t>12h金币宝箱*2</t>
  </si>
  <si>
    <t>击败BOSS的奖励列表</t>
    <phoneticPr fontId="8" type="noConversion"/>
  </si>
  <si>
    <t>700111,700121,700131</t>
    <phoneticPr fontId="8" type="noConversion"/>
  </si>
  <si>
    <t>700211,700221,700231</t>
    <phoneticPr fontId="8" type="noConversion"/>
  </si>
  <si>
    <t>700311,700321,700331</t>
    <phoneticPr fontId="8" type="noConversion"/>
  </si>
  <si>
    <t>700411,700421,700431</t>
    <phoneticPr fontId="8" type="noConversion"/>
  </si>
  <si>
    <t>700511,700521,700531</t>
    <phoneticPr fontId="8" type="noConversion"/>
  </si>
  <si>
    <t>700611,700621,700631</t>
    <phoneticPr fontId="8" type="noConversion"/>
  </si>
  <si>
    <t>700711,700721,700731</t>
    <phoneticPr fontId="8" type="noConversion"/>
  </si>
  <si>
    <t>700811,700821,700831</t>
    <phoneticPr fontId="8" type="noConversion"/>
  </si>
  <si>
    <t>700911,700921,700931</t>
    <phoneticPr fontId="8" type="noConversion"/>
  </si>
  <si>
    <t>刺客1_6</t>
    <phoneticPr fontId="8" type="noConversion"/>
  </si>
  <si>
    <t>战士1_5</t>
    <phoneticPr fontId="8" type="noConversion"/>
  </si>
  <si>
    <t>刺客0_7</t>
    <phoneticPr fontId="8" type="noConversion"/>
  </si>
  <si>
    <t>法师0_7</t>
    <phoneticPr fontId="8" type="noConversion"/>
  </si>
  <si>
    <t>游侠0_9</t>
    <phoneticPr fontId="8" type="noConversion"/>
  </si>
  <si>
    <t>刺客2_7</t>
    <phoneticPr fontId="8" type="noConversion"/>
  </si>
  <si>
    <t>树人_5</t>
    <phoneticPr fontId="8" type="noConversion"/>
  </si>
  <si>
    <t>品阶加成</t>
    <phoneticPr fontId="8" type="noConversion"/>
  </si>
  <si>
    <t>参考英雄进阶</t>
    <phoneticPr fontId="8" type="noConversion"/>
  </si>
  <si>
    <t>公会币*1000</t>
    <phoneticPr fontId="8" type="noConversion"/>
  </si>
  <si>
    <t>五星普通碎片*5</t>
    <phoneticPr fontId="8" type="noConversion"/>
  </si>
  <si>
    <t>公会币奖励</t>
    <phoneticPr fontId="8" type="noConversion"/>
  </si>
  <si>
    <t>金币奖励</t>
    <phoneticPr fontId="8" type="noConversion"/>
  </si>
  <si>
    <t>基础公会币</t>
    <phoneticPr fontId="8" type="noConversion"/>
  </si>
  <si>
    <t>基础金币</t>
    <phoneticPr fontId="8" type="noConversion"/>
  </si>
  <si>
    <t>加成(图鉴，光环，装备)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</si>
</sst>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10.5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rgb="FFA62A97"/>
      <name val="宋体"/>
      <family val="3"/>
      <charset val="134"/>
    </font>
    <font>
      <sz val="11"/>
      <color rgb="FF00B0F0"/>
      <name val="宋体"/>
      <family val="3"/>
      <charset val="134"/>
    </font>
    <font>
      <sz val="11"/>
      <color theme="5" tint="-0.249977111117893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1" fillId="0" borderId="0" xfId="0" applyFont="1">
      <alignment vertical="center"/>
    </xf>
    <xf numFmtId="49" fontId="0" fillId="0" borderId="0" xfId="0" applyNumberFormat="1" applyFont="1" applyAlignment="1"/>
    <xf numFmtId="0" fontId="0" fillId="0" borderId="0" xfId="0" applyFont="1" applyAlignment="1"/>
    <xf numFmtId="49" fontId="2" fillId="0" borderId="0" xfId="0" applyNumberFormat="1" applyFont="1" applyAlignment="1"/>
    <xf numFmtId="0" fontId="2" fillId="0" borderId="0" xfId="0" applyFont="1" applyAlignment="1"/>
    <xf numFmtId="0" fontId="0" fillId="2" borderId="0" xfId="0" applyFont="1" applyFill="1" applyAlignment="1"/>
    <xf numFmtId="0" fontId="0" fillId="3" borderId="0" xfId="0" applyFont="1" applyFill="1" applyAlignment="1"/>
    <xf numFmtId="0" fontId="0" fillId="0" borderId="0" xfId="0" applyFont="1" applyAlignment="1">
      <alignment vertical="center"/>
    </xf>
    <xf numFmtId="0" fontId="0" fillId="2" borderId="0" xfId="0" applyFill="1" applyAlignment="1"/>
    <xf numFmtId="0" fontId="0" fillId="3" borderId="0" xfId="0" applyFill="1" applyAlignment="1"/>
    <xf numFmtId="0" fontId="0" fillId="4" borderId="0" xfId="0" applyFont="1" applyFill="1" applyAlignment="1"/>
    <xf numFmtId="0" fontId="0" fillId="4" borderId="0" xfId="0" applyFill="1" applyAlignment="1"/>
    <xf numFmtId="0" fontId="0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0" xfId="0" applyFont="1">
      <alignment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7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2" fillId="0" borderId="0" xfId="0" applyNumberFormat="1" applyFont="1" applyAlignment="1">
      <alignment vertical="center"/>
    </xf>
    <xf numFmtId="176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1">
    <cellStyle name="常规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A62A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T903"/>
  <sheetViews>
    <sheetView tabSelected="1" workbookViewId="0">
      <pane xSplit="1" ySplit="3" topLeftCell="AL866" activePane="bottomRight" state="frozenSplit"/>
      <selection pane="topRight" activeCell="B1" sqref="B1"/>
      <selection pane="bottomLeft" activeCell="A4" sqref="A4"/>
      <selection pane="bottomRight" activeCell="AW4" sqref="AW4:AW903"/>
    </sheetView>
  </sheetViews>
  <sheetFormatPr defaultColWidth="9" defaultRowHeight="13.5" x14ac:dyDescent="0.15"/>
  <cols>
    <col min="1" max="1" width="11" customWidth="1"/>
    <col min="2" max="2" width="8.5" customWidth="1"/>
    <col min="3" max="3" width="6.5" style="1" customWidth="1"/>
    <col min="4" max="4" width="8.5" style="1" customWidth="1"/>
    <col min="5" max="5" width="6.5" customWidth="1"/>
    <col min="6" max="6" width="11" customWidth="1"/>
    <col min="7" max="7" width="12.875" customWidth="1"/>
    <col min="8" max="8" width="10" customWidth="1"/>
    <col min="9" max="9" width="21.25" customWidth="1"/>
    <col min="10" max="10" width="23.875" customWidth="1"/>
    <col min="11" max="12" width="8.5" customWidth="1"/>
    <col min="13" max="13" width="12.75" customWidth="1"/>
    <col min="14" max="14" width="17.5" customWidth="1"/>
    <col min="15" max="15" width="9.5" customWidth="1"/>
    <col min="16" max="16" width="12.75" customWidth="1"/>
    <col min="24" max="24" width="30.5" bestFit="1" customWidth="1"/>
    <col min="25" max="25" width="17.25" customWidth="1"/>
    <col min="26" max="26" width="11.625" customWidth="1"/>
    <col min="27" max="27" width="10.5" bestFit="1" customWidth="1"/>
    <col min="28" max="28" width="13" customWidth="1"/>
    <col min="29" max="31" width="13.875" customWidth="1"/>
    <col min="32" max="39" width="13" customWidth="1"/>
    <col min="44" max="46" width="13" customWidth="1"/>
    <col min="49" max="49" width="11.25" customWidth="1"/>
    <col min="50" max="50" width="10.5" bestFit="1" customWidth="1"/>
    <col min="52" max="52" width="11" customWidth="1"/>
    <col min="55" max="55" width="9.5" bestFit="1" customWidth="1"/>
    <col min="57" max="57" width="12.75" bestFit="1" customWidth="1"/>
    <col min="58" max="58" width="12.75" style="29" customWidth="1"/>
    <col min="59" max="61" width="12.75" customWidth="1"/>
    <col min="81" max="81" width="9" style="28"/>
    <col min="82" max="82" width="12.75" style="28" customWidth="1"/>
    <col min="83" max="87" width="13" style="28" bestFit="1" customWidth="1"/>
    <col min="88" max="88" width="9" style="28"/>
    <col min="89" max="89" width="11.375" style="28" customWidth="1"/>
    <col min="91" max="94" width="13" bestFit="1" customWidth="1"/>
    <col min="95" max="95" width="41.5" customWidth="1"/>
    <col min="96" max="96" width="13" bestFit="1" customWidth="1"/>
  </cols>
  <sheetData>
    <row r="1" spans="1:98" ht="14.25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5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8" t="s">
        <v>14</v>
      </c>
      <c r="P1" s="9" t="s">
        <v>15</v>
      </c>
      <c r="Q1" s="13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t="s">
        <v>22</v>
      </c>
      <c r="X1" s="2" t="s">
        <v>23</v>
      </c>
      <c r="Y1" s="2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7" t="s">
        <v>29</v>
      </c>
      <c r="AE1" s="7" t="s">
        <v>30</v>
      </c>
      <c r="AF1" s="7" t="s">
        <v>31</v>
      </c>
      <c r="AG1" s="5" t="s">
        <v>32</v>
      </c>
      <c r="AH1" s="5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P1" s="2" t="s">
        <v>39</v>
      </c>
      <c r="AU1">
        <v>900</v>
      </c>
      <c r="AV1">
        <v>240</v>
      </c>
      <c r="BF1" s="29">
        <f>0.54-0.3</f>
        <v>0.24000000000000005</v>
      </c>
      <c r="BG1" s="17">
        <f>0.24/100</f>
        <v>2.3999999999999998E-3</v>
      </c>
      <c r="BJ1" s="18"/>
      <c r="BK1" s="19" t="s">
        <v>40</v>
      </c>
      <c r="BL1" s="19" t="s">
        <v>41</v>
      </c>
      <c r="BM1" s="19" t="s">
        <v>42</v>
      </c>
      <c r="BN1" s="19" t="s">
        <v>43</v>
      </c>
      <c r="BO1" s="19" t="s">
        <v>44</v>
      </c>
      <c r="BP1" s="19" t="s">
        <v>45</v>
      </c>
      <c r="BQ1" s="19" t="s">
        <v>46</v>
      </c>
      <c r="BR1" s="19" t="s">
        <v>47</v>
      </c>
      <c r="BS1" s="19" t="s">
        <v>48</v>
      </c>
      <c r="BT1" s="19" t="s">
        <v>49</v>
      </c>
      <c r="BU1" s="19" t="s">
        <v>50</v>
      </c>
      <c r="BV1" s="19" t="s">
        <v>51</v>
      </c>
      <c r="BW1" s="19"/>
      <c r="BX1" s="24" t="s">
        <v>52</v>
      </c>
      <c r="BY1" s="24" t="s">
        <v>53</v>
      </c>
      <c r="BZ1" s="24" t="s">
        <v>195</v>
      </c>
      <c r="CA1" s="24" t="s">
        <v>201</v>
      </c>
      <c r="CB1" s="24" t="s">
        <v>202</v>
      </c>
      <c r="CC1" s="32" t="s">
        <v>178</v>
      </c>
      <c r="CD1" s="32"/>
      <c r="CE1" s="32"/>
      <c r="CF1" s="32"/>
      <c r="CG1" s="32"/>
      <c r="CH1" s="32"/>
      <c r="CI1" s="32"/>
      <c r="CJ1" s="32"/>
      <c r="CK1" s="32"/>
    </row>
    <row r="2" spans="1:98" ht="14.25" x14ac:dyDescent="0.15">
      <c r="A2" t="s">
        <v>54</v>
      </c>
      <c r="B2" t="s">
        <v>55</v>
      </c>
      <c r="C2" t="s">
        <v>56</v>
      </c>
      <c r="D2" t="s">
        <v>56</v>
      </c>
      <c r="E2" t="s">
        <v>56</v>
      </c>
      <c r="F2" t="s">
        <v>55</v>
      </c>
      <c r="G2" t="s">
        <v>57</v>
      </c>
      <c r="H2" t="s">
        <v>55</v>
      </c>
      <c r="I2" s="2" t="s">
        <v>55</v>
      </c>
      <c r="J2" s="10" t="s">
        <v>55</v>
      </c>
      <c r="K2" t="s">
        <v>57</v>
      </c>
      <c r="L2" t="s">
        <v>58</v>
      </c>
      <c r="M2" t="s">
        <v>58</v>
      </c>
      <c r="N2" t="s">
        <v>59</v>
      </c>
      <c r="O2" s="11" t="s">
        <v>58</v>
      </c>
      <c r="P2" s="9" t="s">
        <v>60</v>
      </c>
      <c r="Q2" s="14" t="s">
        <v>58</v>
      </c>
      <c r="R2" t="s">
        <v>58</v>
      </c>
      <c r="S2" t="s">
        <v>58</v>
      </c>
      <c r="T2" t="s">
        <v>58</v>
      </c>
      <c r="U2" t="s">
        <v>58</v>
      </c>
      <c r="V2" t="s">
        <v>58</v>
      </c>
      <c r="W2" t="s">
        <v>54</v>
      </c>
      <c r="X2" t="s">
        <v>61</v>
      </c>
      <c r="Y2" t="s">
        <v>56</v>
      </c>
      <c r="Z2" s="15" t="s">
        <v>54</v>
      </c>
      <c r="AA2" s="15" t="s">
        <v>56</v>
      </c>
      <c r="AB2" s="7" t="s">
        <v>62</v>
      </c>
      <c r="AC2" s="5" t="s">
        <v>62</v>
      </c>
      <c r="AD2" s="5" t="s">
        <v>62</v>
      </c>
      <c r="AE2" s="5" t="s">
        <v>62</v>
      </c>
      <c r="AF2" s="5" t="s">
        <v>62</v>
      </c>
      <c r="AG2" s="7" t="s">
        <v>62</v>
      </c>
      <c r="AH2" s="5" t="s">
        <v>62</v>
      </c>
      <c r="AI2" s="5" t="s">
        <v>62</v>
      </c>
      <c r="AJ2" s="5" t="s">
        <v>62</v>
      </c>
      <c r="AK2" s="5" t="s">
        <v>62</v>
      </c>
      <c r="AL2" s="5" t="s">
        <v>62</v>
      </c>
      <c r="AM2" s="5" t="s">
        <v>63</v>
      </c>
      <c r="BC2">
        <f>90/1.5*AZ4*(1/(1+AZ4/(5*BB4)))*6</f>
        <v>180000</v>
      </c>
      <c r="BJ2" s="18" t="s">
        <v>64</v>
      </c>
      <c r="BK2" s="20">
        <v>1</v>
      </c>
      <c r="BL2" s="20">
        <v>1</v>
      </c>
      <c r="BM2" s="20">
        <v>0</v>
      </c>
      <c r="BN2" s="20">
        <v>1.5</v>
      </c>
      <c r="BO2" s="20">
        <v>80</v>
      </c>
      <c r="BP2" s="20">
        <f>BO2*0.1</f>
        <v>8</v>
      </c>
      <c r="BQ2" s="20">
        <v>960</v>
      </c>
      <c r="BR2" s="20">
        <f>BQ2*0.1</f>
        <v>96</v>
      </c>
      <c r="BS2" s="20">
        <v>20</v>
      </c>
      <c r="BT2" s="20">
        <f>BS2*0.1</f>
        <v>2</v>
      </c>
      <c r="BU2" s="20">
        <v>0</v>
      </c>
      <c r="BV2" s="20">
        <f t="shared" ref="BV2:BV15" si="0">(BQ2+BR2*BU2)/(1-0)*((BO2+BP2*BU2)*2/2)/BN2*(0.9)*(1+0.5*0.1)*1/3000</f>
        <v>16.128</v>
      </c>
      <c r="BW2" s="20"/>
      <c r="BX2" s="24">
        <v>1</v>
      </c>
      <c r="BY2" s="20">
        <v>1</v>
      </c>
      <c r="BZ2" s="24">
        <v>0.2</v>
      </c>
      <c r="CA2" s="24">
        <v>100</v>
      </c>
      <c r="CB2" s="24">
        <v>10000</v>
      </c>
      <c r="CC2" s="20"/>
      <c r="CD2" s="20"/>
      <c r="CE2" s="20"/>
      <c r="CM2" s="25" t="s">
        <v>32</v>
      </c>
      <c r="CN2" s="25" t="s">
        <v>33</v>
      </c>
      <c r="CO2" s="25" t="s">
        <v>34</v>
      </c>
      <c r="CP2" s="25" t="s">
        <v>35</v>
      </c>
      <c r="CQ2" s="25" t="s">
        <v>36</v>
      </c>
      <c r="CR2" s="25" t="s">
        <v>37</v>
      </c>
    </row>
    <row r="3" spans="1:98" ht="14.25" x14ac:dyDescent="0.15">
      <c r="A3" s="2" t="s">
        <v>65</v>
      </c>
      <c r="B3" s="2" t="s">
        <v>66</v>
      </c>
      <c r="C3" t="s">
        <v>40</v>
      </c>
      <c r="D3" t="s">
        <v>41</v>
      </c>
      <c r="E3" t="s">
        <v>42</v>
      </c>
      <c r="F3" t="s">
        <v>67</v>
      </c>
      <c r="G3" t="s">
        <v>68</v>
      </c>
      <c r="H3" t="s">
        <v>69</v>
      </c>
      <c r="I3" s="5" t="s">
        <v>70</v>
      </c>
      <c r="J3" s="5" t="s">
        <v>71</v>
      </c>
      <c r="K3" s="2" t="s">
        <v>72</v>
      </c>
      <c r="L3" s="2" t="s">
        <v>43</v>
      </c>
      <c r="M3" s="2" t="s">
        <v>73</v>
      </c>
      <c r="N3" t="s">
        <v>74</v>
      </c>
      <c r="O3" s="11" t="s">
        <v>75</v>
      </c>
      <c r="P3" s="12" t="s">
        <v>76</v>
      </c>
      <c r="Q3" s="14" t="s">
        <v>77</v>
      </c>
      <c r="R3" s="2" t="s">
        <v>78</v>
      </c>
      <c r="S3" s="2" t="s">
        <v>79</v>
      </c>
      <c r="T3" s="2" t="s">
        <v>80</v>
      </c>
      <c r="U3" s="2" t="s">
        <v>81</v>
      </c>
      <c r="V3" s="2" t="s">
        <v>82</v>
      </c>
      <c r="W3" s="2" t="s">
        <v>83</v>
      </c>
      <c r="X3" s="2" t="s">
        <v>84</v>
      </c>
      <c r="Y3" s="2" t="s">
        <v>85</v>
      </c>
      <c r="Z3" s="5" t="s">
        <v>86</v>
      </c>
      <c r="AA3" s="5" t="s">
        <v>87</v>
      </c>
      <c r="AB3" s="5" t="s">
        <v>88</v>
      </c>
      <c r="AC3" s="5" t="s">
        <v>89</v>
      </c>
      <c r="AD3" s="5" t="s">
        <v>89</v>
      </c>
      <c r="AE3" s="5" t="s">
        <v>89</v>
      </c>
      <c r="AF3" s="5" t="s">
        <v>90</v>
      </c>
      <c r="AG3" s="5" t="s">
        <v>91</v>
      </c>
      <c r="AH3" s="5" t="s">
        <v>92</v>
      </c>
      <c r="AI3" s="5" t="s">
        <v>92</v>
      </c>
      <c r="AJ3" s="5" t="s">
        <v>92</v>
      </c>
      <c r="AK3" s="5" t="s">
        <v>93</v>
      </c>
      <c r="AL3" s="7" t="s">
        <v>94</v>
      </c>
      <c r="AM3" s="7" t="s">
        <v>95</v>
      </c>
      <c r="AQ3" s="7" t="s">
        <v>96</v>
      </c>
      <c r="AR3" s="7" t="s">
        <v>97</v>
      </c>
      <c r="AS3" s="7" t="s">
        <v>98</v>
      </c>
      <c r="AT3" s="7" t="s">
        <v>196</v>
      </c>
      <c r="AU3" s="7" t="s">
        <v>99</v>
      </c>
      <c r="AV3" s="7" t="s">
        <v>100</v>
      </c>
      <c r="AW3" s="17" t="s">
        <v>101</v>
      </c>
      <c r="AX3" s="17" t="s">
        <v>102</v>
      </c>
      <c r="AY3" s="17" t="s">
        <v>103</v>
      </c>
      <c r="AZ3" s="17" t="s">
        <v>104</v>
      </c>
      <c r="BA3" s="17" t="s">
        <v>105</v>
      </c>
      <c r="BB3" s="17" t="s">
        <v>106</v>
      </c>
      <c r="BC3" s="17" t="s">
        <v>137</v>
      </c>
      <c r="BD3" s="17" t="s">
        <v>138</v>
      </c>
      <c r="BE3" s="17" t="s">
        <v>139</v>
      </c>
      <c r="BF3" s="30" t="s">
        <v>203</v>
      </c>
      <c r="BH3" s="17"/>
      <c r="BI3" s="17"/>
      <c r="BJ3" s="18" t="s">
        <v>107</v>
      </c>
      <c r="BK3" s="20">
        <v>2</v>
      </c>
      <c r="BL3" s="20">
        <v>1</v>
      </c>
      <c r="BM3" s="20">
        <v>0</v>
      </c>
      <c r="BN3" s="20">
        <v>1.5</v>
      </c>
      <c r="BO3" s="20">
        <f t="shared" ref="BO3:BO15" si="1">$BO$2*BY3*BN3/1.5</f>
        <v>88</v>
      </c>
      <c r="BP3" s="20">
        <f t="shared" ref="BP3:BP15" si="2">BP$2*$BY3</f>
        <v>8.8000000000000007</v>
      </c>
      <c r="BQ3" s="20">
        <f t="shared" ref="BQ3:BQ15" si="3">BQ$2*BY3</f>
        <v>1056</v>
      </c>
      <c r="BR3" s="20">
        <f t="shared" ref="BR3:BR15" si="4">BR$2*BY3</f>
        <v>105.60000000000001</v>
      </c>
      <c r="BS3" s="20">
        <f t="shared" ref="BS3:BS15" si="5">BS$2*BY3</f>
        <v>22</v>
      </c>
      <c r="BT3" s="20">
        <f t="shared" ref="BT3:BT15" si="6">BT$2*BY3</f>
        <v>2.2000000000000002</v>
      </c>
      <c r="BU3" s="20">
        <v>0</v>
      </c>
      <c r="BV3" s="20">
        <f t="shared" si="0"/>
        <v>19.514880000000002</v>
      </c>
      <c r="BW3" s="20"/>
      <c r="BX3" s="24">
        <v>2</v>
      </c>
      <c r="BY3" s="25">
        <v>1.1000000000000001</v>
      </c>
      <c r="BZ3" s="24">
        <v>0.25</v>
      </c>
      <c r="CA3" s="20" t="s">
        <v>199</v>
      </c>
      <c r="CB3" s="20" t="s">
        <v>200</v>
      </c>
      <c r="CC3" s="20"/>
      <c r="CD3" s="20" t="s">
        <v>150</v>
      </c>
      <c r="CE3" s="20"/>
      <c r="CF3" s="25" t="s">
        <v>91</v>
      </c>
      <c r="CG3" s="25" t="s">
        <v>92</v>
      </c>
      <c r="CH3" s="25" t="s">
        <v>92</v>
      </c>
      <c r="CI3" s="25" t="s">
        <v>92</v>
      </c>
      <c r="CJ3" s="25" t="s">
        <v>93</v>
      </c>
      <c r="CK3" s="25" t="s">
        <v>94</v>
      </c>
      <c r="CM3" s="25" t="s">
        <v>91</v>
      </c>
      <c r="CN3" s="25" t="s">
        <v>92</v>
      </c>
      <c r="CO3" s="25" t="s">
        <v>92</v>
      </c>
      <c r="CP3" s="25" t="s">
        <v>92</v>
      </c>
      <c r="CQ3" s="25" t="s">
        <v>93</v>
      </c>
      <c r="CR3" s="25" t="s">
        <v>94</v>
      </c>
    </row>
    <row r="4" spans="1:98" ht="14.25" x14ac:dyDescent="0.15">
      <c r="A4" s="2">
        <v>101</v>
      </c>
      <c r="B4" s="3" t="s">
        <v>108</v>
      </c>
      <c r="C4" s="4" t="s">
        <v>109</v>
      </c>
      <c r="D4" s="4" t="s">
        <v>110</v>
      </c>
      <c r="E4" s="5">
        <v>3</v>
      </c>
      <c r="F4" s="7" t="s">
        <v>141</v>
      </c>
      <c r="G4" s="5">
        <v>2.5</v>
      </c>
      <c r="H4" s="7" t="s">
        <v>194</v>
      </c>
      <c r="I4" s="5">
        <v>0</v>
      </c>
      <c r="J4" s="5">
        <v>0</v>
      </c>
      <c r="K4">
        <v>2</v>
      </c>
      <c r="L4">
        <v>1.5</v>
      </c>
      <c r="M4" s="5">
        <v>1.5</v>
      </c>
      <c r="N4" s="5">
        <v>10</v>
      </c>
      <c r="O4" s="5">
        <f>FLOOR(AW4,1)</f>
        <v>6751</v>
      </c>
      <c r="P4" s="5">
        <f>FLOOR(BC4,1)</f>
        <v>18000000</v>
      </c>
      <c r="Q4" s="5">
        <f>FLOOR(AY4,1)</f>
        <v>450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70011</v>
      </c>
      <c r="X4" s="6" t="s">
        <v>179</v>
      </c>
      <c r="Y4" s="5">
        <v>300</v>
      </c>
      <c r="Z4" s="5">
        <v>1</v>
      </c>
      <c r="AA4" s="5">
        <v>148055</v>
      </c>
      <c r="AB4" s="16" t="s">
        <v>111</v>
      </c>
      <c r="AC4" s="7" t="s">
        <v>112</v>
      </c>
      <c r="AD4" s="7" t="s">
        <v>112</v>
      </c>
      <c r="AE4" s="7" t="s">
        <v>112</v>
      </c>
      <c r="AF4" s="6" t="s">
        <v>113</v>
      </c>
      <c r="AG4" s="26" t="str">
        <f>CM$4</f>
        <v>4,33,28,33,6,4,33,28,33,6</v>
      </c>
      <c r="AH4" s="26" t="str">
        <f t="shared" ref="AH4:AL4" si="7">CN$4</f>
        <v>0,8,0,8,1,0,8,0,8,1</v>
      </c>
      <c r="AI4" s="26" t="str">
        <f t="shared" si="7"/>
        <v>0,0,0,0,1,0,0,0,0,1</v>
      </c>
      <c r="AJ4" s="26" t="str">
        <f t="shared" si="7"/>
        <v>0,0,0,0,5,0,0,0,0,5</v>
      </c>
      <c r="AK4" s="26" t="str">
        <f t="shared" si="7"/>
        <v>100,1,1000,2,5,200,1,1000,2,5</v>
      </c>
      <c r="AL4" s="26" t="str">
        <f t="shared" si="7"/>
        <v>5,5,5,5,5,5,5,5,5,5</v>
      </c>
      <c r="AM4" s="7">
        <v>2001</v>
      </c>
      <c r="AO4">
        <f>AQ4*100+1</f>
        <v>101</v>
      </c>
      <c r="AP4">
        <v>0</v>
      </c>
      <c r="AQ4">
        <f>FLOOR(AP4/9+1,1)</f>
        <v>1</v>
      </c>
      <c r="AR4" s="17">
        <v>6</v>
      </c>
      <c r="AS4" s="17">
        <v>40</v>
      </c>
      <c r="AT4" s="17">
        <v>2</v>
      </c>
      <c r="AU4">
        <f>20+FLOOR(AQ4/10,1)*2</f>
        <v>20</v>
      </c>
      <c r="AV4">
        <v>100</v>
      </c>
      <c r="AW4">
        <f>BA4*0.6*(1+BF4)</f>
        <v>6751.6415999999999</v>
      </c>
      <c r="AX4">
        <f>BC4</f>
        <v>18000000</v>
      </c>
      <c r="AY4">
        <f>BB4*2</f>
        <v>450</v>
      </c>
      <c r="AZ4">
        <f>(INDEX($BO$2:$BO$15,MATCH($AR4,$BK$2:$BK$15,0))+INDEX($BP$2:$BP$15,MATCH($AR4,$BK$2:$BK$15,0))*$AS4)*(1+INDEX($BZ$2:$BZ$15,MATCH($AT4,$BX$2:$BX$15,0)))</f>
        <v>900</v>
      </c>
      <c r="BA4">
        <f>INDEX($BQ$2:$BQ$15,MATCH($AR4,$BK$2:$BK$15,0))+INDEX($BR$2:$BR$15,MATCH($AR4,$BK$2:$BK$15,0))*$AS4</f>
        <v>8640</v>
      </c>
      <c r="BB4">
        <f>(INDEX($BS$2:$BS$15,MATCH($AR4,$BK$2:$BK$15,0))+INDEX($BT$2:$BT$15,MATCH($AR4,$BK$2:$BK$15,0))*$AS4)*(1+INDEX($BZ$2:$BZ$15,MATCH($AT4,$BX$2:$BX$15,0)))</f>
        <v>225</v>
      </c>
      <c r="BC4">
        <f>90/1.5*AZ4*(1/(1+AZ4/(5*BB4)))*6*AV4</f>
        <v>18000000</v>
      </c>
      <c r="BD4">
        <f>1/(1+AZ4*3/(5*BB4))</f>
        <v>0.29411764705882354</v>
      </c>
      <c r="BE4" s="27">
        <f>BC4/10000/(1-BD4)/1*AZ4/L4*(1+0.1*0.5)*0.9*1</f>
        <v>1445850.0000000002</v>
      </c>
      <c r="BF4" s="30">
        <f>0.3+AQ4*0.0024</f>
        <v>0.3024</v>
      </c>
      <c r="BG4" s="27"/>
      <c r="BH4" s="27"/>
      <c r="BI4" s="27"/>
      <c r="BJ4" s="18" t="s">
        <v>114</v>
      </c>
      <c r="BK4" s="20">
        <v>3</v>
      </c>
      <c r="BL4" s="20">
        <v>1</v>
      </c>
      <c r="BM4" s="20">
        <v>0</v>
      </c>
      <c r="BN4" s="20">
        <v>1.5</v>
      </c>
      <c r="BO4" s="20">
        <f t="shared" si="1"/>
        <v>96</v>
      </c>
      <c r="BP4" s="20">
        <f t="shared" si="2"/>
        <v>9.6</v>
      </c>
      <c r="BQ4" s="20">
        <f t="shared" si="3"/>
        <v>1152</v>
      </c>
      <c r="BR4" s="20">
        <f t="shared" si="4"/>
        <v>115.19999999999999</v>
      </c>
      <c r="BS4" s="20">
        <f t="shared" si="5"/>
        <v>24</v>
      </c>
      <c r="BT4" s="20">
        <f t="shared" si="6"/>
        <v>2.4</v>
      </c>
      <c r="BU4" s="20">
        <v>0</v>
      </c>
      <c r="BV4" s="20">
        <f t="shared" si="0"/>
        <v>23.224320000000002</v>
      </c>
      <c r="BW4" s="20"/>
      <c r="BX4" s="24">
        <v>3</v>
      </c>
      <c r="BY4" s="20">
        <v>1.2</v>
      </c>
      <c r="BZ4" s="24">
        <v>0.45</v>
      </c>
      <c r="CA4" s="20">
        <f>$CA$2+(AQ4-1)*5</f>
        <v>100</v>
      </c>
      <c r="CB4" s="20">
        <f>$CB$2+(AQ4-1)*500</f>
        <v>10000</v>
      </c>
      <c r="CC4" s="31" t="s">
        <v>151</v>
      </c>
      <c r="CD4" s="20">
        <v>101</v>
      </c>
      <c r="CE4" s="20" t="s">
        <v>152</v>
      </c>
      <c r="CF4" s="20">
        <v>4</v>
      </c>
      <c r="CG4" s="20">
        <v>0</v>
      </c>
      <c r="CH4" s="20">
        <v>0</v>
      </c>
      <c r="CI4" s="20">
        <v>0</v>
      </c>
      <c r="CJ4" s="20">
        <v>100</v>
      </c>
      <c r="CK4" s="20">
        <v>5</v>
      </c>
      <c r="CL4" s="20">
        <v>1</v>
      </c>
      <c r="CM4" s="20" t="str">
        <f t="shared" ref="CM4:CR4" si="8">CF4&amp;","&amp;CF5&amp;","&amp;CF6&amp;","&amp;CF7&amp;","&amp;CF8&amp;","&amp;CF9&amp;","&amp;CF10&amp;","&amp;CF11&amp;","&amp;CF12&amp;","&amp;CF13</f>
        <v>4,33,28,33,6,4,33,28,33,6</v>
      </c>
      <c r="CN4" s="20" t="str">
        <f t="shared" si="8"/>
        <v>0,8,0,8,1,0,8,0,8,1</v>
      </c>
      <c r="CO4" s="20" t="str">
        <f t="shared" si="8"/>
        <v>0,0,0,0,1,0,0,0,0,1</v>
      </c>
      <c r="CP4" s="20" t="str">
        <f t="shared" si="8"/>
        <v>0,0,0,0,5,0,0,0,0,5</v>
      </c>
      <c r="CQ4" s="20" t="str">
        <f t="shared" si="8"/>
        <v>100,1,1000,2,5,200,1,1000,2,5</v>
      </c>
      <c r="CR4" s="20" t="str">
        <f t="shared" si="8"/>
        <v>5,5,5,5,5,5,5,5,5,5</v>
      </c>
      <c r="CS4" s="20"/>
      <c r="CT4" s="20"/>
    </row>
    <row r="5" spans="1:98" ht="14.25" x14ac:dyDescent="0.15">
      <c r="A5" s="2">
        <v>102</v>
      </c>
      <c r="B5" s="3" t="s">
        <v>115</v>
      </c>
      <c r="C5" s="4" t="s">
        <v>109</v>
      </c>
      <c r="D5" s="6" t="s">
        <v>110</v>
      </c>
      <c r="E5" s="5">
        <v>3</v>
      </c>
      <c r="F5" s="7" t="s">
        <v>142</v>
      </c>
      <c r="G5" s="5">
        <v>3</v>
      </c>
      <c r="H5" s="7" t="s">
        <v>188</v>
      </c>
      <c r="I5" s="5">
        <v>0</v>
      </c>
      <c r="J5" s="5">
        <v>0</v>
      </c>
      <c r="K5">
        <v>2</v>
      </c>
      <c r="L5">
        <v>1.5</v>
      </c>
      <c r="M5" s="5">
        <v>1.5</v>
      </c>
      <c r="N5" s="5">
        <v>10</v>
      </c>
      <c r="O5" s="5">
        <f t="shared" ref="O5:O68" si="9">FLOOR(AW5,1)</f>
        <v>7426</v>
      </c>
      <c r="P5" s="5">
        <f t="shared" ref="P5:P68" si="10">FLOOR(BC5,1)</f>
        <v>19800000</v>
      </c>
      <c r="Q5" s="5">
        <f t="shared" ref="Q5:Q68" si="11">FLOOR(AY5,1)</f>
        <v>495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70021</v>
      </c>
      <c r="X5" s="6" t="s">
        <v>180</v>
      </c>
      <c r="Y5" s="5">
        <v>300</v>
      </c>
      <c r="Z5" s="5">
        <v>1</v>
      </c>
      <c r="AA5" s="5">
        <v>231336</v>
      </c>
      <c r="AB5" s="16" t="s">
        <v>111</v>
      </c>
      <c r="AC5" s="7" t="s">
        <v>112</v>
      </c>
      <c r="AD5" s="7" t="s">
        <v>112</v>
      </c>
      <c r="AE5" s="7" t="s">
        <v>112</v>
      </c>
      <c r="AF5" s="6" t="s">
        <v>113</v>
      </c>
      <c r="AG5" s="26" t="str">
        <f>CM$5</f>
        <v>4,33,28,33,6,4,33,28,33,6</v>
      </c>
      <c r="AH5" s="26" t="str">
        <f t="shared" ref="AH5:AL5" si="12">CN$5</f>
        <v>0,7,0,7,1,0,7,0,7,1</v>
      </c>
      <c r="AI5" s="26" t="str">
        <f t="shared" si="12"/>
        <v>0,0,0,0,1,0,0,0,0,1</v>
      </c>
      <c r="AJ5" s="26" t="str">
        <f t="shared" si="12"/>
        <v>0,0,0,0,5,0,0,0,0,5</v>
      </c>
      <c r="AK5" s="26" t="str">
        <f t="shared" si="12"/>
        <v>100,1,1000,2,5,200,1,1000,2,5</v>
      </c>
      <c r="AL5" s="26" t="str">
        <f t="shared" si="12"/>
        <v>5,5,5,5,5,5,5,5,5,5</v>
      </c>
      <c r="AM5" s="7">
        <v>2001</v>
      </c>
      <c r="AO5">
        <f>AQ5*100+2</f>
        <v>102</v>
      </c>
      <c r="AP5">
        <v>1</v>
      </c>
      <c r="AQ5">
        <f t="shared" ref="AQ5:AQ68" si="13">FLOOR(AP5/9+1,1)</f>
        <v>1</v>
      </c>
      <c r="AR5" s="17">
        <v>6</v>
      </c>
      <c r="AS5" s="17">
        <v>45</v>
      </c>
      <c r="AT5" s="17">
        <v>2</v>
      </c>
      <c r="AU5">
        <f t="shared" ref="AU5:AU68" si="14">20+FLOOR(AQ5/10,1)*2</f>
        <v>20</v>
      </c>
      <c r="AV5">
        <v>100</v>
      </c>
      <c r="AW5">
        <f t="shared" ref="AW5:AW68" si="15">BA5*0.6*(1+BF5)</f>
        <v>7426.8057599999993</v>
      </c>
      <c r="AX5">
        <f t="shared" ref="AX5:AX21" si="16">BC5</f>
        <v>19800000</v>
      </c>
      <c r="AY5">
        <f t="shared" ref="AY5:AY68" si="17">BB5*2</f>
        <v>495</v>
      </c>
      <c r="AZ5">
        <f t="shared" ref="AZ5:AZ68" si="18">(INDEX($BO$2:$BO$15,MATCH($AR5,$BK$2:$BK$15,0))+INDEX($BP$2:$BP$15,MATCH($AR5,$BK$2:$BK$15,0))*$AS5)*(1+INDEX($BZ$2:$BZ$15,MATCH($AT5,$BX$2:$BX$15,0)))</f>
        <v>990</v>
      </c>
      <c r="BA5">
        <f t="shared" ref="BA5:BA68" si="19">INDEX($BQ$2:$BQ$15,MATCH($AR5,$BK$2:$BK$15,0))+INDEX($BR$2:$BR$15,MATCH($AR5,$BK$2:$BK$15,0))*$AS5</f>
        <v>9504</v>
      </c>
      <c r="BB5">
        <f t="shared" ref="BB5:BB68" si="20">(INDEX($BS$2:$BS$15,MATCH($AR5,$BK$2:$BK$15,0))+INDEX($BT$2:$BT$15,MATCH($AR5,$BK$2:$BK$15,0))*$AS5)*(1+INDEX($BZ$2:$BZ$15,MATCH($AT5,$BX$2:$BX$15,0)))</f>
        <v>247.5</v>
      </c>
      <c r="BC5">
        <f t="shared" ref="BC5:BC21" si="21">90/1.5*AZ5*(1/(1+AZ5/(5*BB5)))*6*AV5</f>
        <v>19800000</v>
      </c>
      <c r="BD5">
        <f t="shared" ref="BD5:BD68" si="22">1/(1+AZ5*3/(5*BB5))</f>
        <v>0.29411764705882354</v>
      </c>
      <c r="BE5" s="27">
        <f t="shared" ref="BE5:BE21" si="23">BC5/10000/(1-BD5)/1*AZ5/L5*(1+0.1*0.5)*0.9*1</f>
        <v>1749478.5000000002</v>
      </c>
      <c r="BF5" s="30">
        <f t="shared" ref="BF5:BF68" si="24">0.3+AQ5*0.0024</f>
        <v>0.3024</v>
      </c>
      <c r="BG5" s="27"/>
      <c r="BH5" s="27"/>
      <c r="BI5" s="27"/>
      <c r="BJ5" s="18" t="s">
        <v>116</v>
      </c>
      <c r="BK5" s="20">
        <v>4</v>
      </c>
      <c r="BL5" s="20">
        <v>1</v>
      </c>
      <c r="BM5" s="20">
        <v>0</v>
      </c>
      <c r="BN5" s="20">
        <v>1.5</v>
      </c>
      <c r="BO5" s="20">
        <f t="shared" si="1"/>
        <v>112</v>
      </c>
      <c r="BP5" s="20">
        <f t="shared" si="2"/>
        <v>11.2</v>
      </c>
      <c r="BQ5" s="20">
        <f t="shared" si="3"/>
        <v>1344</v>
      </c>
      <c r="BR5" s="20">
        <f t="shared" si="4"/>
        <v>134.39999999999998</v>
      </c>
      <c r="BS5" s="20">
        <f t="shared" si="5"/>
        <v>28</v>
      </c>
      <c r="BT5" s="20">
        <f t="shared" si="6"/>
        <v>2.8</v>
      </c>
      <c r="BU5" s="20">
        <v>0</v>
      </c>
      <c r="BV5" s="20">
        <f t="shared" si="0"/>
        <v>31.610880000000005</v>
      </c>
      <c r="BW5" s="20"/>
      <c r="BX5" s="24">
        <v>4</v>
      </c>
      <c r="BY5" s="25">
        <v>1.4</v>
      </c>
      <c r="BZ5" s="24">
        <v>0.5</v>
      </c>
      <c r="CA5" s="20">
        <f t="shared" ref="CA5:CA68" si="25">$CA$2+(AQ5-1)*5</f>
        <v>100</v>
      </c>
      <c r="CB5" s="20">
        <f t="shared" ref="CB5:CB68" si="26">$CB$2+(AQ5-1)*500</f>
        <v>10000</v>
      </c>
      <c r="CC5" s="31"/>
      <c r="CD5" s="20">
        <v>101</v>
      </c>
      <c r="CE5" s="20" t="s">
        <v>156</v>
      </c>
      <c r="CF5" s="20">
        <v>33</v>
      </c>
      <c r="CG5" s="20">
        <v>8</v>
      </c>
      <c r="CH5" s="20">
        <v>0</v>
      </c>
      <c r="CI5" s="20">
        <v>0</v>
      </c>
      <c r="CJ5" s="20">
        <v>1</v>
      </c>
      <c r="CK5" s="20">
        <v>5</v>
      </c>
      <c r="CL5" s="20">
        <v>6</v>
      </c>
      <c r="CM5" s="20" t="str">
        <f>CF14&amp;","&amp;CF15&amp;","&amp;CF16&amp;","&amp;CF17&amp;","&amp;CF18&amp;","&amp;CF19&amp;","&amp;CF20&amp;","&amp;CF21&amp;","&amp;CF22&amp;","&amp;CF23</f>
        <v>4,33,28,33,6,4,33,28,33,6</v>
      </c>
      <c r="CN5" s="20" t="str">
        <f t="shared" ref="CN5:CR5" si="27">CG14&amp;","&amp;CG15&amp;","&amp;CG16&amp;","&amp;CG17&amp;","&amp;CG18&amp;","&amp;CG19&amp;","&amp;CG20&amp;","&amp;CG21&amp;","&amp;CG22&amp;","&amp;CG23</f>
        <v>0,7,0,7,1,0,7,0,7,1</v>
      </c>
      <c r="CO5" s="20" t="str">
        <f t="shared" si="27"/>
        <v>0,0,0,0,1,0,0,0,0,1</v>
      </c>
      <c r="CP5" s="20" t="str">
        <f t="shared" si="27"/>
        <v>0,0,0,0,5,0,0,0,0,5</v>
      </c>
      <c r="CQ5" s="20" t="str">
        <f t="shared" si="27"/>
        <v>100,1,1000,2,5,200,1,1000,2,5</v>
      </c>
      <c r="CR5" s="20" t="str">
        <f t="shared" si="27"/>
        <v>5,5,5,5,5,5,5,5,5,5</v>
      </c>
      <c r="CS5" s="20"/>
      <c r="CT5" s="20"/>
    </row>
    <row r="6" spans="1:98" ht="14.25" x14ac:dyDescent="0.15">
      <c r="A6" s="2">
        <v>103</v>
      </c>
      <c r="B6" s="3" t="s">
        <v>117</v>
      </c>
      <c r="C6" s="4" t="s">
        <v>109</v>
      </c>
      <c r="D6" s="4" t="s">
        <v>110</v>
      </c>
      <c r="E6" s="5">
        <v>1</v>
      </c>
      <c r="F6" s="7" t="s">
        <v>144</v>
      </c>
      <c r="G6" s="5">
        <v>3</v>
      </c>
      <c r="H6" s="7" t="s">
        <v>189</v>
      </c>
      <c r="I6" s="5">
        <v>0</v>
      </c>
      <c r="J6" s="2">
        <v>0</v>
      </c>
      <c r="K6">
        <v>6</v>
      </c>
      <c r="L6">
        <v>1.5</v>
      </c>
      <c r="M6" s="5">
        <v>1.5</v>
      </c>
      <c r="N6" s="5">
        <v>10</v>
      </c>
      <c r="O6" s="5">
        <f t="shared" si="9"/>
        <v>8101</v>
      </c>
      <c r="P6" s="5">
        <f t="shared" si="10"/>
        <v>21600000</v>
      </c>
      <c r="Q6" s="5">
        <f t="shared" si="11"/>
        <v>540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70031</v>
      </c>
      <c r="X6" s="6" t="s">
        <v>181</v>
      </c>
      <c r="Y6" s="5">
        <v>300</v>
      </c>
      <c r="Z6" s="5">
        <v>1</v>
      </c>
      <c r="AA6" s="5">
        <v>333124</v>
      </c>
      <c r="AB6" s="16" t="s">
        <v>111</v>
      </c>
      <c r="AC6" s="7" t="s">
        <v>112</v>
      </c>
      <c r="AD6" s="7" t="s">
        <v>112</v>
      </c>
      <c r="AE6" s="7" t="s">
        <v>112</v>
      </c>
      <c r="AF6" s="6" t="s">
        <v>113</v>
      </c>
      <c r="AG6" s="26" t="str">
        <f>CM$6</f>
        <v>4,28,6,28,6,4,28,6,28,6</v>
      </c>
      <c r="AH6" s="26" t="str">
        <f t="shared" ref="AH6:AL6" si="28">CN$6</f>
        <v>0,0,1,0,1,0,0,1,0,1</v>
      </c>
      <c r="AI6" s="26" t="str">
        <f t="shared" si="28"/>
        <v>0,0,0,0,1,0,0,0,0,1</v>
      </c>
      <c r="AJ6" s="26" t="str">
        <f t="shared" si="28"/>
        <v>0,0,5,0,5,0,0,5,0,5</v>
      </c>
      <c r="AK6" s="26" t="str">
        <f t="shared" si="28"/>
        <v>100,1000,5,1500,5,200,1000,5,1500,5</v>
      </c>
      <c r="AL6" s="26" t="str">
        <f t="shared" si="28"/>
        <v>5,5,5,5,5,5,5,5,5,5</v>
      </c>
      <c r="AM6" s="7">
        <v>2001</v>
      </c>
      <c r="AO6">
        <f>AQ6*100+3</f>
        <v>103</v>
      </c>
      <c r="AP6">
        <v>2</v>
      </c>
      <c r="AQ6">
        <f t="shared" si="13"/>
        <v>1</v>
      </c>
      <c r="AR6" s="17">
        <v>6</v>
      </c>
      <c r="AS6" s="17">
        <v>50</v>
      </c>
      <c r="AT6" s="17">
        <v>2</v>
      </c>
      <c r="AU6">
        <f t="shared" si="14"/>
        <v>20</v>
      </c>
      <c r="AV6">
        <v>100</v>
      </c>
      <c r="AW6">
        <f t="shared" si="15"/>
        <v>8101.9699200000005</v>
      </c>
      <c r="AX6">
        <f t="shared" si="16"/>
        <v>21600000</v>
      </c>
      <c r="AY6">
        <f t="shared" si="17"/>
        <v>540</v>
      </c>
      <c r="AZ6">
        <f t="shared" si="18"/>
        <v>1080</v>
      </c>
      <c r="BA6">
        <f t="shared" si="19"/>
        <v>10368</v>
      </c>
      <c r="BB6">
        <f t="shared" si="20"/>
        <v>270</v>
      </c>
      <c r="BC6">
        <f t="shared" si="21"/>
        <v>21600000</v>
      </c>
      <c r="BD6">
        <f t="shared" si="22"/>
        <v>0.29411764705882354</v>
      </c>
      <c r="BE6" s="27">
        <f t="shared" si="23"/>
        <v>2082024.0000000005</v>
      </c>
      <c r="BF6" s="30">
        <f t="shared" si="24"/>
        <v>0.3024</v>
      </c>
      <c r="BG6" s="27"/>
      <c r="BH6" s="27"/>
      <c r="BI6" s="27"/>
      <c r="BJ6" s="18" t="s">
        <v>118</v>
      </c>
      <c r="BK6" s="21">
        <v>5</v>
      </c>
      <c r="BL6" s="20">
        <v>1</v>
      </c>
      <c r="BM6" s="20">
        <v>0</v>
      </c>
      <c r="BN6" s="20">
        <v>1.5</v>
      </c>
      <c r="BO6" s="20">
        <f t="shared" si="1"/>
        <v>128</v>
      </c>
      <c r="BP6" s="20">
        <f t="shared" si="2"/>
        <v>12.8</v>
      </c>
      <c r="BQ6" s="20">
        <f t="shared" si="3"/>
        <v>1536</v>
      </c>
      <c r="BR6" s="20">
        <f t="shared" si="4"/>
        <v>153.60000000000002</v>
      </c>
      <c r="BS6" s="20">
        <f t="shared" si="5"/>
        <v>32</v>
      </c>
      <c r="BT6" s="20">
        <f t="shared" si="6"/>
        <v>3.2</v>
      </c>
      <c r="BU6" s="20">
        <v>0</v>
      </c>
      <c r="BV6" s="20">
        <f t="shared" si="0"/>
        <v>41.287680000000002</v>
      </c>
      <c r="BW6" s="20"/>
      <c r="BX6" s="24">
        <v>5</v>
      </c>
      <c r="BY6" s="20">
        <v>1.6</v>
      </c>
      <c r="BZ6" s="24">
        <v>0.55000000000000004</v>
      </c>
      <c r="CA6" s="20">
        <f t="shared" si="25"/>
        <v>100</v>
      </c>
      <c r="CB6" s="20">
        <f t="shared" si="26"/>
        <v>10000</v>
      </c>
      <c r="CC6" s="31"/>
      <c r="CD6" s="20">
        <v>101</v>
      </c>
      <c r="CE6" s="20" t="s">
        <v>197</v>
      </c>
      <c r="CF6" s="20">
        <v>28</v>
      </c>
      <c r="CG6" s="20">
        <v>0</v>
      </c>
      <c r="CH6" s="20">
        <v>0</v>
      </c>
      <c r="CI6" s="20">
        <v>0</v>
      </c>
      <c r="CJ6" s="20">
        <v>1000</v>
      </c>
      <c r="CK6" s="20">
        <v>5</v>
      </c>
      <c r="CL6" s="20">
        <v>3</v>
      </c>
      <c r="CM6" s="20" t="str">
        <f>CF24&amp;","&amp;CF25&amp;","&amp;CF26&amp;","&amp;CF27&amp;","&amp;CF28&amp;","&amp;CF29&amp;","&amp;CF30&amp;","&amp;CF31&amp;","&amp;CF32&amp;","&amp;CF33</f>
        <v>4,28,6,28,6,4,28,6,28,6</v>
      </c>
      <c r="CN6" s="20" t="str">
        <f t="shared" ref="CN6:CR6" si="29">CG24&amp;","&amp;CG25&amp;","&amp;CG26&amp;","&amp;CG27&amp;","&amp;CG28&amp;","&amp;CG29&amp;","&amp;CG30&amp;","&amp;CG31&amp;","&amp;CG32&amp;","&amp;CG33</f>
        <v>0,0,1,0,1,0,0,1,0,1</v>
      </c>
      <c r="CO6" s="20" t="str">
        <f t="shared" si="29"/>
        <v>0,0,0,0,1,0,0,0,0,1</v>
      </c>
      <c r="CP6" s="20" t="str">
        <f t="shared" si="29"/>
        <v>0,0,5,0,5,0,0,5,0,5</v>
      </c>
      <c r="CQ6" s="20" t="str">
        <f t="shared" si="29"/>
        <v>100,1000,5,1500,5,200,1000,5,1500,5</v>
      </c>
      <c r="CR6" s="20" t="str">
        <f t="shared" si="29"/>
        <v>5,5,5,5,5,5,5,5,5,5</v>
      </c>
      <c r="CS6" s="20"/>
      <c r="CT6" s="20"/>
    </row>
    <row r="7" spans="1:98" ht="14.25" x14ac:dyDescent="0.15">
      <c r="A7" s="2">
        <v>104</v>
      </c>
      <c r="B7" s="3" t="s">
        <v>119</v>
      </c>
      <c r="C7" s="4" t="s">
        <v>109</v>
      </c>
      <c r="D7" s="6" t="s">
        <v>120</v>
      </c>
      <c r="E7" s="5">
        <v>3</v>
      </c>
      <c r="F7" s="7" t="s">
        <v>145</v>
      </c>
      <c r="G7" s="5">
        <v>3</v>
      </c>
      <c r="H7" s="7" t="s">
        <v>190</v>
      </c>
      <c r="I7" s="5">
        <v>0</v>
      </c>
      <c r="J7" s="5">
        <v>0</v>
      </c>
      <c r="K7">
        <v>2</v>
      </c>
      <c r="L7">
        <v>1.5</v>
      </c>
      <c r="M7" s="5">
        <v>1.5</v>
      </c>
      <c r="N7" s="5">
        <v>10</v>
      </c>
      <c r="O7" s="5">
        <f t="shared" si="9"/>
        <v>8777</v>
      </c>
      <c r="P7" s="5">
        <f t="shared" si="10"/>
        <v>23400000</v>
      </c>
      <c r="Q7" s="5">
        <f t="shared" si="11"/>
        <v>585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70041</v>
      </c>
      <c r="X7" s="6" t="s">
        <v>182</v>
      </c>
      <c r="Y7" s="5">
        <v>300</v>
      </c>
      <c r="Z7" s="5">
        <v>1</v>
      </c>
      <c r="AA7" s="5">
        <v>453419</v>
      </c>
      <c r="AB7" s="16" t="s">
        <v>111</v>
      </c>
      <c r="AC7" s="7" t="s">
        <v>112</v>
      </c>
      <c r="AD7" s="7" t="s">
        <v>112</v>
      </c>
      <c r="AE7" s="7" t="s">
        <v>112</v>
      </c>
      <c r="AF7" s="6" t="s">
        <v>113</v>
      </c>
      <c r="AG7" s="26" t="str">
        <f>CM$7</f>
        <v>4,14,28,14,6,4,14,28,14,6</v>
      </c>
      <c r="AH7" s="26" t="str">
        <f t="shared" ref="AH7:AL7" si="30">CN$7</f>
        <v>0,0,0,0,1,0,0,0,0,1</v>
      </c>
      <c r="AI7" s="26" t="str">
        <f t="shared" si="30"/>
        <v>0,0,0,0,1,0,0,0,0,1</v>
      </c>
      <c r="AJ7" s="26" t="str">
        <f t="shared" si="30"/>
        <v>0,0,0,0,5,0,0,0,0,5</v>
      </c>
      <c r="AK7" s="26" t="str">
        <f t="shared" si="30"/>
        <v>100,1,1000,2,5,200,1,1000,2,5</v>
      </c>
      <c r="AL7" s="26" t="str">
        <f t="shared" si="30"/>
        <v>5,5,5,5,5,5,5,5,5,5</v>
      </c>
      <c r="AM7" s="7">
        <v>2001</v>
      </c>
      <c r="AO7">
        <f>AQ7*100+4</f>
        <v>104</v>
      </c>
      <c r="AP7">
        <v>3</v>
      </c>
      <c r="AQ7">
        <f t="shared" si="13"/>
        <v>1</v>
      </c>
      <c r="AR7" s="17">
        <v>6</v>
      </c>
      <c r="AS7" s="17">
        <v>55</v>
      </c>
      <c r="AT7" s="17">
        <v>2</v>
      </c>
      <c r="AU7">
        <f t="shared" si="14"/>
        <v>20</v>
      </c>
      <c r="AV7">
        <v>100</v>
      </c>
      <c r="AW7">
        <f t="shared" si="15"/>
        <v>8777.1340799999998</v>
      </c>
      <c r="AX7">
        <f t="shared" si="16"/>
        <v>23400000</v>
      </c>
      <c r="AY7">
        <f t="shared" si="17"/>
        <v>585</v>
      </c>
      <c r="AZ7">
        <f t="shared" si="18"/>
        <v>1170</v>
      </c>
      <c r="BA7">
        <f t="shared" si="19"/>
        <v>11232</v>
      </c>
      <c r="BB7">
        <f t="shared" si="20"/>
        <v>292.5</v>
      </c>
      <c r="BC7">
        <f t="shared" si="21"/>
        <v>23400000</v>
      </c>
      <c r="BD7">
        <f t="shared" si="22"/>
        <v>0.29411764705882354</v>
      </c>
      <c r="BE7" s="27">
        <f t="shared" si="23"/>
        <v>2443486.5000000005</v>
      </c>
      <c r="BF7" s="30">
        <f t="shared" si="24"/>
        <v>0.3024</v>
      </c>
      <c r="BG7" s="27"/>
      <c r="BH7" s="27"/>
      <c r="BI7" s="27"/>
      <c r="BJ7" s="18" t="s">
        <v>121</v>
      </c>
      <c r="BK7" s="22">
        <v>6</v>
      </c>
      <c r="BL7" s="20">
        <v>1</v>
      </c>
      <c r="BM7" s="20">
        <v>0</v>
      </c>
      <c r="BN7" s="20">
        <v>1.5</v>
      </c>
      <c r="BO7" s="20">
        <f t="shared" si="1"/>
        <v>144</v>
      </c>
      <c r="BP7" s="20">
        <f t="shared" si="2"/>
        <v>14.4</v>
      </c>
      <c r="BQ7" s="20">
        <f t="shared" si="3"/>
        <v>1728</v>
      </c>
      <c r="BR7" s="20">
        <f t="shared" si="4"/>
        <v>172.8</v>
      </c>
      <c r="BS7" s="20">
        <f t="shared" si="5"/>
        <v>36</v>
      </c>
      <c r="BT7" s="20">
        <f t="shared" si="6"/>
        <v>3.6</v>
      </c>
      <c r="BU7" s="20">
        <v>0</v>
      </c>
      <c r="BV7" s="20">
        <f t="shared" si="0"/>
        <v>52.254720000000013</v>
      </c>
      <c r="BW7" s="20"/>
      <c r="BX7" s="24">
        <v>6</v>
      </c>
      <c r="BY7" s="25">
        <v>1.8</v>
      </c>
      <c r="BZ7" s="24">
        <v>0.75</v>
      </c>
      <c r="CA7" s="20">
        <f t="shared" si="25"/>
        <v>100</v>
      </c>
      <c r="CB7" s="20">
        <f t="shared" si="26"/>
        <v>10000</v>
      </c>
      <c r="CC7" s="31"/>
      <c r="CD7" s="20">
        <v>101</v>
      </c>
      <c r="CE7" s="20" t="s">
        <v>157</v>
      </c>
      <c r="CF7" s="20">
        <v>33</v>
      </c>
      <c r="CG7" s="20">
        <v>8</v>
      </c>
      <c r="CH7" s="20">
        <v>0</v>
      </c>
      <c r="CI7" s="20">
        <v>0</v>
      </c>
      <c r="CJ7" s="20">
        <v>2</v>
      </c>
      <c r="CK7" s="20">
        <v>5</v>
      </c>
      <c r="CL7" s="20">
        <v>8</v>
      </c>
      <c r="CM7" s="20" t="str">
        <f>CF34&amp;","&amp;CF35&amp;","&amp;CF36&amp;","&amp;CF37&amp;","&amp;CF38&amp;","&amp;CF39&amp;","&amp;CF40&amp;","&amp;CF41&amp;","&amp;CF42&amp;","&amp;CF43</f>
        <v>4,14,28,14,6,4,14,28,14,6</v>
      </c>
      <c r="CN7" s="20" t="str">
        <f t="shared" ref="CN7:CR7" si="31">CG34&amp;","&amp;CG35&amp;","&amp;CG36&amp;","&amp;CG37&amp;","&amp;CG38&amp;","&amp;CG39&amp;","&amp;CG40&amp;","&amp;CG41&amp;","&amp;CG42&amp;","&amp;CG43</f>
        <v>0,0,0,0,1,0,0,0,0,1</v>
      </c>
      <c r="CO7" s="20" t="str">
        <f t="shared" si="31"/>
        <v>0,0,0,0,1,0,0,0,0,1</v>
      </c>
      <c r="CP7" s="20" t="str">
        <f t="shared" si="31"/>
        <v>0,0,0,0,5,0,0,0,0,5</v>
      </c>
      <c r="CQ7" s="20" t="str">
        <f t="shared" si="31"/>
        <v>100,1,1000,2,5,200,1,1000,2,5</v>
      </c>
      <c r="CR7" s="20" t="str">
        <f t="shared" si="31"/>
        <v>5,5,5,5,5,5,5,5,5,5</v>
      </c>
      <c r="CS7" s="20"/>
      <c r="CT7" s="20"/>
    </row>
    <row r="8" spans="1:98" ht="14.25" x14ac:dyDescent="0.15">
      <c r="A8" s="2">
        <v>105</v>
      </c>
      <c r="B8" s="3" t="s">
        <v>122</v>
      </c>
      <c r="C8" s="4" t="s">
        <v>109</v>
      </c>
      <c r="D8" s="4" t="s">
        <v>110</v>
      </c>
      <c r="E8" s="5">
        <v>2</v>
      </c>
      <c r="F8" s="7" t="s">
        <v>146</v>
      </c>
      <c r="G8" s="5">
        <v>3</v>
      </c>
      <c r="H8" s="7" t="s">
        <v>191</v>
      </c>
      <c r="I8" s="5">
        <v>0</v>
      </c>
      <c r="J8" s="7" t="s">
        <v>148</v>
      </c>
      <c r="K8">
        <v>6</v>
      </c>
      <c r="L8">
        <v>1.5</v>
      </c>
      <c r="M8" s="5">
        <v>1.5</v>
      </c>
      <c r="N8" s="5">
        <v>10</v>
      </c>
      <c r="O8" s="5">
        <f t="shared" si="9"/>
        <v>9452</v>
      </c>
      <c r="P8" s="5">
        <f t="shared" si="10"/>
        <v>25200000</v>
      </c>
      <c r="Q8" s="5">
        <f t="shared" si="11"/>
        <v>630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70051</v>
      </c>
      <c r="X8" s="6" t="s">
        <v>183</v>
      </c>
      <c r="Y8" s="5">
        <v>300</v>
      </c>
      <c r="Z8" s="5">
        <v>1</v>
      </c>
      <c r="AA8" s="5">
        <v>592220</v>
      </c>
      <c r="AB8" s="16" t="s">
        <v>111</v>
      </c>
      <c r="AC8" s="7" t="s">
        <v>112</v>
      </c>
      <c r="AD8" s="7" t="s">
        <v>112</v>
      </c>
      <c r="AE8" s="7" t="s">
        <v>112</v>
      </c>
      <c r="AF8" s="6" t="s">
        <v>113</v>
      </c>
      <c r="AG8" s="26" t="str">
        <f>CM$8</f>
        <v>4,19,28,19,6,4,19,28,19,6</v>
      </c>
      <c r="AH8" s="26" t="str">
        <f t="shared" ref="AH8:AL8" si="32">CN$8</f>
        <v>0,0,0,0,1,0,0,0,0,1</v>
      </c>
      <c r="AI8" s="26" t="str">
        <f t="shared" si="32"/>
        <v>0,0,0,0,1,0,0,0,0,1</v>
      </c>
      <c r="AJ8" s="26" t="str">
        <f t="shared" si="32"/>
        <v>0,0,0,0,5,0,0,0,0,5</v>
      </c>
      <c r="AK8" s="26" t="str">
        <f t="shared" si="32"/>
        <v>200,100,1000,200,5,200,100,1000,200,5</v>
      </c>
      <c r="AL8" s="26" t="str">
        <f t="shared" si="32"/>
        <v>5,5,5,5,5,5,5,5,5,5</v>
      </c>
      <c r="AM8" s="7">
        <v>2001</v>
      </c>
      <c r="AO8">
        <f>AQ8*100+5</f>
        <v>105</v>
      </c>
      <c r="AP8">
        <v>4</v>
      </c>
      <c r="AQ8">
        <f t="shared" si="13"/>
        <v>1</v>
      </c>
      <c r="AR8" s="17">
        <v>6</v>
      </c>
      <c r="AS8" s="17">
        <v>60</v>
      </c>
      <c r="AT8" s="17">
        <v>2</v>
      </c>
      <c r="AU8">
        <f t="shared" si="14"/>
        <v>20</v>
      </c>
      <c r="AV8">
        <v>100</v>
      </c>
      <c r="AW8">
        <f t="shared" si="15"/>
        <v>9452.2982400000001</v>
      </c>
      <c r="AX8">
        <f t="shared" si="16"/>
        <v>25200000</v>
      </c>
      <c r="AY8">
        <f t="shared" si="17"/>
        <v>630</v>
      </c>
      <c r="AZ8">
        <f t="shared" si="18"/>
        <v>1260</v>
      </c>
      <c r="BA8">
        <f t="shared" si="19"/>
        <v>12096</v>
      </c>
      <c r="BB8">
        <f t="shared" si="20"/>
        <v>315</v>
      </c>
      <c r="BC8">
        <f t="shared" si="21"/>
        <v>25200000</v>
      </c>
      <c r="BD8">
        <f t="shared" si="22"/>
        <v>0.29411764705882354</v>
      </c>
      <c r="BE8" s="27">
        <f t="shared" si="23"/>
        <v>2833866.0000000005</v>
      </c>
      <c r="BF8" s="30">
        <f t="shared" si="24"/>
        <v>0.3024</v>
      </c>
      <c r="BG8" s="27"/>
      <c r="BH8" s="27"/>
      <c r="BI8" s="27"/>
      <c r="BJ8" s="18" t="s">
        <v>123</v>
      </c>
      <c r="BK8" s="22">
        <v>7</v>
      </c>
      <c r="BL8" s="20">
        <v>1</v>
      </c>
      <c r="BM8" s="20">
        <v>0</v>
      </c>
      <c r="BN8" s="20">
        <v>1.5</v>
      </c>
      <c r="BO8" s="20">
        <f t="shared" si="1"/>
        <v>160</v>
      </c>
      <c r="BP8" s="20">
        <f t="shared" si="2"/>
        <v>16</v>
      </c>
      <c r="BQ8" s="20">
        <f t="shared" si="3"/>
        <v>1920</v>
      </c>
      <c r="BR8" s="20">
        <f t="shared" si="4"/>
        <v>192</v>
      </c>
      <c r="BS8" s="20">
        <f t="shared" si="5"/>
        <v>40</v>
      </c>
      <c r="BT8" s="20">
        <f t="shared" si="6"/>
        <v>4</v>
      </c>
      <c r="BU8" s="20">
        <v>0</v>
      </c>
      <c r="BV8" s="20">
        <f t="shared" si="0"/>
        <v>64.512</v>
      </c>
      <c r="BW8" s="20"/>
      <c r="BX8" s="24">
        <v>7</v>
      </c>
      <c r="BY8" s="20">
        <v>2</v>
      </c>
      <c r="BZ8" s="24">
        <v>0.8</v>
      </c>
      <c r="CA8" s="20">
        <f t="shared" si="25"/>
        <v>100</v>
      </c>
      <c r="CB8" s="20">
        <f t="shared" si="26"/>
        <v>10000</v>
      </c>
      <c r="CC8" s="31"/>
      <c r="CD8" s="20">
        <v>101</v>
      </c>
      <c r="CE8" s="20" t="s">
        <v>155</v>
      </c>
      <c r="CF8" s="20">
        <v>6</v>
      </c>
      <c r="CG8" s="20">
        <v>1</v>
      </c>
      <c r="CH8" s="20">
        <v>1</v>
      </c>
      <c r="CI8" s="20">
        <v>5</v>
      </c>
      <c r="CJ8" s="20">
        <v>5</v>
      </c>
      <c r="CK8" s="20">
        <v>5</v>
      </c>
      <c r="CL8" s="20">
        <v>10</v>
      </c>
      <c r="CM8" s="20" t="str">
        <f>CF44&amp;","&amp;CF45&amp;","&amp;CF46&amp;","&amp;CF47&amp;","&amp;CF48&amp;","&amp;CF49&amp;","&amp;CF50&amp;","&amp;CF51&amp;","&amp;CF52&amp;","&amp;CF53</f>
        <v>4,19,28,19,6,4,19,28,19,6</v>
      </c>
      <c r="CN8" s="20" t="str">
        <f t="shared" ref="CN8:CR8" si="33">CG44&amp;","&amp;CG45&amp;","&amp;CG46&amp;","&amp;CG47&amp;","&amp;CG48&amp;","&amp;CG49&amp;","&amp;CG50&amp;","&amp;CG51&amp;","&amp;CG52&amp;","&amp;CG53</f>
        <v>0,0,0,0,1,0,0,0,0,1</v>
      </c>
      <c r="CO8" s="20" t="str">
        <f t="shared" si="33"/>
        <v>0,0,0,0,1,0,0,0,0,1</v>
      </c>
      <c r="CP8" s="20" t="str">
        <f t="shared" si="33"/>
        <v>0,0,0,0,5,0,0,0,0,5</v>
      </c>
      <c r="CQ8" s="20" t="str">
        <f t="shared" si="33"/>
        <v>200,100,1000,200,5,200,100,1000,200,5</v>
      </c>
      <c r="CR8" s="20" t="str">
        <f t="shared" si="33"/>
        <v>5,5,5,5,5,5,5,5,5,5</v>
      </c>
      <c r="CS8" s="20"/>
      <c r="CT8" s="20"/>
    </row>
    <row r="9" spans="1:98" ht="14.25" x14ac:dyDescent="0.15">
      <c r="A9" s="2">
        <v>106</v>
      </c>
      <c r="B9" s="3" t="s">
        <v>124</v>
      </c>
      <c r="C9" s="4" t="s">
        <v>109</v>
      </c>
      <c r="D9" s="6" t="s">
        <v>120</v>
      </c>
      <c r="E9" s="5">
        <v>1</v>
      </c>
      <c r="F9" s="7" t="s">
        <v>147</v>
      </c>
      <c r="G9" s="5">
        <v>3</v>
      </c>
      <c r="H9" s="7" t="s">
        <v>192</v>
      </c>
      <c r="I9" s="5">
        <v>0</v>
      </c>
      <c r="J9" s="7" t="s">
        <v>149</v>
      </c>
      <c r="K9">
        <v>6</v>
      </c>
      <c r="L9">
        <v>1.5</v>
      </c>
      <c r="M9" s="5">
        <v>1.5</v>
      </c>
      <c r="N9" s="5">
        <v>10</v>
      </c>
      <c r="O9" s="5">
        <f t="shared" si="9"/>
        <v>10127</v>
      </c>
      <c r="P9" s="5">
        <f t="shared" si="10"/>
        <v>27000000</v>
      </c>
      <c r="Q9" s="5">
        <f t="shared" si="11"/>
        <v>675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70061</v>
      </c>
      <c r="X9" s="6" t="s">
        <v>184</v>
      </c>
      <c r="Y9" s="5">
        <v>300</v>
      </c>
      <c r="Z9" s="5">
        <v>1</v>
      </c>
      <c r="AA9" s="5">
        <v>749529</v>
      </c>
      <c r="AB9" s="16" t="s">
        <v>111</v>
      </c>
      <c r="AC9" s="7" t="s">
        <v>112</v>
      </c>
      <c r="AD9" s="7" t="s">
        <v>112</v>
      </c>
      <c r="AE9" s="7" t="s">
        <v>112</v>
      </c>
      <c r="AF9" s="6" t="s">
        <v>113</v>
      </c>
      <c r="AG9" s="26" t="str">
        <f>CM$9</f>
        <v>4,33,28,33,6,4,33,28,33,6</v>
      </c>
      <c r="AH9" s="26" t="str">
        <f t="shared" ref="AH9:AL9" si="34">CN$9</f>
        <v>0,6,0,6,1,0,6,0,6,1</v>
      </c>
      <c r="AI9" s="26" t="str">
        <f t="shared" si="34"/>
        <v>0,0,0,0,1,0,0,0,0,1</v>
      </c>
      <c r="AJ9" s="26" t="str">
        <f t="shared" si="34"/>
        <v>0,0,0,0,5,0,0,0,0,5</v>
      </c>
      <c r="AK9" s="26" t="str">
        <f t="shared" si="34"/>
        <v>200,1,1000,2,5,200,1,1000,2,5</v>
      </c>
      <c r="AL9" s="26" t="str">
        <f t="shared" si="34"/>
        <v>5,5,5,5,5,5,5,5,5,5</v>
      </c>
      <c r="AM9" s="7">
        <v>2001</v>
      </c>
      <c r="AO9">
        <f>AQ9*100+6</f>
        <v>106</v>
      </c>
      <c r="AP9">
        <v>5</v>
      </c>
      <c r="AQ9">
        <f t="shared" si="13"/>
        <v>1</v>
      </c>
      <c r="AR9" s="17">
        <v>6</v>
      </c>
      <c r="AS9" s="17">
        <v>65</v>
      </c>
      <c r="AT9" s="17">
        <v>2</v>
      </c>
      <c r="AU9">
        <f t="shared" si="14"/>
        <v>20</v>
      </c>
      <c r="AV9">
        <v>100</v>
      </c>
      <c r="AW9">
        <f t="shared" si="15"/>
        <v>10127.4624</v>
      </c>
      <c r="AX9">
        <f t="shared" si="16"/>
        <v>27000000</v>
      </c>
      <c r="AY9">
        <f t="shared" si="17"/>
        <v>675</v>
      </c>
      <c r="AZ9">
        <f t="shared" si="18"/>
        <v>1350</v>
      </c>
      <c r="BA9">
        <f t="shared" si="19"/>
        <v>12960</v>
      </c>
      <c r="BB9">
        <f t="shared" si="20"/>
        <v>337.5</v>
      </c>
      <c r="BC9">
        <f t="shared" si="21"/>
        <v>27000000</v>
      </c>
      <c r="BD9">
        <f t="shared" si="22"/>
        <v>0.29411764705882354</v>
      </c>
      <c r="BE9" s="27">
        <f t="shared" si="23"/>
        <v>3253162.5000000005</v>
      </c>
      <c r="BF9" s="30">
        <f t="shared" si="24"/>
        <v>0.3024</v>
      </c>
      <c r="BG9" s="27"/>
      <c r="BH9" s="27"/>
      <c r="BI9" s="27"/>
      <c r="BJ9" s="18" t="s">
        <v>125</v>
      </c>
      <c r="BK9" s="22">
        <v>8</v>
      </c>
      <c r="BL9" s="20">
        <v>1</v>
      </c>
      <c r="BM9" s="20">
        <v>0</v>
      </c>
      <c r="BN9" s="20">
        <v>1.5</v>
      </c>
      <c r="BO9" s="20">
        <f t="shared" si="1"/>
        <v>176</v>
      </c>
      <c r="BP9" s="20">
        <f t="shared" si="2"/>
        <v>17.600000000000001</v>
      </c>
      <c r="BQ9" s="20">
        <f t="shared" si="3"/>
        <v>2112</v>
      </c>
      <c r="BR9" s="20">
        <f t="shared" si="4"/>
        <v>211.20000000000002</v>
      </c>
      <c r="BS9" s="20">
        <f t="shared" si="5"/>
        <v>44</v>
      </c>
      <c r="BT9" s="20">
        <f t="shared" si="6"/>
        <v>4.4000000000000004</v>
      </c>
      <c r="BU9" s="20">
        <v>0</v>
      </c>
      <c r="BV9" s="20">
        <f t="shared" si="0"/>
        <v>78.059520000000006</v>
      </c>
      <c r="BW9" s="20"/>
      <c r="BX9" s="24">
        <v>8</v>
      </c>
      <c r="BY9" s="25">
        <v>2.2000000000000002</v>
      </c>
      <c r="BZ9" s="24">
        <v>0.85</v>
      </c>
      <c r="CA9" s="20">
        <f t="shared" si="25"/>
        <v>100</v>
      </c>
      <c r="CB9" s="20">
        <f t="shared" si="26"/>
        <v>10000</v>
      </c>
      <c r="CC9" s="31"/>
      <c r="CD9" s="20">
        <v>101</v>
      </c>
      <c r="CE9" s="20" t="s">
        <v>153</v>
      </c>
      <c r="CF9" s="20">
        <v>4</v>
      </c>
      <c r="CG9" s="20">
        <v>0</v>
      </c>
      <c r="CH9" s="20">
        <v>0</v>
      </c>
      <c r="CI9" s="20">
        <v>0</v>
      </c>
      <c r="CJ9" s="20">
        <v>200</v>
      </c>
      <c r="CK9" s="20">
        <v>5</v>
      </c>
      <c r="CL9" s="20">
        <v>2</v>
      </c>
      <c r="CM9" s="20" t="str">
        <f>CF54&amp;","&amp;CF55&amp;","&amp;CF56&amp;","&amp;CF57&amp;","&amp;CF58&amp;","&amp;CF59&amp;","&amp;CF60&amp;","&amp;CF61&amp;","&amp;CF62&amp;","&amp;CF63</f>
        <v>4,33,28,33,6,4,33,28,33,6</v>
      </c>
      <c r="CN9" s="20" t="str">
        <f t="shared" ref="CN9:CR9" si="35">CG54&amp;","&amp;CG55&amp;","&amp;CG56&amp;","&amp;CG57&amp;","&amp;CG58&amp;","&amp;CG59&amp;","&amp;CG60&amp;","&amp;CG61&amp;","&amp;CG62&amp;","&amp;CG63</f>
        <v>0,6,0,6,1,0,6,0,6,1</v>
      </c>
      <c r="CO9" s="20" t="str">
        <f t="shared" si="35"/>
        <v>0,0,0,0,1,0,0,0,0,1</v>
      </c>
      <c r="CP9" s="20" t="str">
        <f t="shared" si="35"/>
        <v>0,0,0,0,5,0,0,0,0,5</v>
      </c>
      <c r="CQ9" s="20" t="str">
        <f t="shared" si="35"/>
        <v>200,1,1000,2,5,200,1,1000,2,5</v>
      </c>
      <c r="CR9" s="20" t="str">
        <f t="shared" si="35"/>
        <v>5,5,5,5,5,5,5,5,5,5</v>
      </c>
      <c r="CS9" s="20"/>
      <c r="CT9" s="20"/>
    </row>
    <row r="10" spans="1:98" ht="14.25" x14ac:dyDescent="0.15">
      <c r="A10" s="2">
        <v>107</v>
      </c>
      <c r="B10" s="3" t="s">
        <v>126</v>
      </c>
      <c r="C10" s="4" t="s">
        <v>109</v>
      </c>
      <c r="D10" s="4" t="s">
        <v>110</v>
      </c>
      <c r="E10" s="5">
        <v>2</v>
      </c>
      <c r="F10" s="7" t="s">
        <v>143</v>
      </c>
      <c r="G10" s="5">
        <v>3</v>
      </c>
      <c r="H10" s="7" t="s">
        <v>193</v>
      </c>
      <c r="I10" s="5">
        <v>0</v>
      </c>
      <c r="J10" s="5">
        <v>0</v>
      </c>
      <c r="K10">
        <v>2</v>
      </c>
      <c r="L10">
        <v>1.5</v>
      </c>
      <c r="M10" s="5">
        <v>1.5</v>
      </c>
      <c r="N10" s="5">
        <v>10</v>
      </c>
      <c r="O10" s="5">
        <f t="shared" si="9"/>
        <v>10802</v>
      </c>
      <c r="P10" s="5">
        <f t="shared" si="10"/>
        <v>28800000</v>
      </c>
      <c r="Q10" s="5">
        <f t="shared" si="11"/>
        <v>720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70071</v>
      </c>
      <c r="X10" s="6" t="s">
        <v>185</v>
      </c>
      <c r="Y10" s="5">
        <v>300</v>
      </c>
      <c r="Z10" s="5">
        <v>1</v>
      </c>
      <c r="AA10" s="5">
        <v>925344</v>
      </c>
      <c r="AB10" s="16" t="s">
        <v>111</v>
      </c>
      <c r="AC10" s="7" t="s">
        <v>112</v>
      </c>
      <c r="AD10" s="7" t="s">
        <v>112</v>
      </c>
      <c r="AE10" s="7" t="s">
        <v>112</v>
      </c>
      <c r="AF10" s="6" t="s">
        <v>113</v>
      </c>
      <c r="AG10" s="26" t="str">
        <f>CM$10</f>
        <v>4,14,28,14,6,4,14,28,14,6</v>
      </c>
      <c r="AH10" s="26" t="str">
        <f t="shared" ref="AH10:AL10" si="36">CN$10</f>
        <v>0,0,0,0,1,0,0,0,0,1</v>
      </c>
      <c r="AI10" s="26" t="str">
        <f t="shared" si="36"/>
        <v>0,0,0,0,1,0,0,0,0,1</v>
      </c>
      <c r="AJ10" s="26" t="str">
        <f t="shared" si="36"/>
        <v>0,0,0,0,5,0,0,0,0,5</v>
      </c>
      <c r="AK10" s="26" t="str">
        <f t="shared" si="36"/>
        <v>200,1,1000,2,5,200,1,1000,2,5</v>
      </c>
      <c r="AL10" s="26" t="str">
        <f t="shared" si="36"/>
        <v>5,5,5,5,5,5,5,5,5,5</v>
      </c>
      <c r="AM10" s="7">
        <v>2001</v>
      </c>
      <c r="AO10">
        <f>AQ10*100+7</f>
        <v>107</v>
      </c>
      <c r="AP10">
        <v>6</v>
      </c>
      <c r="AQ10">
        <f t="shared" si="13"/>
        <v>1</v>
      </c>
      <c r="AR10" s="17">
        <v>6</v>
      </c>
      <c r="AS10" s="17">
        <v>70</v>
      </c>
      <c r="AT10" s="17">
        <v>2</v>
      </c>
      <c r="AU10">
        <f t="shared" si="14"/>
        <v>20</v>
      </c>
      <c r="AV10">
        <v>100</v>
      </c>
      <c r="AW10">
        <f t="shared" si="15"/>
        <v>10802.626559999999</v>
      </c>
      <c r="AX10">
        <f t="shared" si="16"/>
        <v>28800000</v>
      </c>
      <c r="AY10">
        <f t="shared" si="17"/>
        <v>720</v>
      </c>
      <c r="AZ10">
        <f t="shared" si="18"/>
        <v>1440</v>
      </c>
      <c r="BA10">
        <f t="shared" si="19"/>
        <v>13824</v>
      </c>
      <c r="BB10">
        <f t="shared" si="20"/>
        <v>360</v>
      </c>
      <c r="BC10">
        <f t="shared" si="21"/>
        <v>28800000</v>
      </c>
      <c r="BD10">
        <f t="shared" si="22"/>
        <v>0.29411764705882354</v>
      </c>
      <c r="BE10" s="27">
        <f t="shared" si="23"/>
        <v>3701376.0000000005</v>
      </c>
      <c r="BF10" s="30">
        <f t="shared" si="24"/>
        <v>0.3024</v>
      </c>
      <c r="BG10" s="27"/>
      <c r="BH10" s="27"/>
      <c r="BI10" s="27"/>
      <c r="BJ10" s="18" t="s">
        <v>127</v>
      </c>
      <c r="BK10" s="23">
        <v>9</v>
      </c>
      <c r="BL10" s="20">
        <v>1</v>
      </c>
      <c r="BM10" s="20">
        <v>0</v>
      </c>
      <c r="BN10" s="20">
        <v>1.5</v>
      </c>
      <c r="BO10" s="20">
        <f t="shared" si="1"/>
        <v>192</v>
      </c>
      <c r="BP10" s="20">
        <f t="shared" si="2"/>
        <v>19.2</v>
      </c>
      <c r="BQ10" s="20">
        <f t="shared" si="3"/>
        <v>2304</v>
      </c>
      <c r="BR10" s="20">
        <f t="shared" si="4"/>
        <v>230.39999999999998</v>
      </c>
      <c r="BS10" s="20">
        <f t="shared" si="5"/>
        <v>48</v>
      </c>
      <c r="BT10" s="20">
        <f t="shared" si="6"/>
        <v>4.8</v>
      </c>
      <c r="BU10" s="20">
        <v>0</v>
      </c>
      <c r="BV10" s="20">
        <f t="shared" si="0"/>
        <v>92.897280000000009</v>
      </c>
      <c r="BW10" s="20"/>
      <c r="BX10" s="24">
        <v>9</v>
      </c>
      <c r="BY10" s="20">
        <v>2.4</v>
      </c>
      <c r="BZ10" s="24">
        <v>0.9</v>
      </c>
      <c r="CA10" s="20">
        <f t="shared" si="25"/>
        <v>100</v>
      </c>
      <c r="CB10" s="20">
        <f t="shared" si="26"/>
        <v>10000</v>
      </c>
      <c r="CC10" s="31"/>
      <c r="CD10" s="20">
        <v>101</v>
      </c>
      <c r="CE10" s="20" t="s">
        <v>156</v>
      </c>
      <c r="CF10" s="20">
        <v>33</v>
      </c>
      <c r="CG10" s="20">
        <v>8</v>
      </c>
      <c r="CH10" s="20">
        <v>0</v>
      </c>
      <c r="CI10" s="20">
        <v>0</v>
      </c>
      <c r="CJ10" s="20">
        <v>1</v>
      </c>
      <c r="CK10" s="20">
        <v>5</v>
      </c>
      <c r="CL10" s="20">
        <v>7</v>
      </c>
      <c r="CM10" s="20" t="str">
        <f>CF64&amp;","&amp;CF65&amp;","&amp;CF66&amp;","&amp;CF67&amp;","&amp;CF68&amp;","&amp;CF69&amp;","&amp;CF70&amp;","&amp;CF71&amp;","&amp;CF72&amp;","&amp;CF73</f>
        <v>4,14,28,14,6,4,14,28,14,6</v>
      </c>
      <c r="CN10" s="20" t="str">
        <f t="shared" ref="CN10:CR10" si="37">CG64&amp;","&amp;CG65&amp;","&amp;CG66&amp;","&amp;CG67&amp;","&amp;CG68&amp;","&amp;CG69&amp;","&amp;CG70&amp;","&amp;CG71&amp;","&amp;CG72&amp;","&amp;CG73</f>
        <v>0,0,0,0,1,0,0,0,0,1</v>
      </c>
      <c r="CO10" s="20" t="str">
        <f t="shared" si="37"/>
        <v>0,0,0,0,1,0,0,0,0,1</v>
      </c>
      <c r="CP10" s="20" t="str">
        <f t="shared" si="37"/>
        <v>0,0,0,0,5,0,0,0,0,5</v>
      </c>
      <c r="CQ10" s="20" t="str">
        <f t="shared" si="37"/>
        <v>200,1,1000,2,5,200,1,1000,2,5</v>
      </c>
      <c r="CR10" s="20" t="str">
        <f t="shared" si="37"/>
        <v>5,5,5,5,5,5,5,5,5,5</v>
      </c>
    </row>
    <row r="11" spans="1:98" ht="14.25" x14ac:dyDescent="0.15">
      <c r="A11" s="2">
        <v>108</v>
      </c>
      <c r="B11" s="3" t="s">
        <v>128</v>
      </c>
      <c r="C11" s="4" t="s">
        <v>109</v>
      </c>
      <c r="D11" s="4" t="s">
        <v>110</v>
      </c>
      <c r="E11" s="5">
        <v>5</v>
      </c>
      <c r="F11" s="7" t="s">
        <v>129</v>
      </c>
      <c r="G11" s="5">
        <v>2</v>
      </c>
      <c r="H11" s="7" t="s">
        <v>130</v>
      </c>
      <c r="I11" s="5">
        <v>0</v>
      </c>
      <c r="J11" s="5">
        <v>0</v>
      </c>
      <c r="K11">
        <v>2</v>
      </c>
      <c r="L11">
        <v>1.5</v>
      </c>
      <c r="M11" s="5">
        <v>1.5</v>
      </c>
      <c r="N11" s="5">
        <v>10</v>
      </c>
      <c r="O11" s="5">
        <f t="shared" si="9"/>
        <v>11477</v>
      </c>
      <c r="P11" s="5">
        <f t="shared" si="10"/>
        <v>30600000</v>
      </c>
      <c r="Q11" s="5">
        <f t="shared" si="11"/>
        <v>765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70081</v>
      </c>
      <c r="X11" s="6" t="s">
        <v>186</v>
      </c>
      <c r="Y11" s="5">
        <v>300</v>
      </c>
      <c r="Z11" s="5">
        <v>1</v>
      </c>
      <c r="AA11" s="5">
        <v>1119666</v>
      </c>
      <c r="AB11" s="16" t="s">
        <v>111</v>
      </c>
      <c r="AC11" s="7" t="s">
        <v>112</v>
      </c>
      <c r="AD11" s="7" t="s">
        <v>112</v>
      </c>
      <c r="AE11" s="7" t="s">
        <v>112</v>
      </c>
      <c r="AF11" s="6" t="s">
        <v>113</v>
      </c>
      <c r="AG11" s="26" t="str">
        <f>CM$11</f>
        <v>4,28,6,28,6,4,28,6,28,6</v>
      </c>
      <c r="AH11" s="26" t="str">
        <f t="shared" ref="AH11:AL11" si="38">CN$11</f>
        <v>0,0,1,0,1,0,0,1,0,1</v>
      </c>
      <c r="AI11" s="26" t="str">
        <f t="shared" si="38"/>
        <v>0,0,1,0,1,0,0,1,0,1</v>
      </c>
      <c r="AJ11" s="26" t="str">
        <f t="shared" si="38"/>
        <v>0,0,5,0,5,0,0,5,0,5</v>
      </c>
      <c r="AK11" s="26" t="str">
        <f t="shared" si="38"/>
        <v>100,1000,5,1500,5,200,1000,5,1500,5</v>
      </c>
      <c r="AL11" s="26" t="str">
        <f t="shared" si="38"/>
        <v>5,5,5,5,5,5,5,5,5,5</v>
      </c>
      <c r="AM11" s="7">
        <v>2001</v>
      </c>
      <c r="AO11">
        <f>AQ11*100+8</f>
        <v>108</v>
      </c>
      <c r="AP11">
        <v>7</v>
      </c>
      <c r="AQ11">
        <f t="shared" si="13"/>
        <v>1</v>
      </c>
      <c r="AR11" s="17">
        <v>6</v>
      </c>
      <c r="AS11" s="17">
        <v>75</v>
      </c>
      <c r="AT11" s="17">
        <v>2</v>
      </c>
      <c r="AU11">
        <f t="shared" si="14"/>
        <v>20</v>
      </c>
      <c r="AV11">
        <v>100</v>
      </c>
      <c r="AW11">
        <f t="shared" si="15"/>
        <v>11477.790719999999</v>
      </c>
      <c r="AX11">
        <f t="shared" si="16"/>
        <v>30600000</v>
      </c>
      <c r="AY11">
        <f t="shared" si="17"/>
        <v>765</v>
      </c>
      <c r="AZ11">
        <f t="shared" si="18"/>
        <v>1530</v>
      </c>
      <c r="BA11">
        <f t="shared" si="19"/>
        <v>14688</v>
      </c>
      <c r="BB11">
        <f t="shared" si="20"/>
        <v>382.5</v>
      </c>
      <c r="BC11">
        <f t="shared" si="21"/>
        <v>30600000</v>
      </c>
      <c r="BD11">
        <f t="shared" si="22"/>
        <v>0.29411764705882354</v>
      </c>
      <c r="BE11" s="27">
        <f t="shared" si="23"/>
        <v>4178506.5</v>
      </c>
      <c r="BF11" s="30">
        <f t="shared" si="24"/>
        <v>0.3024</v>
      </c>
      <c r="BG11" s="27"/>
      <c r="BH11" s="27"/>
      <c r="BI11" s="27"/>
      <c r="BJ11" s="18" t="s">
        <v>131</v>
      </c>
      <c r="BK11" s="23">
        <v>10</v>
      </c>
      <c r="BL11" s="20">
        <v>1</v>
      </c>
      <c r="BM11" s="20">
        <v>0</v>
      </c>
      <c r="BN11" s="20">
        <v>1.5</v>
      </c>
      <c r="BO11" s="20">
        <f t="shared" si="1"/>
        <v>208</v>
      </c>
      <c r="BP11" s="20">
        <f t="shared" si="2"/>
        <v>20.8</v>
      </c>
      <c r="BQ11" s="20">
        <f t="shared" si="3"/>
        <v>2496</v>
      </c>
      <c r="BR11" s="20">
        <f t="shared" si="4"/>
        <v>249.60000000000002</v>
      </c>
      <c r="BS11" s="20">
        <f t="shared" si="5"/>
        <v>52</v>
      </c>
      <c r="BT11" s="20">
        <f t="shared" si="6"/>
        <v>5.2</v>
      </c>
      <c r="BU11" s="20">
        <v>0</v>
      </c>
      <c r="BV11" s="20">
        <f t="shared" si="0"/>
        <v>109.02528000000001</v>
      </c>
      <c r="BW11" s="20"/>
      <c r="BX11" s="24">
        <v>10</v>
      </c>
      <c r="BY11" s="25">
        <v>2.6</v>
      </c>
      <c r="BZ11" s="24">
        <v>0.95</v>
      </c>
      <c r="CA11" s="20">
        <f t="shared" si="25"/>
        <v>100</v>
      </c>
      <c r="CB11" s="20">
        <f t="shared" si="26"/>
        <v>10000</v>
      </c>
      <c r="CC11" s="31"/>
      <c r="CD11" s="20">
        <v>101</v>
      </c>
      <c r="CE11" s="20" t="s">
        <v>197</v>
      </c>
      <c r="CF11" s="20">
        <v>28</v>
      </c>
      <c r="CG11" s="20">
        <v>0</v>
      </c>
      <c r="CH11" s="20">
        <v>0</v>
      </c>
      <c r="CI11" s="20">
        <v>0</v>
      </c>
      <c r="CJ11" s="20">
        <v>1000</v>
      </c>
      <c r="CK11" s="20">
        <v>5</v>
      </c>
      <c r="CL11" s="20">
        <v>4</v>
      </c>
      <c r="CM11" s="20" t="str">
        <f>CF74&amp;","&amp;CF75&amp;","&amp;CF76&amp;","&amp;CF77&amp;","&amp;CF78&amp;","&amp;CF79&amp;","&amp;CF80&amp;","&amp;CF81&amp;","&amp;CF82&amp;","&amp;CF83</f>
        <v>4,28,6,28,6,4,28,6,28,6</v>
      </c>
      <c r="CN11" s="20" t="str">
        <f t="shared" ref="CN11:CR11" si="39">CG74&amp;","&amp;CG75&amp;","&amp;CG76&amp;","&amp;CG77&amp;","&amp;CG78&amp;","&amp;CG79&amp;","&amp;CG80&amp;","&amp;CG81&amp;","&amp;CG82&amp;","&amp;CG83</f>
        <v>0,0,1,0,1,0,0,1,0,1</v>
      </c>
      <c r="CO11" s="20" t="str">
        <f t="shared" si="39"/>
        <v>0,0,1,0,1,0,0,1,0,1</v>
      </c>
      <c r="CP11" s="20" t="str">
        <f t="shared" si="39"/>
        <v>0,0,5,0,5,0,0,5,0,5</v>
      </c>
      <c r="CQ11" s="20" t="str">
        <f t="shared" si="39"/>
        <v>100,1000,5,1500,5,200,1000,5,1500,5</v>
      </c>
      <c r="CR11" s="20" t="str">
        <f t="shared" si="39"/>
        <v>5,5,5,5,5,5,5,5,5,5</v>
      </c>
    </row>
    <row r="12" spans="1:98" ht="14.25" x14ac:dyDescent="0.15">
      <c r="A12" s="2">
        <v>109</v>
      </c>
      <c r="B12" s="3" t="s">
        <v>132</v>
      </c>
      <c r="C12" s="4" t="s">
        <v>109</v>
      </c>
      <c r="D12" s="4" t="s">
        <v>110</v>
      </c>
      <c r="E12" s="5">
        <v>5</v>
      </c>
      <c r="F12" s="7" t="s">
        <v>140</v>
      </c>
      <c r="G12" s="5">
        <v>3</v>
      </c>
      <c r="H12" s="7" t="s">
        <v>140</v>
      </c>
      <c r="I12" s="5">
        <v>0</v>
      </c>
      <c r="J12" s="7">
        <v>0</v>
      </c>
      <c r="K12">
        <v>6</v>
      </c>
      <c r="L12">
        <v>1.5</v>
      </c>
      <c r="M12" s="5">
        <v>1.5</v>
      </c>
      <c r="N12" s="5">
        <v>10</v>
      </c>
      <c r="O12" s="5">
        <f t="shared" si="9"/>
        <v>12152</v>
      </c>
      <c r="P12" s="5">
        <f t="shared" si="10"/>
        <v>37584000</v>
      </c>
      <c r="Q12" s="5">
        <f t="shared" si="11"/>
        <v>939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70091</v>
      </c>
      <c r="X12" s="6" t="s">
        <v>187</v>
      </c>
      <c r="Y12" s="5">
        <v>300</v>
      </c>
      <c r="Z12" s="5">
        <v>1</v>
      </c>
      <c r="AA12" s="5">
        <v>1332495</v>
      </c>
      <c r="AB12" s="16" t="s">
        <v>111</v>
      </c>
      <c r="AC12" s="7" t="s">
        <v>112</v>
      </c>
      <c r="AD12" s="7" t="s">
        <v>112</v>
      </c>
      <c r="AE12" s="7" t="s">
        <v>112</v>
      </c>
      <c r="AF12" s="6" t="s">
        <v>113</v>
      </c>
      <c r="AG12" s="26" t="str">
        <f>CM$12</f>
        <v>4,33,28,33,6,4,33,28,33,6</v>
      </c>
      <c r="AH12" s="26" t="str">
        <f t="shared" ref="AH12:AL12" si="40">CN$12</f>
        <v>0,5,0,5,1,0,5,0,5,1</v>
      </c>
      <c r="AI12" s="26" t="str">
        <f t="shared" si="40"/>
        <v>0,0,0,0,1,0,0,0,0,1</v>
      </c>
      <c r="AJ12" s="26" t="str">
        <f t="shared" si="40"/>
        <v>0,0,0,0,5,0,0,0,0,5</v>
      </c>
      <c r="AK12" s="26" t="str">
        <f t="shared" si="40"/>
        <v>100,1,1000,2,5,200,1,1000,2,5</v>
      </c>
      <c r="AL12" s="26" t="str">
        <f t="shared" si="40"/>
        <v>5,5,5,5,5,5,5,5,5,5</v>
      </c>
      <c r="AM12" s="7">
        <v>2001</v>
      </c>
      <c r="AO12">
        <f>AQ12*100+9</f>
        <v>109</v>
      </c>
      <c r="AP12">
        <v>8</v>
      </c>
      <c r="AQ12">
        <f t="shared" si="13"/>
        <v>1</v>
      </c>
      <c r="AR12" s="17">
        <v>6</v>
      </c>
      <c r="AS12" s="17">
        <v>80</v>
      </c>
      <c r="AT12" s="17">
        <v>3</v>
      </c>
      <c r="AU12">
        <f t="shared" si="14"/>
        <v>20</v>
      </c>
      <c r="AV12">
        <v>100</v>
      </c>
      <c r="AW12">
        <f t="shared" si="15"/>
        <v>12152.954879999999</v>
      </c>
      <c r="AX12">
        <f t="shared" si="16"/>
        <v>37584000</v>
      </c>
      <c r="AY12">
        <f t="shared" si="17"/>
        <v>939.6</v>
      </c>
      <c r="AZ12">
        <f t="shared" si="18"/>
        <v>1879.2</v>
      </c>
      <c r="BA12">
        <f t="shared" si="19"/>
        <v>15552</v>
      </c>
      <c r="BB12">
        <f t="shared" si="20"/>
        <v>469.8</v>
      </c>
      <c r="BC12">
        <f t="shared" si="21"/>
        <v>37584000</v>
      </c>
      <c r="BD12">
        <f t="shared" si="22"/>
        <v>0.29411764705882348</v>
      </c>
      <c r="BE12" s="27">
        <f t="shared" si="23"/>
        <v>6303535.8624000009</v>
      </c>
      <c r="BF12" s="30">
        <f t="shared" si="24"/>
        <v>0.3024</v>
      </c>
      <c r="BG12" s="27"/>
      <c r="BH12" s="27"/>
      <c r="BI12" s="27"/>
      <c r="BJ12" s="18" t="s">
        <v>133</v>
      </c>
      <c r="BK12" s="23">
        <v>11</v>
      </c>
      <c r="BL12" s="20">
        <v>1</v>
      </c>
      <c r="BM12" s="20">
        <v>0</v>
      </c>
      <c r="BN12" s="20">
        <v>1.5</v>
      </c>
      <c r="BO12" s="20">
        <f t="shared" si="1"/>
        <v>224</v>
      </c>
      <c r="BP12" s="20">
        <f t="shared" si="2"/>
        <v>22.4</v>
      </c>
      <c r="BQ12" s="20">
        <f t="shared" si="3"/>
        <v>2688</v>
      </c>
      <c r="BR12" s="20">
        <f t="shared" si="4"/>
        <v>268.79999999999995</v>
      </c>
      <c r="BS12" s="20">
        <f t="shared" si="5"/>
        <v>56</v>
      </c>
      <c r="BT12" s="20">
        <f t="shared" si="6"/>
        <v>5.6</v>
      </c>
      <c r="BU12" s="20">
        <v>0</v>
      </c>
      <c r="BV12" s="20">
        <f t="shared" si="0"/>
        <v>126.44352000000002</v>
      </c>
      <c r="BW12" s="20"/>
      <c r="BX12" s="24">
        <v>11</v>
      </c>
      <c r="BY12" s="20">
        <v>2.8</v>
      </c>
      <c r="BZ12" s="24">
        <v>1</v>
      </c>
      <c r="CA12" s="20">
        <f t="shared" si="25"/>
        <v>100</v>
      </c>
      <c r="CB12" s="20">
        <f t="shared" si="26"/>
        <v>10000</v>
      </c>
      <c r="CC12" s="31"/>
      <c r="CD12" s="20">
        <v>101</v>
      </c>
      <c r="CE12" s="20" t="s">
        <v>157</v>
      </c>
      <c r="CF12" s="20">
        <v>33</v>
      </c>
      <c r="CG12" s="20">
        <v>8</v>
      </c>
      <c r="CH12" s="20">
        <v>0</v>
      </c>
      <c r="CI12" s="20">
        <v>0</v>
      </c>
      <c r="CJ12" s="20">
        <v>2</v>
      </c>
      <c r="CK12" s="20">
        <v>5</v>
      </c>
      <c r="CL12" s="20">
        <v>9</v>
      </c>
      <c r="CM12" s="20" t="str">
        <f>CF84&amp;","&amp;CF85&amp;","&amp;CF86&amp;","&amp;CF87&amp;","&amp;CF88&amp;","&amp;CF89&amp;","&amp;CF90&amp;","&amp;CF91&amp;","&amp;CF92&amp;","&amp;CF93</f>
        <v>4,33,28,33,6,4,33,28,33,6</v>
      </c>
      <c r="CN12" s="20" t="str">
        <f t="shared" ref="CN12:CR12" si="41">CG84&amp;","&amp;CG85&amp;","&amp;CG86&amp;","&amp;CG87&amp;","&amp;CG88&amp;","&amp;CG89&amp;","&amp;CG90&amp;","&amp;CG91&amp;","&amp;CG92&amp;","&amp;CG93</f>
        <v>0,5,0,5,1,0,5,0,5,1</v>
      </c>
      <c r="CO12" s="20" t="str">
        <f t="shared" si="41"/>
        <v>0,0,0,0,1,0,0,0,0,1</v>
      </c>
      <c r="CP12" s="20" t="str">
        <f t="shared" si="41"/>
        <v>0,0,0,0,5,0,0,0,0,5</v>
      </c>
      <c r="CQ12" s="20" t="str">
        <f t="shared" si="41"/>
        <v>100,1,1000,2,5,200,1,1000,2,5</v>
      </c>
      <c r="CR12" s="20" t="str">
        <f t="shared" si="41"/>
        <v>5,5,5,5,5,5,5,5,5,5</v>
      </c>
    </row>
    <row r="13" spans="1:98" ht="14.25" x14ac:dyDescent="0.15">
      <c r="A13" s="2">
        <v>201</v>
      </c>
      <c r="B13" s="3" t="s">
        <v>108</v>
      </c>
      <c r="C13" s="4" t="s">
        <v>109</v>
      </c>
      <c r="D13" s="4" t="s">
        <v>110</v>
      </c>
      <c r="E13" s="5">
        <v>3</v>
      </c>
      <c r="F13" s="7" t="s">
        <v>141</v>
      </c>
      <c r="G13" s="5">
        <v>2.5</v>
      </c>
      <c r="H13" s="7" t="s">
        <v>194</v>
      </c>
      <c r="I13" s="5">
        <v>0</v>
      </c>
      <c r="J13" s="5">
        <v>0</v>
      </c>
      <c r="K13">
        <v>2</v>
      </c>
      <c r="L13">
        <v>1.5</v>
      </c>
      <c r="M13" s="5">
        <v>1.5</v>
      </c>
      <c r="N13" s="5">
        <v>10</v>
      </c>
      <c r="O13" s="5">
        <f t="shared" si="9"/>
        <v>7440</v>
      </c>
      <c r="P13" s="5">
        <f t="shared" si="10"/>
        <v>34452000</v>
      </c>
      <c r="Q13" s="5">
        <f t="shared" si="11"/>
        <v>574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70011</v>
      </c>
      <c r="X13" s="6" t="s">
        <v>179</v>
      </c>
      <c r="Y13" s="5">
        <v>300</v>
      </c>
      <c r="Z13" s="5">
        <v>1</v>
      </c>
      <c r="AA13" s="5">
        <v>2345747</v>
      </c>
      <c r="AB13" s="16" t="s">
        <v>111</v>
      </c>
      <c r="AC13" s="7" t="s">
        <v>112</v>
      </c>
      <c r="AD13" s="7" t="s">
        <v>112</v>
      </c>
      <c r="AE13" s="7" t="s">
        <v>112</v>
      </c>
      <c r="AF13" s="6" t="s">
        <v>113</v>
      </c>
      <c r="AG13" s="26" t="str">
        <f>CM$4</f>
        <v>4,33,28,33,6,4,33,28,33,6</v>
      </c>
      <c r="AH13" s="26" t="str">
        <f t="shared" ref="AH13" si="42">CN$4</f>
        <v>0,8,0,8,1,0,8,0,8,1</v>
      </c>
      <c r="AI13" s="26" t="str">
        <f t="shared" ref="AI13" si="43">CO$4</f>
        <v>0,0,0,0,1,0,0,0,0,1</v>
      </c>
      <c r="AJ13" s="26" t="str">
        <f t="shared" ref="AJ13" si="44">CP$4</f>
        <v>0,0,0,0,5,0,0,0,0,5</v>
      </c>
      <c r="AK13" s="26" t="str">
        <f t="shared" ref="AK13" si="45">CQ$4</f>
        <v>100,1,1000,2,5,200,1,1000,2,5</v>
      </c>
      <c r="AL13" s="26" t="str">
        <f t="shared" ref="AL13" si="46">CR$4</f>
        <v>5,5,5,5,5,5,5,5,5,5</v>
      </c>
      <c r="AM13" s="7">
        <v>2001</v>
      </c>
      <c r="AO13">
        <f t="shared" ref="AO13" si="47">AQ13*100+1</f>
        <v>201</v>
      </c>
      <c r="AP13">
        <v>9</v>
      </c>
      <c r="AQ13">
        <f t="shared" si="13"/>
        <v>2</v>
      </c>
      <c r="AR13" s="17">
        <v>6</v>
      </c>
      <c r="AS13" s="17">
        <f>AS4+5</f>
        <v>45</v>
      </c>
      <c r="AT13" s="17">
        <v>3</v>
      </c>
      <c r="AU13">
        <f t="shared" si="14"/>
        <v>20</v>
      </c>
      <c r="AV13">
        <v>150</v>
      </c>
      <c r="AW13">
        <f t="shared" si="15"/>
        <v>7440.4915199999996</v>
      </c>
      <c r="AX13">
        <f t="shared" si="16"/>
        <v>34451999.999999993</v>
      </c>
      <c r="AY13">
        <f t="shared" si="17"/>
        <v>574.19999999999993</v>
      </c>
      <c r="AZ13">
        <f t="shared" si="18"/>
        <v>1148.3999999999999</v>
      </c>
      <c r="BA13">
        <f t="shared" si="19"/>
        <v>9504</v>
      </c>
      <c r="BB13">
        <f t="shared" si="20"/>
        <v>287.09999999999997</v>
      </c>
      <c r="BC13">
        <f t="shared" si="21"/>
        <v>34451999.999999993</v>
      </c>
      <c r="BD13">
        <f t="shared" si="22"/>
        <v>0.29411764705882348</v>
      </c>
      <c r="BE13" s="27">
        <f t="shared" si="23"/>
        <v>3531147.404399999</v>
      </c>
      <c r="BF13" s="30">
        <f t="shared" si="24"/>
        <v>0.30480000000000002</v>
      </c>
      <c r="BG13" s="27"/>
      <c r="BH13" s="27"/>
      <c r="BI13" s="27"/>
      <c r="BJ13" s="18" t="s">
        <v>134</v>
      </c>
      <c r="BK13" s="23">
        <v>12</v>
      </c>
      <c r="BL13" s="20">
        <v>1</v>
      </c>
      <c r="BM13" s="20">
        <v>0</v>
      </c>
      <c r="BN13" s="20">
        <v>1.5</v>
      </c>
      <c r="BO13" s="20">
        <f t="shared" si="1"/>
        <v>240</v>
      </c>
      <c r="BP13" s="20">
        <f t="shared" si="2"/>
        <v>24</v>
      </c>
      <c r="BQ13" s="20">
        <f t="shared" si="3"/>
        <v>2880</v>
      </c>
      <c r="BR13" s="20">
        <f t="shared" si="4"/>
        <v>288</v>
      </c>
      <c r="BS13" s="20">
        <f t="shared" si="5"/>
        <v>60</v>
      </c>
      <c r="BT13" s="20">
        <f t="shared" si="6"/>
        <v>6</v>
      </c>
      <c r="BU13" s="20">
        <v>0</v>
      </c>
      <c r="BV13" s="20">
        <f t="shared" si="0"/>
        <v>145.15199999999999</v>
      </c>
      <c r="BW13" s="20"/>
      <c r="BX13" s="24">
        <v>12</v>
      </c>
      <c r="BY13" s="25">
        <v>3</v>
      </c>
      <c r="BZ13" s="24">
        <v>1.05</v>
      </c>
      <c r="CA13" s="20">
        <f t="shared" si="25"/>
        <v>105</v>
      </c>
      <c r="CB13" s="20">
        <f t="shared" si="26"/>
        <v>10500</v>
      </c>
      <c r="CC13" s="31"/>
      <c r="CD13" s="20">
        <v>101</v>
      </c>
      <c r="CE13" s="20" t="s">
        <v>155</v>
      </c>
      <c r="CF13" s="20">
        <v>6</v>
      </c>
      <c r="CG13" s="20">
        <v>1</v>
      </c>
      <c r="CH13" s="20">
        <v>1</v>
      </c>
      <c r="CI13" s="20">
        <v>5</v>
      </c>
      <c r="CJ13" s="20">
        <v>5</v>
      </c>
      <c r="CK13" s="20">
        <v>5</v>
      </c>
      <c r="CL13" s="20">
        <v>5</v>
      </c>
      <c r="CM13" s="20"/>
    </row>
    <row r="14" spans="1:98" ht="14.25" x14ac:dyDescent="0.15">
      <c r="A14" s="2">
        <v>202</v>
      </c>
      <c r="B14" s="3" t="s">
        <v>115</v>
      </c>
      <c r="C14" s="4" t="s">
        <v>109</v>
      </c>
      <c r="D14" s="6" t="s">
        <v>110</v>
      </c>
      <c r="E14" s="5">
        <v>3</v>
      </c>
      <c r="F14" s="7" t="s">
        <v>142</v>
      </c>
      <c r="G14" s="5">
        <v>3</v>
      </c>
      <c r="H14" s="7" t="s">
        <v>188</v>
      </c>
      <c r="I14" s="5">
        <v>0</v>
      </c>
      <c r="J14" s="5">
        <v>0</v>
      </c>
      <c r="K14">
        <v>2</v>
      </c>
      <c r="L14">
        <v>1.5</v>
      </c>
      <c r="M14" s="5">
        <v>1.5</v>
      </c>
      <c r="N14" s="5">
        <v>10</v>
      </c>
      <c r="O14" s="5">
        <f t="shared" si="9"/>
        <v>8116</v>
      </c>
      <c r="P14" s="5">
        <f t="shared" si="10"/>
        <v>37584000</v>
      </c>
      <c r="Q14" s="5">
        <f t="shared" si="11"/>
        <v>626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70021</v>
      </c>
      <c r="X14" s="6" t="s">
        <v>180</v>
      </c>
      <c r="Y14" s="5">
        <v>300</v>
      </c>
      <c r="Z14" s="5">
        <v>1</v>
      </c>
      <c r="AA14" s="5">
        <v>499686</v>
      </c>
      <c r="AB14" s="16" t="s">
        <v>111</v>
      </c>
      <c r="AC14" s="7" t="s">
        <v>112</v>
      </c>
      <c r="AD14" s="7" t="s">
        <v>112</v>
      </c>
      <c r="AE14" s="7" t="s">
        <v>112</v>
      </c>
      <c r="AF14" s="6" t="s">
        <v>113</v>
      </c>
      <c r="AG14" s="26" t="str">
        <f>CM$5</f>
        <v>4,33,28,33,6,4,33,28,33,6</v>
      </c>
      <c r="AH14" s="26" t="str">
        <f t="shared" ref="AH14" si="48">CN$5</f>
        <v>0,7,0,7,1,0,7,0,7,1</v>
      </c>
      <c r="AI14" s="26" t="str">
        <f t="shared" ref="AI14" si="49">CO$5</f>
        <v>0,0,0,0,1,0,0,0,0,1</v>
      </c>
      <c r="AJ14" s="26" t="str">
        <f t="shared" ref="AJ14" si="50">CP$5</f>
        <v>0,0,0,0,5,0,0,0,0,5</v>
      </c>
      <c r="AK14" s="26" t="str">
        <f t="shared" ref="AK14" si="51">CQ$5</f>
        <v>100,1,1000,2,5,200,1,1000,2,5</v>
      </c>
      <c r="AL14" s="26" t="str">
        <f t="shared" ref="AL14" si="52">CR$5</f>
        <v>5,5,5,5,5,5,5,5,5,5</v>
      </c>
      <c r="AM14" s="7">
        <v>2001</v>
      </c>
      <c r="AO14">
        <f t="shared" ref="AO14" si="53">AQ14*100+2</f>
        <v>202</v>
      </c>
      <c r="AP14">
        <v>10</v>
      </c>
      <c r="AQ14">
        <f t="shared" si="13"/>
        <v>2</v>
      </c>
      <c r="AR14" s="17">
        <v>6</v>
      </c>
      <c r="AS14" s="17">
        <f>AS5+5</f>
        <v>50</v>
      </c>
      <c r="AT14" s="17">
        <v>3</v>
      </c>
      <c r="AU14">
        <f t="shared" si="14"/>
        <v>20</v>
      </c>
      <c r="AV14">
        <v>150</v>
      </c>
      <c r="AW14">
        <f t="shared" si="15"/>
        <v>8116.89984</v>
      </c>
      <c r="AX14">
        <f t="shared" si="16"/>
        <v>37584000</v>
      </c>
      <c r="AY14">
        <f t="shared" si="17"/>
        <v>626.4</v>
      </c>
      <c r="AZ14">
        <f t="shared" si="18"/>
        <v>1252.8</v>
      </c>
      <c r="BA14">
        <f t="shared" si="19"/>
        <v>10368</v>
      </c>
      <c r="BB14">
        <f t="shared" si="20"/>
        <v>313.2</v>
      </c>
      <c r="BC14">
        <f t="shared" si="21"/>
        <v>37584000</v>
      </c>
      <c r="BD14">
        <f t="shared" si="22"/>
        <v>0.29411764705882354</v>
      </c>
      <c r="BE14" s="27">
        <f t="shared" si="23"/>
        <v>4202357.2416000003</v>
      </c>
      <c r="BF14" s="30">
        <f t="shared" si="24"/>
        <v>0.30480000000000002</v>
      </c>
      <c r="BG14" s="27"/>
      <c r="BH14" s="27"/>
      <c r="BI14" s="27"/>
      <c r="BJ14" s="18" t="s">
        <v>135</v>
      </c>
      <c r="BK14" s="23">
        <v>13</v>
      </c>
      <c r="BL14" s="20">
        <v>1</v>
      </c>
      <c r="BM14" s="20">
        <v>0</v>
      </c>
      <c r="BN14" s="20">
        <v>1.5</v>
      </c>
      <c r="BO14" s="20">
        <f t="shared" si="1"/>
        <v>256</v>
      </c>
      <c r="BP14" s="20">
        <f t="shared" si="2"/>
        <v>25.6</v>
      </c>
      <c r="BQ14" s="20">
        <f t="shared" si="3"/>
        <v>3072</v>
      </c>
      <c r="BR14" s="20">
        <f t="shared" si="4"/>
        <v>307.20000000000005</v>
      </c>
      <c r="BS14" s="20">
        <f t="shared" si="5"/>
        <v>64</v>
      </c>
      <c r="BT14" s="20">
        <f t="shared" si="6"/>
        <v>6.4</v>
      </c>
      <c r="BU14" s="20">
        <v>0</v>
      </c>
      <c r="BV14" s="20">
        <f t="shared" si="0"/>
        <v>165.15072000000001</v>
      </c>
      <c r="BW14" s="20"/>
      <c r="BX14" s="24">
        <v>13</v>
      </c>
      <c r="BY14" s="20">
        <v>3.2</v>
      </c>
      <c r="BZ14" s="24">
        <v>1.1000000000000001</v>
      </c>
      <c r="CA14" s="20">
        <f t="shared" si="25"/>
        <v>105</v>
      </c>
      <c r="CB14" s="20">
        <f t="shared" si="26"/>
        <v>10500</v>
      </c>
      <c r="CC14" s="31" t="s">
        <v>158</v>
      </c>
      <c r="CD14" s="20">
        <v>102</v>
      </c>
      <c r="CE14" s="20" t="s">
        <v>152</v>
      </c>
      <c r="CF14" s="20">
        <v>4</v>
      </c>
      <c r="CG14" s="20">
        <v>0</v>
      </c>
      <c r="CH14" s="20">
        <v>0</v>
      </c>
      <c r="CI14" s="20">
        <v>0</v>
      </c>
      <c r="CJ14" s="20">
        <v>100</v>
      </c>
      <c r="CK14" s="20">
        <v>5</v>
      </c>
      <c r="CM14" s="20"/>
    </row>
    <row r="15" spans="1:98" ht="14.25" x14ac:dyDescent="0.15">
      <c r="A15" s="2">
        <v>203</v>
      </c>
      <c r="B15" s="3" t="s">
        <v>117</v>
      </c>
      <c r="C15" s="4" t="s">
        <v>109</v>
      </c>
      <c r="D15" s="4" t="s">
        <v>110</v>
      </c>
      <c r="E15" s="5">
        <v>1</v>
      </c>
      <c r="F15" s="7" t="s">
        <v>144</v>
      </c>
      <c r="G15" s="5">
        <v>3</v>
      </c>
      <c r="H15" s="7" t="s">
        <v>189</v>
      </c>
      <c r="I15" s="5">
        <v>0</v>
      </c>
      <c r="J15" s="2">
        <v>0</v>
      </c>
      <c r="K15">
        <v>6</v>
      </c>
      <c r="L15">
        <v>1.5</v>
      </c>
      <c r="M15" s="5">
        <v>1.5</v>
      </c>
      <c r="N15" s="5">
        <v>10</v>
      </c>
      <c r="O15" s="5">
        <f t="shared" si="9"/>
        <v>8793</v>
      </c>
      <c r="P15" s="5">
        <f t="shared" si="10"/>
        <v>40716000</v>
      </c>
      <c r="Q15" s="5">
        <f t="shared" si="11"/>
        <v>678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70031</v>
      </c>
      <c r="X15" s="6" t="s">
        <v>181</v>
      </c>
      <c r="Y15" s="5">
        <v>300</v>
      </c>
      <c r="Z15" s="5">
        <v>1</v>
      </c>
      <c r="AA15" s="5">
        <v>680128</v>
      </c>
      <c r="AB15" s="16" t="s">
        <v>111</v>
      </c>
      <c r="AC15" s="7" t="s">
        <v>112</v>
      </c>
      <c r="AD15" s="7" t="s">
        <v>112</v>
      </c>
      <c r="AE15" s="7" t="s">
        <v>112</v>
      </c>
      <c r="AF15" s="6" t="s">
        <v>113</v>
      </c>
      <c r="AG15" s="26" t="str">
        <f>CM$6</f>
        <v>4,28,6,28,6,4,28,6,28,6</v>
      </c>
      <c r="AH15" s="26" t="str">
        <f t="shared" ref="AH15" si="54">CN$6</f>
        <v>0,0,1,0,1,0,0,1,0,1</v>
      </c>
      <c r="AI15" s="26" t="str">
        <f t="shared" ref="AI15" si="55">CO$6</f>
        <v>0,0,0,0,1,0,0,0,0,1</v>
      </c>
      <c r="AJ15" s="26" t="str">
        <f t="shared" ref="AJ15" si="56">CP$6</f>
        <v>0,0,5,0,5,0,0,5,0,5</v>
      </c>
      <c r="AK15" s="26" t="str">
        <f t="shared" ref="AK15" si="57">CQ$6</f>
        <v>100,1000,5,1500,5,200,1000,5,1500,5</v>
      </c>
      <c r="AL15" s="26" t="str">
        <f t="shared" ref="AL15" si="58">CR$6</f>
        <v>5,5,5,5,5,5,5,5,5,5</v>
      </c>
      <c r="AM15" s="7">
        <v>2001</v>
      </c>
      <c r="AO15">
        <f t="shared" ref="AO15" si="59">AQ15*100+3</f>
        <v>203</v>
      </c>
      <c r="AP15">
        <v>11</v>
      </c>
      <c r="AQ15">
        <f t="shared" si="13"/>
        <v>2</v>
      </c>
      <c r="AR15" s="17">
        <v>6</v>
      </c>
      <c r="AS15" s="17">
        <f t="shared" ref="AS15:AS78" si="60">AS6+5</f>
        <v>55</v>
      </c>
      <c r="AT15" s="17">
        <v>3</v>
      </c>
      <c r="AU15">
        <f t="shared" si="14"/>
        <v>20</v>
      </c>
      <c r="AV15">
        <v>150</v>
      </c>
      <c r="AW15">
        <f t="shared" si="15"/>
        <v>8793.3081599999987</v>
      </c>
      <c r="AX15">
        <f t="shared" si="16"/>
        <v>40716000</v>
      </c>
      <c r="AY15">
        <f t="shared" si="17"/>
        <v>678.6</v>
      </c>
      <c r="AZ15">
        <f t="shared" si="18"/>
        <v>1357.2</v>
      </c>
      <c r="BA15">
        <f t="shared" si="19"/>
        <v>11232</v>
      </c>
      <c r="BB15">
        <f t="shared" si="20"/>
        <v>339.3</v>
      </c>
      <c r="BC15">
        <f t="shared" si="21"/>
        <v>40716000</v>
      </c>
      <c r="BD15">
        <f t="shared" si="22"/>
        <v>0.29411764705882348</v>
      </c>
      <c r="BE15" s="27">
        <f t="shared" si="23"/>
        <v>4931933.1516000004</v>
      </c>
      <c r="BF15" s="30">
        <f t="shared" si="24"/>
        <v>0.30480000000000002</v>
      </c>
      <c r="BG15" s="27"/>
      <c r="BH15" s="27"/>
      <c r="BI15" s="27"/>
      <c r="BJ15" s="18" t="s">
        <v>136</v>
      </c>
      <c r="BK15" s="23">
        <v>14</v>
      </c>
      <c r="BL15" s="20">
        <v>1</v>
      </c>
      <c r="BM15" s="20">
        <v>1</v>
      </c>
      <c r="BN15" s="20">
        <v>1.5</v>
      </c>
      <c r="BO15" s="20">
        <f t="shared" si="1"/>
        <v>272</v>
      </c>
      <c r="BP15" s="20">
        <f t="shared" si="2"/>
        <v>27.2</v>
      </c>
      <c r="BQ15" s="20">
        <f t="shared" si="3"/>
        <v>3264</v>
      </c>
      <c r="BR15" s="20">
        <f t="shared" si="4"/>
        <v>326.39999999999998</v>
      </c>
      <c r="BS15" s="20">
        <f t="shared" si="5"/>
        <v>68</v>
      </c>
      <c r="BT15" s="20">
        <f t="shared" si="6"/>
        <v>6.8</v>
      </c>
      <c r="BU15" s="20">
        <v>0</v>
      </c>
      <c r="BV15" s="20">
        <f t="shared" si="0"/>
        <v>186.43968000000001</v>
      </c>
      <c r="BW15" s="20"/>
      <c r="BX15" s="24">
        <v>14</v>
      </c>
      <c r="BY15" s="25">
        <v>3.4</v>
      </c>
      <c r="BZ15" s="24">
        <v>1.1499999999999999</v>
      </c>
      <c r="CA15" s="20">
        <f t="shared" si="25"/>
        <v>105</v>
      </c>
      <c r="CB15" s="20">
        <f t="shared" si="26"/>
        <v>10500</v>
      </c>
      <c r="CC15" s="31"/>
      <c r="CD15" s="20">
        <v>102</v>
      </c>
      <c r="CE15" s="20" t="s">
        <v>159</v>
      </c>
      <c r="CF15" s="20">
        <v>33</v>
      </c>
      <c r="CG15" s="20">
        <v>7</v>
      </c>
      <c r="CH15" s="20">
        <v>0</v>
      </c>
      <c r="CI15" s="20">
        <v>0</v>
      </c>
      <c r="CJ15" s="20">
        <v>1</v>
      </c>
      <c r="CK15" s="20">
        <v>5</v>
      </c>
      <c r="CM15" s="20"/>
    </row>
    <row r="16" spans="1:98" ht="14.25" x14ac:dyDescent="0.15">
      <c r="A16" s="2">
        <v>204</v>
      </c>
      <c r="B16" s="3" t="s">
        <v>119</v>
      </c>
      <c r="C16" s="4" t="s">
        <v>109</v>
      </c>
      <c r="D16" s="6" t="s">
        <v>120</v>
      </c>
      <c r="E16" s="5">
        <v>3</v>
      </c>
      <c r="F16" s="7" t="s">
        <v>145</v>
      </c>
      <c r="G16" s="5">
        <v>3</v>
      </c>
      <c r="H16" s="7" t="s">
        <v>190</v>
      </c>
      <c r="I16" s="5">
        <v>0</v>
      </c>
      <c r="J16" s="5">
        <v>0</v>
      </c>
      <c r="K16">
        <v>2</v>
      </c>
      <c r="L16">
        <v>1.5</v>
      </c>
      <c r="M16" s="5">
        <v>1.5</v>
      </c>
      <c r="N16" s="5">
        <v>10</v>
      </c>
      <c r="O16" s="5">
        <f t="shared" si="9"/>
        <v>9469</v>
      </c>
      <c r="P16" s="5">
        <f t="shared" si="10"/>
        <v>43848000</v>
      </c>
      <c r="Q16" s="5">
        <f t="shared" si="11"/>
        <v>730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70041</v>
      </c>
      <c r="X16" s="6" t="s">
        <v>182</v>
      </c>
      <c r="Y16" s="5">
        <v>300</v>
      </c>
      <c r="Z16" s="5">
        <v>1</v>
      </c>
      <c r="AA16" s="5">
        <v>888330</v>
      </c>
      <c r="AB16" s="16" t="s">
        <v>111</v>
      </c>
      <c r="AC16" s="7" t="s">
        <v>112</v>
      </c>
      <c r="AD16" s="7" t="s">
        <v>112</v>
      </c>
      <c r="AE16" s="7" t="s">
        <v>112</v>
      </c>
      <c r="AF16" s="6" t="s">
        <v>113</v>
      </c>
      <c r="AG16" s="26" t="str">
        <f>CM$7</f>
        <v>4,14,28,14,6,4,14,28,14,6</v>
      </c>
      <c r="AH16" s="26" t="str">
        <f t="shared" ref="AH16" si="61">CN$7</f>
        <v>0,0,0,0,1,0,0,0,0,1</v>
      </c>
      <c r="AI16" s="26" t="str">
        <f t="shared" ref="AI16" si="62">CO$7</f>
        <v>0,0,0,0,1,0,0,0,0,1</v>
      </c>
      <c r="AJ16" s="26" t="str">
        <f t="shared" ref="AJ16" si="63">CP$7</f>
        <v>0,0,0,0,5,0,0,0,0,5</v>
      </c>
      <c r="AK16" s="26" t="str">
        <f t="shared" ref="AK16" si="64">CQ$7</f>
        <v>100,1,1000,2,5,200,1,1000,2,5</v>
      </c>
      <c r="AL16" s="26" t="str">
        <f t="shared" ref="AL16" si="65">CR$7</f>
        <v>5,5,5,5,5,5,5,5,5,5</v>
      </c>
      <c r="AM16" s="7">
        <v>2001</v>
      </c>
      <c r="AO16">
        <f t="shared" ref="AO16" si="66">AQ16*100+4</f>
        <v>204</v>
      </c>
      <c r="AP16">
        <v>12</v>
      </c>
      <c r="AQ16">
        <f t="shared" si="13"/>
        <v>2</v>
      </c>
      <c r="AR16" s="17">
        <v>6</v>
      </c>
      <c r="AS16" s="17">
        <f t="shared" si="60"/>
        <v>60</v>
      </c>
      <c r="AT16" s="17">
        <v>3</v>
      </c>
      <c r="AU16">
        <f t="shared" si="14"/>
        <v>20</v>
      </c>
      <c r="AV16">
        <v>150</v>
      </c>
      <c r="AW16">
        <f t="shared" si="15"/>
        <v>9469.7164799999991</v>
      </c>
      <c r="AX16">
        <f t="shared" si="16"/>
        <v>43848000</v>
      </c>
      <c r="AY16">
        <f t="shared" si="17"/>
        <v>730.8</v>
      </c>
      <c r="AZ16">
        <f t="shared" si="18"/>
        <v>1461.6</v>
      </c>
      <c r="BA16">
        <f t="shared" si="19"/>
        <v>12096</v>
      </c>
      <c r="BB16">
        <f t="shared" si="20"/>
        <v>365.4</v>
      </c>
      <c r="BC16">
        <f t="shared" si="21"/>
        <v>43848000</v>
      </c>
      <c r="BD16">
        <f t="shared" si="22"/>
        <v>0.29411764705882359</v>
      </c>
      <c r="BE16" s="27">
        <f t="shared" si="23"/>
        <v>5719875.1344000017</v>
      </c>
      <c r="BF16" s="30">
        <f t="shared" si="24"/>
        <v>0.30480000000000002</v>
      </c>
      <c r="BG16" s="27"/>
      <c r="BH16" s="27"/>
      <c r="BI16" s="27"/>
      <c r="BJ16" s="18"/>
      <c r="BK16" s="20">
        <v>0</v>
      </c>
      <c r="BL16" s="20">
        <v>1</v>
      </c>
      <c r="BM16" s="20">
        <v>0</v>
      </c>
      <c r="BN16" s="20">
        <v>1.3</v>
      </c>
      <c r="BO16" s="20">
        <f>80*BY16*BN16/1.5</f>
        <v>97.066666666666663</v>
      </c>
      <c r="BP16" s="20">
        <f>BO16*0.1</f>
        <v>9.706666666666667</v>
      </c>
      <c r="BQ16" s="20">
        <f>960*BY16</f>
        <v>1344</v>
      </c>
      <c r="BR16" s="20">
        <f>BQ16*0.1</f>
        <v>134.4</v>
      </c>
      <c r="BS16" s="20">
        <f>BO16/3</f>
        <v>32.355555555555554</v>
      </c>
      <c r="BT16" s="20">
        <f>BS16*0.1</f>
        <v>3.2355555555555555</v>
      </c>
      <c r="BU16" s="20">
        <v>156</v>
      </c>
      <c r="BV16" s="20">
        <f>(BQ16+BR16*BU16)*(BO16+BP16*BU16)/BN16*(0.9)*(1+0.5*0.1)*1/1/(1-(BS16+BT16*BU16)*0.0001)/3000</f>
        <v>9205.10217626548</v>
      </c>
      <c r="BW16" s="20"/>
      <c r="BX16" s="24"/>
      <c r="BY16" s="24">
        <v>1.4</v>
      </c>
      <c r="CA16" s="20">
        <f t="shared" si="25"/>
        <v>105</v>
      </c>
      <c r="CB16" s="20">
        <f t="shared" si="26"/>
        <v>10500</v>
      </c>
      <c r="CC16" s="31"/>
      <c r="CD16" s="20">
        <v>102</v>
      </c>
      <c r="CE16" s="20" t="s">
        <v>197</v>
      </c>
      <c r="CF16" s="20">
        <v>28</v>
      </c>
      <c r="CG16" s="20">
        <v>0</v>
      </c>
      <c r="CH16" s="20">
        <v>0</v>
      </c>
      <c r="CI16" s="20">
        <v>0</v>
      </c>
      <c r="CJ16" s="20">
        <v>1000</v>
      </c>
      <c r="CK16" s="20">
        <v>5</v>
      </c>
      <c r="CM16" s="20"/>
    </row>
    <row r="17" spans="1:91" x14ac:dyDescent="0.15">
      <c r="A17" s="2">
        <v>205</v>
      </c>
      <c r="B17" s="3" t="s">
        <v>122</v>
      </c>
      <c r="C17" s="4" t="s">
        <v>109</v>
      </c>
      <c r="D17" s="4" t="s">
        <v>110</v>
      </c>
      <c r="E17" s="5">
        <v>2</v>
      </c>
      <c r="F17" s="7" t="s">
        <v>146</v>
      </c>
      <c r="G17" s="5">
        <v>3</v>
      </c>
      <c r="H17" s="7" t="s">
        <v>191</v>
      </c>
      <c r="I17" s="5">
        <v>0</v>
      </c>
      <c r="J17" s="7" t="s">
        <v>148</v>
      </c>
      <c r="K17">
        <v>6</v>
      </c>
      <c r="L17">
        <v>1.5</v>
      </c>
      <c r="M17" s="5">
        <v>1.5</v>
      </c>
      <c r="N17" s="5">
        <v>10</v>
      </c>
      <c r="O17" s="5">
        <f t="shared" si="9"/>
        <v>10146</v>
      </c>
      <c r="P17" s="5">
        <f t="shared" si="10"/>
        <v>46980000</v>
      </c>
      <c r="Q17" s="5">
        <f t="shared" si="11"/>
        <v>783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70051</v>
      </c>
      <c r="X17" s="6" t="s">
        <v>183</v>
      </c>
      <c r="Y17" s="5">
        <v>300</v>
      </c>
      <c r="Z17" s="5">
        <v>1</v>
      </c>
      <c r="AA17" s="5">
        <v>1124293</v>
      </c>
      <c r="AB17" s="16" t="s">
        <v>111</v>
      </c>
      <c r="AC17" s="7" t="s">
        <v>112</v>
      </c>
      <c r="AD17" s="7" t="s">
        <v>112</v>
      </c>
      <c r="AE17" s="7" t="s">
        <v>112</v>
      </c>
      <c r="AF17" s="6" t="s">
        <v>113</v>
      </c>
      <c r="AG17" s="26" t="str">
        <f>CM$8</f>
        <v>4,19,28,19,6,4,19,28,19,6</v>
      </c>
      <c r="AH17" s="26" t="str">
        <f t="shared" ref="AH17" si="67">CN$8</f>
        <v>0,0,0,0,1,0,0,0,0,1</v>
      </c>
      <c r="AI17" s="26" t="str">
        <f t="shared" ref="AI17" si="68">CO$8</f>
        <v>0,0,0,0,1,0,0,0,0,1</v>
      </c>
      <c r="AJ17" s="26" t="str">
        <f t="shared" ref="AJ17" si="69">CP$8</f>
        <v>0,0,0,0,5,0,0,0,0,5</v>
      </c>
      <c r="AK17" s="26" t="str">
        <f t="shared" ref="AK17" si="70">CQ$8</f>
        <v>200,100,1000,200,5,200,100,1000,200,5</v>
      </c>
      <c r="AL17" s="26" t="str">
        <f t="shared" ref="AL17" si="71">CR$8</f>
        <v>5,5,5,5,5,5,5,5,5,5</v>
      </c>
      <c r="AM17" s="7">
        <v>2001</v>
      </c>
      <c r="AO17">
        <f t="shared" ref="AO17" si="72">AQ17*100+5</f>
        <v>205</v>
      </c>
      <c r="AP17">
        <v>13</v>
      </c>
      <c r="AQ17">
        <f t="shared" si="13"/>
        <v>2</v>
      </c>
      <c r="AR17" s="17">
        <v>6</v>
      </c>
      <c r="AS17" s="17">
        <f t="shared" si="60"/>
        <v>65</v>
      </c>
      <c r="AT17" s="17">
        <v>3</v>
      </c>
      <c r="AU17">
        <f t="shared" si="14"/>
        <v>20</v>
      </c>
      <c r="AV17">
        <v>150</v>
      </c>
      <c r="AW17">
        <f t="shared" si="15"/>
        <v>10146.1248</v>
      </c>
      <c r="AX17">
        <f t="shared" si="16"/>
        <v>46980000</v>
      </c>
      <c r="AY17">
        <f t="shared" si="17"/>
        <v>783</v>
      </c>
      <c r="AZ17">
        <f t="shared" si="18"/>
        <v>1566</v>
      </c>
      <c r="BA17">
        <f t="shared" si="19"/>
        <v>12960</v>
      </c>
      <c r="BB17">
        <f t="shared" si="20"/>
        <v>391.5</v>
      </c>
      <c r="BC17">
        <f t="shared" si="21"/>
        <v>46980000</v>
      </c>
      <c r="BD17">
        <f t="shared" si="22"/>
        <v>0.29411764705882354</v>
      </c>
      <c r="BE17" s="27">
        <f t="shared" si="23"/>
        <v>6566183.1900000013</v>
      </c>
      <c r="BF17" s="30">
        <f t="shared" si="24"/>
        <v>0.30480000000000002</v>
      </c>
      <c r="BG17" s="27"/>
      <c r="BH17" s="27"/>
      <c r="BI17" s="27"/>
      <c r="CA17" s="20">
        <f t="shared" si="25"/>
        <v>105</v>
      </c>
      <c r="CB17" s="20">
        <f t="shared" si="26"/>
        <v>10500</v>
      </c>
      <c r="CC17" s="31"/>
      <c r="CD17" s="20">
        <v>102</v>
      </c>
      <c r="CE17" s="20" t="s">
        <v>160</v>
      </c>
      <c r="CF17" s="20">
        <v>33</v>
      </c>
      <c r="CG17" s="20">
        <v>7</v>
      </c>
      <c r="CH17" s="20">
        <v>0</v>
      </c>
      <c r="CI17" s="20">
        <v>0</v>
      </c>
      <c r="CJ17" s="20">
        <v>2</v>
      </c>
      <c r="CK17" s="20">
        <v>5</v>
      </c>
      <c r="CM17" s="20"/>
    </row>
    <row r="18" spans="1:91" x14ac:dyDescent="0.15">
      <c r="A18" s="2">
        <v>206</v>
      </c>
      <c r="B18" s="3" t="s">
        <v>124</v>
      </c>
      <c r="C18" s="4" t="s">
        <v>109</v>
      </c>
      <c r="D18" s="6" t="s">
        <v>120</v>
      </c>
      <c r="E18" s="5">
        <v>1</v>
      </c>
      <c r="F18" s="7" t="s">
        <v>147</v>
      </c>
      <c r="G18" s="5">
        <v>3</v>
      </c>
      <c r="H18" s="7" t="s">
        <v>192</v>
      </c>
      <c r="I18" s="5">
        <v>0</v>
      </c>
      <c r="J18" s="7" t="s">
        <v>149</v>
      </c>
      <c r="K18">
        <v>6</v>
      </c>
      <c r="L18">
        <v>1.5</v>
      </c>
      <c r="M18" s="5">
        <v>1.5</v>
      </c>
      <c r="N18" s="5">
        <v>10</v>
      </c>
      <c r="O18" s="5">
        <f t="shared" si="9"/>
        <v>10822</v>
      </c>
      <c r="P18" s="5">
        <f t="shared" si="10"/>
        <v>50112000</v>
      </c>
      <c r="Q18" s="5">
        <f t="shared" si="11"/>
        <v>835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70061</v>
      </c>
      <c r="X18" s="6" t="s">
        <v>184</v>
      </c>
      <c r="Y18" s="5">
        <v>300</v>
      </c>
      <c r="Z18" s="5">
        <v>1</v>
      </c>
      <c r="AA18" s="5">
        <v>1388016</v>
      </c>
      <c r="AB18" s="16" t="s">
        <v>111</v>
      </c>
      <c r="AC18" s="7" t="s">
        <v>112</v>
      </c>
      <c r="AD18" s="7" t="s">
        <v>112</v>
      </c>
      <c r="AE18" s="7" t="s">
        <v>112</v>
      </c>
      <c r="AF18" s="6" t="s">
        <v>113</v>
      </c>
      <c r="AG18" s="26" t="str">
        <f>CM$9</f>
        <v>4,33,28,33,6,4,33,28,33,6</v>
      </c>
      <c r="AH18" s="26" t="str">
        <f t="shared" ref="AH18" si="73">CN$9</f>
        <v>0,6,0,6,1,0,6,0,6,1</v>
      </c>
      <c r="AI18" s="26" t="str">
        <f t="shared" ref="AI18" si="74">CO$9</f>
        <v>0,0,0,0,1,0,0,0,0,1</v>
      </c>
      <c r="AJ18" s="26" t="str">
        <f t="shared" ref="AJ18" si="75">CP$9</f>
        <v>0,0,0,0,5,0,0,0,0,5</v>
      </c>
      <c r="AK18" s="26" t="str">
        <f t="shared" ref="AK18" si="76">CQ$9</f>
        <v>200,1,1000,2,5,200,1,1000,2,5</v>
      </c>
      <c r="AL18" s="26" t="str">
        <f t="shared" ref="AL18" si="77">CR$9</f>
        <v>5,5,5,5,5,5,5,5,5,5</v>
      </c>
      <c r="AM18" s="7">
        <v>2001</v>
      </c>
      <c r="AO18">
        <f t="shared" ref="AO18" si="78">AQ18*100+6</f>
        <v>206</v>
      </c>
      <c r="AP18">
        <v>14</v>
      </c>
      <c r="AQ18">
        <f t="shared" si="13"/>
        <v>2</v>
      </c>
      <c r="AR18" s="17">
        <v>6</v>
      </c>
      <c r="AS18" s="17">
        <f t="shared" si="60"/>
        <v>70</v>
      </c>
      <c r="AT18" s="17">
        <v>3</v>
      </c>
      <c r="AU18">
        <f t="shared" si="14"/>
        <v>20</v>
      </c>
      <c r="AV18">
        <v>150</v>
      </c>
      <c r="AW18">
        <f t="shared" si="15"/>
        <v>10822.53312</v>
      </c>
      <c r="AX18">
        <f t="shared" si="16"/>
        <v>50111999.999999993</v>
      </c>
      <c r="AY18">
        <f t="shared" si="17"/>
        <v>835.19999999999993</v>
      </c>
      <c r="AZ18">
        <f t="shared" si="18"/>
        <v>1670.3999999999999</v>
      </c>
      <c r="BA18">
        <f t="shared" si="19"/>
        <v>13824</v>
      </c>
      <c r="BB18">
        <f t="shared" si="20"/>
        <v>417.59999999999997</v>
      </c>
      <c r="BC18">
        <f t="shared" si="21"/>
        <v>50111999.999999993</v>
      </c>
      <c r="BD18">
        <f t="shared" si="22"/>
        <v>0.29411764705882354</v>
      </c>
      <c r="BE18" s="27">
        <f t="shared" si="23"/>
        <v>7470857.3183999984</v>
      </c>
      <c r="BF18" s="30">
        <f t="shared" si="24"/>
        <v>0.30480000000000002</v>
      </c>
      <c r="BG18" s="27"/>
      <c r="BH18" s="27"/>
      <c r="BI18" s="27"/>
      <c r="CA18" s="20">
        <f t="shared" si="25"/>
        <v>105</v>
      </c>
      <c r="CB18" s="20">
        <f t="shared" si="26"/>
        <v>10500</v>
      </c>
      <c r="CC18" s="31"/>
      <c r="CD18" s="20">
        <v>102</v>
      </c>
      <c r="CE18" s="20" t="s">
        <v>155</v>
      </c>
      <c r="CF18" s="20">
        <v>6</v>
      </c>
      <c r="CG18" s="20">
        <v>1</v>
      </c>
      <c r="CH18" s="20">
        <v>1</v>
      </c>
      <c r="CI18" s="20">
        <v>5</v>
      </c>
      <c r="CJ18" s="20">
        <v>5</v>
      </c>
      <c r="CK18" s="20">
        <v>5</v>
      </c>
      <c r="CM18" s="20"/>
    </row>
    <row r="19" spans="1:91" x14ac:dyDescent="0.15">
      <c r="A19" s="2">
        <v>207</v>
      </c>
      <c r="B19" s="3" t="s">
        <v>126</v>
      </c>
      <c r="C19" s="4" t="s">
        <v>109</v>
      </c>
      <c r="D19" s="4" t="s">
        <v>110</v>
      </c>
      <c r="E19" s="5">
        <v>2</v>
      </c>
      <c r="F19" s="7" t="s">
        <v>143</v>
      </c>
      <c r="G19" s="5">
        <v>3</v>
      </c>
      <c r="H19" s="7" t="s">
        <v>193</v>
      </c>
      <c r="I19" s="5">
        <v>0</v>
      </c>
      <c r="J19" s="5">
        <v>0</v>
      </c>
      <c r="K19">
        <v>2</v>
      </c>
      <c r="L19">
        <v>1.5</v>
      </c>
      <c r="M19" s="5">
        <v>1.5</v>
      </c>
      <c r="N19" s="5">
        <v>10</v>
      </c>
      <c r="O19" s="5">
        <f t="shared" si="9"/>
        <v>11498</v>
      </c>
      <c r="P19" s="5">
        <f t="shared" si="10"/>
        <v>53244000</v>
      </c>
      <c r="Q19" s="5">
        <f t="shared" si="11"/>
        <v>887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70071</v>
      </c>
      <c r="X19" s="6" t="s">
        <v>185</v>
      </c>
      <c r="Y19" s="5">
        <v>300</v>
      </c>
      <c r="Z19" s="5">
        <v>1</v>
      </c>
      <c r="AA19" s="5">
        <v>1679499</v>
      </c>
      <c r="AB19" s="16" t="s">
        <v>111</v>
      </c>
      <c r="AC19" s="7" t="s">
        <v>112</v>
      </c>
      <c r="AD19" s="7" t="s">
        <v>112</v>
      </c>
      <c r="AE19" s="7" t="s">
        <v>112</v>
      </c>
      <c r="AF19" s="6" t="s">
        <v>113</v>
      </c>
      <c r="AG19" s="26" t="str">
        <f>CM$10</f>
        <v>4,14,28,14,6,4,14,28,14,6</v>
      </c>
      <c r="AH19" s="26" t="str">
        <f t="shared" ref="AH19" si="79">CN$10</f>
        <v>0,0,0,0,1,0,0,0,0,1</v>
      </c>
      <c r="AI19" s="26" t="str">
        <f t="shared" ref="AI19" si="80">CO$10</f>
        <v>0,0,0,0,1,0,0,0,0,1</v>
      </c>
      <c r="AJ19" s="26" t="str">
        <f t="shared" ref="AJ19" si="81">CP$10</f>
        <v>0,0,0,0,5,0,0,0,0,5</v>
      </c>
      <c r="AK19" s="26" t="str">
        <f t="shared" ref="AK19" si="82">CQ$10</f>
        <v>200,1,1000,2,5,200,1,1000,2,5</v>
      </c>
      <c r="AL19" s="26" t="str">
        <f t="shared" ref="AL19" si="83">CR$10</f>
        <v>5,5,5,5,5,5,5,5,5,5</v>
      </c>
      <c r="AM19" s="7">
        <v>2001</v>
      </c>
      <c r="AO19">
        <f t="shared" ref="AO19" si="84">AQ19*100+7</f>
        <v>207</v>
      </c>
      <c r="AP19">
        <v>15</v>
      </c>
      <c r="AQ19">
        <f t="shared" si="13"/>
        <v>2</v>
      </c>
      <c r="AR19" s="17">
        <v>6</v>
      </c>
      <c r="AS19" s="17">
        <f t="shared" si="60"/>
        <v>75</v>
      </c>
      <c r="AT19" s="17">
        <v>3</v>
      </c>
      <c r="AU19">
        <f t="shared" si="14"/>
        <v>20</v>
      </c>
      <c r="AV19">
        <v>150</v>
      </c>
      <c r="AW19">
        <f t="shared" si="15"/>
        <v>11498.941439999999</v>
      </c>
      <c r="AX19">
        <f t="shared" si="16"/>
        <v>53244000</v>
      </c>
      <c r="AY19">
        <f t="shared" si="17"/>
        <v>887.4</v>
      </c>
      <c r="AZ19">
        <f t="shared" si="18"/>
        <v>1774.8</v>
      </c>
      <c r="BA19">
        <f t="shared" si="19"/>
        <v>14688</v>
      </c>
      <c r="BB19">
        <f t="shared" si="20"/>
        <v>443.7</v>
      </c>
      <c r="BC19">
        <f t="shared" si="21"/>
        <v>53244000</v>
      </c>
      <c r="BD19">
        <f t="shared" si="22"/>
        <v>0.29411764705882354</v>
      </c>
      <c r="BE19" s="27">
        <f t="shared" si="23"/>
        <v>8433897.5196000002</v>
      </c>
      <c r="BF19" s="30">
        <f t="shared" si="24"/>
        <v>0.30480000000000002</v>
      </c>
      <c r="BG19" s="27"/>
      <c r="BH19" s="27"/>
      <c r="BI19" s="27"/>
      <c r="CA19" s="20">
        <f t="shared" si="25"/>
        <v>105</v>
      </c>
      <c r="CB19" s="20">
        <f t="shared" si="26"/>
        <v>10500</v>
      </c>
      <c r="CC19" s="31"/>
      <c r="CD19" s="20">
        <v>102</v>
      </c>
      <c r="CE19" s="20" t="s">
        <v>153</v>
      </c>
      <c r="CF19" s="20">
        <v>4</v>
      </c>
      <c r="CG19" s="20">
        <v>0</v>
      </c>
      <c r="CH19" s="20">
        <v>0</v>
      </c>
      <c r="CI19" s="20">
        <v>0</v>
      </c>
      <c r="CJ19" s="20">
        <v>200</v>
      </c>
      <c r="CK19" s="20">
        <v>5</v>
      </c>
      <c r="CM19" s="20"/>
    </row>
    <row r="20" spans="1:91" x14ac:dyDescent="0.15">
      <c r="A20" s="2">
        <v>208</v>
      </c>
      <c r="B20" s="3" t="s">
        <v>128</v>
      </c>
      <c r="C20" s="4" t="s">
        <v>109</v>
      </c>
      <c r="D20" s="4" t="s">
        <v>110</v>
      </c>
      <c r="E20" s="5">
        <v>5</v>
      </c>
      <c r="F20" s="7" t="s">
        <v>129</v>
      </c>
      <c r="G20" s="5">
        <v>2</v>
      </c>
      <c r="H20" s="7" t="s">
        <v>130</v>
      </c>
      <c r="I20" s="5">
        <v>0</v>
      </c>
      <c r="J20" s="5">
        <v>0</v>
      </c>
      <c r="K20">
        <v>2</v>
      </c>
      <c r="L20">
        <v>1.5</v>
      </c>
      <c r="M20" s="5">
        <v>1.5</v>
      </c>
      <c r="N20" s="5">
        <v>10</v>
      </c>
      <c r="O20" s="5">
        <f t="shared" si="9"/>
        <v>12175</v>
      </c>
      <c r="P20" s="5">
        <f t="shared" si="10"/>
        <v>56376000</v>
      </c>
      <c r="Q20" s="5">
        <f t="shared" si="11"/>
        <v>939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70081</v>
      </c>
      <c r="X20" s="6" t="s">
        <v>186</v>
      </c>
      <c r="Y20" s="5">
        <v>300</v>
      </c>
      <c r="Z20" s="5">
        <v>1</v>
      </c>
      <c r="AA20" s="5">
        <v>1998743</v>
      </c>
      <c r="AB20" s="16" t="s">
        <v>111</v>
      </c>
      <c r="AC20" s="7" t="s">
        <v>112</v>
      </c>
      <c r="AD20" s="7" t="s">
        <v>112</v>
      </c>
      <c r="AE20" s="7" t="s">
        <v>112</v>
      </c>
      <c r="AF20" s="6" t="s">
        <v>113</v>
      </c>
      <c r="AG20" s="26" t="str">
        <f>CM$11</f>
        <v>4,28,6,28,6,4,28,6,28,6</v>
      </c>
      <c r="AH20" s="26" t="str">
        <f t="shared" ref="AH20" si="85">CN$11</f>
        <v>0,0,1,0,1,0,0,1,0,1</v>
      </c>
      <c r="AI20" s="26" t="str">
        <f t="shared" ref="AI20" si="86">CO$11</f>
        <v>0,0,1,0,1,0,0,1,0,1</v>
      </c>
      <c r="AJ20" s="26" t="str">
        <f t="shared" ref="AJ20" si="87">CP$11</f>
        <v>0,0,5,0,5,0,0,5,0,5</v>
      </c>
      <c r="AK20" s="26" t="str">
        <f t="shared" ref="AK20" si="88">CQ$11</f>
        <v>100,1000,5,1500,5,200,1000,5,1500,5</v>
      </c>
      <c r="AL20" s="26" t="str">
        <f t="shared" ref="AL20" si="89">CR$11</f>
        <v>5,5,5,5,5,5,5,5,5,5</v>
      </c>
      <c r="AM20" s="7">
        <v>2001</v>
      </c>
      <c r="AO20">
        <f t="shared" ref="AO20" si="90">AQ20*100+8</f>
        <v>208</v>
      </c>
      <c r="AP20">
        <v>16</v>
      </c>
      <c r="AQ20">
        <f t="shared" si="13"/>
        <v>2</v>
      </c>
      <c r="AR20" s="17">
        <v>6</v>
      </c>
      <c r="AS20" s="17">
        <f t="shared" si="60"/>
        <v>80</v>
      </c>
      <c r="AT20" s="17">
        <v>3</v>
      </c>
      <c r="AU20">
        <f t="shared" si="14"/>
        <v>20</v>
      </c>
      <c r="AV20">
        <v>150</v>
      </c>
      <c r="AW20">
        <f t="shared" si="15"/>
        <v>12175.349759999997</v>
      </c>
      <c r="AX20">
        <f t="shared" si="16"/>
        <v>56376000</v>
      </c>
      <c r="AY20">
        <f t="shared" si="17"/>
        <v>939.6</v>
      </c>
      <c r="AZ20">
        <f t="shared" si="18"/>
        <v>1879.2</v>
      </c>
      <c r="BA20">
        <f t="shared" si="19"/>
        <v>15552</v>
      </c>
      <c r="BB20">
        <f t="shared" si="20"/>
        <v>469.8</v>
      </c>
      <c r="BC20">
        <f t="shared" si="21"/>
        <v>56376000</v>
      </c>
      <c r="BD20">
        <f t="shared" si="22"/>
        <v>0.29411764705882348</v>
      </c>
      <c r="BE20" s="27">
        <f t="shared" si="23"/>
        <v>9455303.7936000004</v>
      </c>
      <c r="BF20" s="30">
        <f t="shared" si="24"/>
        <v>0.30480000000000002</v>
      </c>
      <c r="BG20" s="27"/>
      <c r="BH20" s="27"/>
      <c r="BI20" s="27"/>
      <c r="CA20" s="20">
        <f t="shared" si="25"/>
        <v>105</v>
      </c>
      <c r="CB20" s="20">
        <f t="shared" si="26"/>
        <v>10500</v>
      </c>
      <c r="CC20" s="31"/>
      <c r="CD20" s="20">
        <v>102</v>
      </c>
      <c r="CE20" s="20" t="s">
        <v>159</v>
      </c>
      <c r="CF20" s="20">
        <v>33</v>
      </c>
      <c r="CG20" s="20">
        <v>7</v>
      </c>
      <c r="CH20" s="20">
        <v>0</v>
      </c>
      <c r="CI20" s="20">
        <v>0</v>
      </c>
      <c r="CJ20" s="20">
        <v>1</v>
      </c>
      <c r="CK20" s="20">
        <v>5</v>
      </c>
      <c r="CM20" s="20"/>
    </row>
    <row r="21" spans="1:91" x14ac:dyDescent="0.15">
      <c r="A21" s="2">
        <v>209</v>
      </c>
      <c r="B21" s="3" t="s">
        <v>132</v>
      </c>
      <c r="C21" s="4" t="s">
        <v>109</v>
      </c>
      <c r="D21" s="4" t="s">
        <v>110</v>
      </c>
      <c r="E21" s="5">
        <v>5</v>
      </c>
      <c r="F21" s="7" t="s">
        <v>140</v>
      </c>
      <c r="G21" s="5">
        <v>3</v>
      </c>
      <c r="H21" s="7" t="s">
        <v>140</v>
      </c>
      <c r="I21" s="5">
        <v>0</v>
      </c>
      <c r="J21" s="7">
        <v>0</v>
      </c>
      <c r="K21">
        <v>6</v>
      </c>
      <c r="L21">
        <v>1.5</v>
      </c>
      <c r="M21" s="5">
        <v>1.5</v>
      </c>
      <c r="N21" s="5">
        <v>10</v>
      </c>
      <c r="O21" s="5">
        <f t="shared" si="9"/>
        <v>12851</v>
      </c>
      <c r="P21" s="5">
        <f t="shared" si="10"/>
        <v>61560000</v>
      </c>
      <c r="Q21" s="5">
        <f t="shared" si="11"/>
        <v>1026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70091</v>
      </c>
      <c r="X21" s="6" t="s">
        <v>187</v>
      </c>
      <c r="Y21" s="5">
        <v>300</v>
      </c>
      <c r="Z21" s="5">
        <v>1</v>
      </c>
      <c r="AA21" s="5">
        <v>2345747</v>
      </c>
      <c r="AB21" s="16" t="s">
        <v>111</v>
      </c>
      <c r="AC21" s="7" t="s">
        <v>112</v>
      </c>
      <c r="AD21" s="7" t="s">
        <v>112</v>
      </c>
      <c r="AE21" s="7" t="s">
        <v>112</v>
      </c>
      <c r="AF21" s="6" t="s">
        <v>113</v>
      </c>
      <c r="AG21" s="26" t="str">
        <f>CM$12</f>
        <v>4,33,28,33,6,4,33,28,33,6</v>
      </c>
      <c r="AH21" s="26" t="str">
        <f t="shared" ref="AH21" si="91">CN$12</f>
        <v>0,5,0,5,1,0,5,0,5,1</v>
      </c>
      <c r="AI21" s="26" t="str">
        <f t="shared" ref="AI21" si="92">CO$12</f>
        <v>0,0,0,0,1,0,0,0,0,1</v>
      </c>
      <c r="AJ21" s="26" t="str">
        <f t="shared" ref="AJ21" si="93">CP$12</f>
        <v>0,0,0,0,5,0,0,0,0,5</v>
      </c>
      <c r="AK21" s="26" t="str">
        <f t="shared" ref="AK21" si="94">CQ$12</f>
        <v>100,1,1000,2,5,200,1,1000,2,5</v>
      </c>
      <c r="AL21" s="26" t="str">
        <f t="shared" ref="AL21" si="95">CR$12</f>
        <v>5,5,5,5,5,5,5,5,5,5</v>
      </c>
      <c r="AM21" s="7">
        <v>2001</v>
      </c>
      <c r="AO21">
        <f t="shared" ref="AO21" si="96">AQ21*100+9</f>
        <v>209</v>
      </c>
      <c r="AP21">
        <v>17</v>
      </c>
      <c r="AQ21">
        <f t="shared" si="13"/>
        <v>2</v>
      </c>
      <c r="AR21" s="17">
        <v>6</v>
      </c>
      <c r="AS21" s="17">
        <f t="shared" si="60"/>
        <v>85</v>
      </c>
      <c r="AT21" s="17">
        <v>4</v>
      </c>
      <c r="AU21">
        <f t="shared" si="14"/>
        <v>20</v>
      </c>
      <c r="AV21">
        <v>150</v>
      </c>
      <c r="AW21">
        <f t="shared" si="15"/>
        <v>12851.75808</v>
      </c>
      <c r="AX21">
        <f t="shared" si="16"/>
        <v>61560000</v>
      </c>
      <c r="AY21">
        <f t="shared" si="17"/>
        <v>1026</v>
      </c>
      <c r="AZ21">
        <f t="shared" si="18"/>
        <v>2052</v>
      </c>
      <c r="BA21">
        <f t="shared" si="19"/>
        <v>16416</v>
      </c>
      <c r="BB21">
        <f t="shared" si="20"/>
        <v>513</v>
      </c>
      <c r="BC21">
        <f t="shared" si="21"/>
        <v>61560000</v>
      </c>
      <c r="BD21">
        <f t="shared" si="22"/>
        <v>0.29411764705882354</v>
      </c>
      <c r="BE21" s="27">
        <f t="shared" si="23"/>
        <v>11274159.960000001</v>
      </c>
      <c r="BF21" s="30">
        <f t="shared" si="24"/>
        <v>0.30480000000000002</v>
      </c>
      <c r="BG21" s="27"/>
      <c r="BH21" s="27"/>
      <c r="BI21" s="27"/>
      <c r="CA21" s="20">
        <f t="shared" si="25"/>
        <v>105</v>
      </c>
      <c r="CB21" s="20">
        <f t="shared" si="26"/>
        <v>10500</v>
      </c>
      <c r="CC21" s="31"/>
      <c r="CD21" s="20">
        <v>102</v>
      </c>
      <c r="CE21" s="20" t="s">
        <v>197</v>
      </c>
      <c r="CF21" s="20">
        <v>28</v>
      </c>
      <c r="CG21" s="20">
        <v>0</v>
      </c>
      <c r="CH21" s="20">
        <v>0</v>
      </c>
      <c r="CI21" s="20">
        <v>0</v>
      </c>
      <c r="CJ21" s="20">
        <v>1000</v>
      </c>
      <c r="CK21" s="20">
        <v>5</v>
      </c>
      <c r="CM21" s="20"/>
    </row>
    <row r="22" spans="1:91" x14ac:dyDescent="0.15">
      <c r="A22">
        <v>301</v>
      </c>
      <c r="B22" s="3" t="s">
        <v>108</v>
      </c>
      <c r="C22" s="4" t="s">
        <v>109</v>
      </c>
      <c r="D22" s="4" t="s">
        <v>110</v>
      </c>
      <c r="E22" s="5">
        <v>3</v>
      </c>
      <c r="F22" s="7" t="s">
        <v>141</v>
      </c>
      <c r="G22" s="5">
        <v>2.5</v>
      </c>
      <c r="H22" s="7" t="s">
        <v>194</v>
      </c>
      <c r="I22" s="5">
        <v>0</v>
      </c>
      <c r="J22" s="5">
        <v>0</v>
      </c>
      <c r="K22">
        <v>2</v>
      </c>
      <c r="L22">
        <v>1.5</v>
      </c>
      <c r="M22" s="5">
        <v>1.5</v>
      </c>
      <c r="N22" s="5">
        <v>10</v>
      </c>
      <c r="O22" s="5">
        <f t="shared" si="9"/>
        <v>8131</v>
      </c>
      <c r="P22" s="5">
        <f t="shared" si="10"/>
        <v>38880000</v>
      </c>
      <c r="Q22" s="5">
        <f t="shared" si="11"/>
        <v>648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70011</v>
      </c>
      <c r="X22" s="6" t="s">
        <v>179</v>
      </c>
      <c r="Y22" s="5">
        <v>300</v>
      </c>
      <c r="Z22" s="5">
        <v>1</v>
      </c>
      <c r="AA22" s="5">
        <v>2720511</v>
      </c>
      <c r="AB22" s="16" t="s">
        <v>111</v>
      </c>
      <c r="AC22" s="7" t="s">
        <v>112</v>
      </c>
      <c r="AD22" s="7" t="s">
        <v>112</v>
      </c>
      <c r="AE22" s="7" t="s">
        <v>112</v>
      </c>
      <c r="AF22" s="6" t="s">
        <v>113</v>
      </c>
      <c r="AG22" s="26" t="str">
        <f t="shared" ref="AG22" si="97">CM$4</f>
        <v>4,33,28,33,6,4,33,28,33,6</v>
      </c>
      <c r="AH22" s="26" t="str">
        <f t="shared" ref="AH22" si="98">CN$4</f>
        <v>0,8,0,8,1,0,8,0,8,1</v>
      </c>
      <c r="AI22" s="26" t="str">
        <f t="shared" ref="AI22" si="99">CO$4</f>
        <v>0,0,0,0,1,0,0,0,0,1</v>
      </c>
      <c r="AJ22" s="26" t="str">
        <f t="shared" ref="AJ22" si="100">CP$4</f>
        <v>0,0,0,0,5,0,0,0,0,5</v>
      </c>
      <c r="AK22" s="26" t="str">
        <f t="shared" ref="AK22" si="101">CQ$4</f>
        <v>100,1,1000,2,5,200,1,1000,2,5</v>
      </c>
      <c r="AL22" s="26" t="str">
        <f t="shared" ref="AL22" si="102">CR$4</f>
        <v>5,5,5,5,5,5,5,5,5,5</v>
      </c>
      <c r="AM22" s="7">
        <v>2001</v>
      </c>
      <c r="AO22">
        <f t="shared" ref="AO22" si="103">AQ22*100+1</f>
        <v>301</v>
      </c>
      <c r="AP22">
        <v>18</v>
      </c>
      <c r="AQ22">
        <f t="shared" si="13"/>
        <v>3</v>
      </c>
      <c r="AR22" s="17">
        <v>6</v>
      </c>
      <c r="AS22" s="17">
        <f t="shared" si="60"/>
        <v>50</v>
      </c>
      <c r="AT22" s="17">
        <v>4</v>
      </c>
      <c r="AU22">
        <f t="shared" si="14"/>
        <v>20</v>
      </c>
      <c r="AV22">
        <v>150</v>
      </c>
      <c r="AW22">
        <f t="shared" si="15"/>
        <v>8131.8297599999996</v>
      </c>
      <c r="AX22">
        <f t="shared" ref="AX22:AX85" si="104">BC22</f>
        <v>38880000</v>
      </c>
      <c r="AY22">
        <f t="shared" si="17"/>
        <v>648</v>
      </c>
      <c r="AZ22">
        <f t="shared" si="18"/>
        <v>1296</v>
      </c>
      <c r="BA22">
        <f t="shared" si="19"/>
        <v>10368</v>
      </c>
      <c r="BB22">
        <f t="shared" si="20"/>
        <v>324</v>
      </c>
      <c r="BC22">
        <f t="shared" ref="BC22:BC85" si="105">90/1.5*AZ22*(1/(1+AZ22/(5*BB22)))*6*AV22</f>
        <v>38880000</v>
      </c>
      <c r="BD22">
        <f t="shared" si="22"/>
        <v>0.29411764705882354</v>
      </c>
      <c r="BE22" s="27">
        <f t="shared" ref="BE22:BE85" si="106">BC22/10000/(1-BD22)/1*AZ22/L22*(1+0.1*0.5)*0.9*1</f>
        <v>4497171.8400000017</v>
      </c>
      <c r="BF22" s="30">
        <f t="shared" si="24"/>
        <v>0.30719999999999997</v>
      </c>
      <c r="BG22" s="27"/>
      <c r="BH22" s="27"/>
      <c r="BI22" s="27"/>
      <c r="CA22" s="20">
        <f t="shared" si="25"/>
        <v>110</v>
      </c>
      <c r="CB22" s="20">
        <f t="shared" si="26"/>
        <v>11000</v>
      </c>
      <c r="CC22" s="31"/>
      <c r="CD22" s="20">
        <v>102</v>
      </c>
      <c r="CE22" s="20" t="s">
        <v>160</v>
      </c>
      <c r="CF22" s="20">
        <v>33</v>
      </c>
      <c r="CG22" s="20">
        <v>7</v>
      </c>
      <c r="CH22" s="20">
        <v>0</v>
      </c>
      <c r="CI22" s="20">
        <v>0</v>
      </c>
      <c r="CJ22" s="20">
        <v>2</v>
      </c>
      <c r="CK22" s="20">
        <v>5</v>
      </c>
      <c r="CM22" s="20"/>
    </row>
    <row r="23" spans="1:91" x14ac:dyDescent="0.15">
      <c r="A23">
        <v>302</v>
      </c>
      <c r="B23" s="3" t="s">
        <v>115</v>
      </c>
      <c r="C23" s="4" t="s">
        <v>109</v>
      </c>
      <c r="D23" s="6" t="s">
        <v>110</v>
      </c>
      <c r="E23" s="5">
        <v>3</v>
      </c>
      <c r="F23" s="7" t="s">
        <v>142</v>
      </c>
      <c r="G23" s="5">
        <v>3</v>
      </c>
      <c r="H23" s="7" t="s">
        <v>188</v>
      </c>
      <c r="I23" s="5">
        <v>0</v>
      </c>
      <c r="J23" s="5">
        <v>0</v>
      </c>
      <c r="K23">
        <v>2</v>
      </c>
      <c r="L23">
        <v>1.5</v>
      </c>
      <c r="M23" s="5">
        <v>1.5</v>
      </c>
      <c r="N23" s="5">
        <v>10</v>
      </c>
      <c r="O23" s="5">
        <f t="shared" si="9"/>
        <v>8809</v>
      </c>
      <c r="P23" s="5">
        <f t="shared" si="10"/>
        <v>42120000</v>
      </c>
      <c r="Q23" s="5">
        <f t="shared" si="11"/>
        <v>702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70021</v>
      </c>
      <c r="X23" s="6" t="s">
        <v>180</v>
      </c>
      <c r="Y23" s="5">
        <v>300</v>
      </c>
      <c r="Z23" s="5">
        <v>1</v>
      </c>
      <c r="AA23" s="5">
        <v>680128</v>
      </c>
      <c r="AB23" s="16" t="s">
        <v>111</v>
      </c>
      <c r="AC23" s="7" t="s">
        <v>112</v>
      </c>
      <c r="AD23" s="7" t="s">
        <v>112</v>
      </c>
      <c r="AE23" s="7" t="s">
        <v>112</v>
      </c>
      <c r="AF23" s="6" t="s">
        <v>113</v>
      </c>
      <c r="AG23" s="26" t="str">
        <f t="shared" ref="AG23" si="107">CM$5</f>
        <v>4,33,28,33,6,4,33,28,33,6</v>
      </c>
      <c r="AH23" s="26" t="str">
        <f t="shared" ref="AH23" si="108">CN$5</f>
        <v>0,7,0,7,1,0,7,0,7,1</v>
      </c>
      <c r="AI23" s="26" t="str">
        <f t="shared" ref="AI23" si="109">CO$5</f>
        <v>0,0,0,0,1,0,0,0,0,1</v>
      </c>
      <c r="AJ23" s="26" t="str">
        <f t="shared" ref="AJ23" si="110">CP$5</f>
        <v>0,0,0,0,5,0,0,0,0,5</v>
      </c>
      <c r="AK23" s="26" t="str">
        <f t="shared" ref="AK23" si="111">CQ$5</f>
        <v>100,1,1000,2,5,200,1,1000,2,5</v>
      </c>
      <c r="AL23" s="26" t="str">
        <f t="shared" ref="AL23" si="112">CR$5</f>
        <v>5,5,5,5,5,5,5,5,5,5</v>
      </c>
      <c r="AM23" s="7">
        <v>2001</v>
      </c>
      <c r="AO23">
        <f t="shared" ref="AO23" si="113">AQ23*100+2</f>
        <v>302</v>
      </c>
      <c r="AP23">
        <v>19</v>
      </c>
      <c r="AQ23">
        <f t="shared" si="13"/>
        <v>3</v>
      </c>
      <c r="AR23" s="17">
        <v>6</v>
      </c>
      <c r="AS23" s="17">
        <f t="shared" si="60"/>
        <v>55</v>
      </c>
      <c r="AT23" s="17">
        <v>4</v>
      </c>
      <c r="AU23">
        <f t="shared" si="14"/>
        <v>20</v>
      </c>
      <c r="AV23">
        <v>150</v>
      </c>
      <c r="AW23">
        <f t="shared" si="15"/>
        <v>8809.4822399999994</v>
      </c>
      <c r="AX23">
        <f t="shared" si="104"/>
        <v>42120000</v>
      </c>
      <c r="AY23">
        <f t="shared" si="17"/>
        <v>702</v>
      </c>
      <c r="AZ23">
        <f t="shared" si="18"/>
        <v>1404</v>
      </c>
      <c r="BA23">
        <f t="shared" si="19"/>
        <v>11232</v>
      </c>
      <c r="BB23">
        <f t="shared" si="20"/>
        <v>351</v>
      </c>
      <c r="BC23">
        <f t="shared" si="105"/>
        <v>42120000</v>
      </c>
      <c r="BD23">
        <f t="shared" si="22"/>
        <v>0.29411764705882354</v>
      </c>
      <c r="BE23" s="27">
        <f t="shared" si="106"/>
        <v>5277930.8400000017</v>
      </c>
      <c r="BF23" s="30">
        <f t="shared" si="24"/>
        <v>0.30719999999999997</v>
      </c>
      <c r="BG23" s="27"/>
      <c r="BH23" s="27"/>
      <c r="BI23" s="27"/>
      <c r="CA23" s="20">
        <f t="shared" si="25"/>
        <v>110</v>
      </c>
      <c r="CB23" s="20">
        <f t="shared" si="26"/>
        <v>11000</v>
      </c>
      <c r="CC23" s="31"/>
      <c r="CD23" s="20">
        <v>102</v>
      </c>
      <c r="CE23" s="20" t="s">
        <v>155</v>
      </c>
      <c r="CF23" s="20">
        <v>6</v>
      </c>
      <c r="CG23" s="20">
        <v>1</v>
      </c>
      <c r="CH23" s="20">
        <v>1</v>
      </c>
      <c r="CI23" s="20">
        <v>5</v>
      </c>
      <c r="CJ23" s="20">
        <v>5</v>
      </c>
      <c r="CK23" s="20">
        <v>5</v>
      </c>
      <c r="CM23" s="20"/>
    </row>
    <row r="24" spans="1:91" x14ac:dyDescent="0.15">
      <c r="A24">
        <v>303</v>
      </c>
      <c r="B24" s="3" t="s">
        <v>117</v>
      </c>
      <c r="C24" s="4" t="s">
        <v>109</v>
      </c>
      <c r="D24" s="4" t="s">
        <v>110</v>
      </c>
      <c r="E24" s="5">
        <v>1</v>
      </c>
      <c r="F24" s="7" t="s">
        <v>144</v>
      </c>
      <c r="G24" s="5">
        <v>3</v>
      </c>
      <c r="H24" s="7" t="s">
        <v>189</v>
      </c>
      <c r="I24" s="5">
        <v>0</v>
      </c>
      <c r="J24" s="2">
        <v>0</v>
      </c>
      <c r="K24">
        <v>6</v>
      </c>
      <c r="L24">
        <v>1.5</v>
      </c>
      <c r="M24" s="5">
        <v>1.5</v>
      </c>
      <c r="N24" s="5">
        <v>10</v>
      </c>
      <c r="O24" s="5">
        <f t="shared" si="9"/>
        <v>9487</v>
      </c>
      <c r="P24" s="5">
        <f t="shared" si="10"/>
        <v>45360000</v>
      </c>
      <c r="Q24" s="5">
        <f t="shared" si="11"/>
        <v>756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70031</v>
      </c>
      <c r="X24" s="6" t="s">
        <v>181</v>
      </c>
      <c r="Y24" s="5">
        <v>300</v>
      </c>
      <c r="Z24" s="5">
        <v>1</v>
      </c>
      <c r="AA24" s="5">
        <v>888330</v>
      </c>
      <c r="AB24" s="16" t="s">
        <v>111</v>
      </c>
      <c r="AC24" s="7" t="s">
        <v>112</v>
      </c>
      <c r="AD24" s="7" t="s">
        <v>112</v>
      </c>
      <c r="AE24" s="7" t="s">
        <v>112</v>
      </c>
      <c r="AF24" s="6" t="s">
        <v>113</v>
      </c>
      <c r="AG24" s="26" t="str">
        <f t="shared" ref="AG24" si="114">CM$6</f>
        <v>4,28,6,28,6,4,28,6,28,6</v>
      </c>
      <c r="AH24" s="26" t="str">
        <f t="shared" ref="AH24" si="115">CN$6</f>
        <v>0,0,1,0,1,0,0,1,0,1</v>
      </c>
      <c r="AI24" s="26" t="str">
        <f t="shared" ref="AI24" si="116">CO$6</f>
        <v>0,0,0,0,1,0,0,0,0,1</v>
      </c>
      <c r="AJ24" s="26" t="str">
        <f t="shared" ref="AJ24" si="117">CP$6</f>
        <v>0,0,5,0,5,0,0,5,0,5</v>
      </c>
      <c r="AK24" s="26" t="str">
        <f t="shared" ref="AK24" si="118">CQ$6</f>
        <v>100,1000,5,1500,5,200,1000,5,1500,5</v>
      </c>
      <c r="AL24" s="26" t="str">
        <f t="shared" ref="AL24" si="119">CR$6</f>
        <v>5,5,5,5,5,5,5,5,5,5</v>
      </c>
      <c r="AM24" s="7">
        <v>2001</v>
      </c>
      <c r="AO24">
        <f t="shared" ref="AO24" si="120">AQ24*100+3</f>
        <v>303</v>
      </c>
      <c r="AP24">
        <v>20</v>
      </c>
      <c r="AQ24">
        <f t="shared" si="13"/>
        <v>3</v>
      </c>
      <c r="AR24" s="17">
        <v>6</v>
      </c>
      <c r="AS24" s="17">
        <f t="shared" si="60"/>
        <v>60</v>
      </c>
      <c r="AT24" s="17">
        <v>4</v>
      </c>
      <c r="AU24">
        <f t="shared" si="14"/>
        <v>20</v>
      </c>
      <c r="AV24">
        <v>150</v>
      </c>
      <c r="AW24">
        <f t="shared" si="15"/>
        <v>9487.1347199999982</v>
      </c>
      <c r="AX24">
        <f t="shared" si="104"/>
        <v>45360000</v>
      </c>
      <c r="AY24">
        <f t="shared" si="17"/>
        <v>756</v>
      </c>
      <c r="AZ24">
        <f t="shared" si="18"/>
        <v>1512</v>
      </c>
      <c r="BA24">
        <f t="shared" si="19"/>
        <v>12096</v>
      </c>
      <c r="BB24">
        <f t="shared" si="20"/>
        <v>378</v>
      </c>
      <c r="BC24">
        <f t="shared" si="105"/>
        <v>45360000</v>
      </c>
      <c r="BD24">
        <f t="shared" si="22"/>
        <v>0.29411764705882354</v>
      </c>
      <c r="BE24" s="27">
        <f t="shared" si="106"/>
        <v>6121150.5600000015</v>
      </c>
      <c r="BF24" s="30">
        <f t="shared" si="24"/>
        <v>0.30719999999999997</v>
      </c>
      <c r="BG24" s="27"/>
      <c r="BH24" s="27"/>
      <c r="BI24" s="27"/>
      <c r="CA24" s="20">
        <f t="shared" si="25"/>
        <v>110</v>
      </c>
      <c r="CB24" s="20">
        <f t="shared" si="26"/>
        <v>11000</v>
      </c>
      <c r="CC24" s="31" t="s">
        <v>161</v>
      </c>
      <c r="CD24" s="20">
        <v>103</v>
      </c>
      <c r="CE24" s="20" t="s">
        <v>152</v>
      </c>
      <c r="CF24" s="20">
        <v>4</v>
      </c>
      <c r="CG24" s="20">
        <v>0</v>
      </c>
      <c r="CH24" s="20">
        <v>0</v>
      </c>
      <c r="CI24" s="20">
        <v>0</v>
      </c>
      <c r="CJ24" s="20">
        <v>100</v>
      </c>
      <c r="CK24" s="20">
        <v>5</v>
      </c>
      <c r="CM24" s="20"/>
    </row>
    <row r="25" spans="1:91" x14ac:dyDescent="0.15">
      <c r="A25">
        <v>304</v>
      </c>
      <c r="B25" s="3" t="s">
        <v>119</v>
      </c>
      <c r="C25" s="4" t="s">
        <v>109</v>
      </c>
      <c r="D25" s="6" t="s">
        <v>120</v>
      </c>
      <c r="E25" s="5">
        <v>3</v>
      </c>
      <c r="F25" s="7" t="s">
        <v>145</v>
      </c>
      <c r="G25" s="5">
        <v>3</v>
      </c>
      <c r="H25" s="7" t="s">
        <v>190</v>
      </c>
      <c r="I25" s="5">
        <v>0</v>
      </c>
      <c r="J25" s="5">
        <v>0</v>
      </c>
      <c r="K25">
        <v>2</v>
      </c>
      <c r="L25">
        <v>1.5</v>
      </c>
      <c r="M25" s="5">
        <v>1.5</v>
      </c>
      <c r="N25" s="5">
        <v>10</v>
      </c>
      <c r="O25" s="5">
        <f t="shared" si="9"/>
        <v>10164</v>
      </c>
      <c r="P25" s="5">
        <f t="shared" si="10"/>
        <v>48600000</v>
      </c>
      <c r="Q25" s="5">
        <f t="shared" si="11"/>
        <v>810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70041</v>
      </c>
      <c r="X25" s="6" t="s">
        <v>182</v>
      </c>
      <c r="Y25" s="5">
        <v>300</v>
      </c>
      <c r="Z25" s="5">
        <v>1</v>
      </c>
      <c r="AA25" s="5">
        <v>1124293</v>
      </c>
      <c r="AB25" s="16" t="s">
        <v>111</v>
      </c>
      <c r="AC25" s="7" t="s">
        <v>112</v>
      </c>
      <c r="AD25" s="7" t="s">
        <v>112</v>
      </c>
      <c r="AE25" s="7" t="s">
        <v>112</v>
      </c>
      <c r="AF25" s="6" t="s">
        <v>113</v>
      </c>
      <c r="AG25" s="26" t="str">
        <f t="shared" ref="AG25" si="121">CM$7</f>
        <v>4,14,28,14,6,4,14,28,14,6</v>
      </c>
      <c r="AH25" s="26" t="str">
        <f t="shared" ref="AH25" si="122">CN$7</f>
        <v>0,0,0,0,1,0,0,0,0,1</v>
      </c>
      <c r="AI25" s="26" t="str">
        <f t="shared" ref="AI25" si="123">CO$7</f>
        <v>0,0,0,0,1,0,0,0,0,1</v>
      </c>
      <c r="AJ25" s="26" t="str">
        <f t="shared" ref="AJ25" si="124">CP$7</f>
        <v>0,0,0,0,5,0,0,0,0,5</v>
      </c>
      <c r="AK25" s="26" t="str">
        <f t="shared" ref="AK25" si="125">CQ$7</f>
        <v>100,1,1000,2,5,200,1,1000,2,5</v>
      </c>
      <c r="AL25" s="26" t="str">
        <f t="shared" ref="AL25" si="126">CR$7</f>
        <v>5,5,5,5,5,5,5,5,5,5</v>
      </c>
      <c r="AM25" s="7">
        <v>2001</v>
      </c>
      <c r="AO25">
        <f t="shared" ref="AO25" si="127">AQ25*100+4</f>
        <v>304</v>
      </c>
      <c r="AP25">
        <v>21</v>
      </c>
      <c r="AQ25">
        <f t="shared" si="13"/>
        <v>3</v>
      </c>
      <c r="AR25" s="17">
        <v>6</v>
      </c>
      <c r="AS25" s="17">
        <f t="shared" si="60"/>
        <v>65</v>
      </c>
      <c r="AT25" s="17">
        <v>4</v>
      </c>
      <c r="AU25">
        <f t="shared" si="14"/>
        <v>20</v>
      </c>
      <c r="AV25">
        <v>150</v>
      </c>
      <c r="AW25">
        <f t="shared" si="15"/>
        <v>10164.787199999999</v>
      </c>
      <c r="AX25">
        <f t="shared" si="104"/>
        <v>48600000</v>
      </c>
      <c r="AY25">
        <f t="shared" si="17"/>
        <v>810</v>
      </c>
      <c r="AZ25">
        <f t="shared" si="18"/>
        <v>1620</v>
      </c>
      <c r="BA25">
        <f t="shared" si="19"/>
        <v>12960</v>
      </c>
      <c r="BB25">
        <f t="shared" si="20"/>
        <v>405</v>
      </c>
      <c r="BC25">
        <f t="shared" si="105"/>
        <v>48600000</v>
      </c>
      <c r="BD25">
        <f t="shared" si="22"/>
        <v>0.29411764705882354</v>
      </c>
      <c r="BE25" s="27">
        <f t="shared" si="106"/>
        <v>7026831.0000000009</v>
      </c>
      <c r="BF25" s="30">
        <f t="shared" si="24"/>
        <v>0.30719999999999997</v>
      </c>
      <c r="BG25" s="27"/>
      <c r="BH25" s="27"/>
      <c r="BI25" s="27"/>
      <c r="CA25" s="20">
        <f t="shared" si="25"/>
        <v>110</v>
      </c>
      <c r="CB25" s="20">
        <f t="shared" si="26"/>
        <v>11000</v>
      </c>
      <c r="CC25" s="31"/>
      <c r="CD25" s="20">
        <v>103</v>
      </c>
      <c r="CE25" s="20" t="s">
        <v>162</v>
      </c>
      <c r="CF25" s="20">
        <v>28</v>
      </c>
      <c r="CG25" s="20">
        <v>0</v>
      </c>
      <c r="CH25" s="20">
        <v>0</v>
      </c>
      <c r="CI25" s="20">
        <v>0</v>
      </c>
      <c r="CJ25" s="20">
        <v>1000</v>
      </c>
      <c r="CK25" s="20">
        <v>5</v>
      </c>
      <c r="CM25" s="20"/>
    </row>
    <row r="26" spans="1:91" x14ac:dyDescent="0.15">
      <c r="A26">
        <v>305</v>
      </c>
      <c r="B26" s="3" t="s">
        <v>122</v>
      </c>
      <c r="C26" s="4" t="s">
        <v>109</v>
      </c>
      <c r="D26" s="4" t="s">
        <v>110</v>
      </c>
      <c r="E26" s="5">
        <v>2</v>
      </c>
      <c r="F26" s="7" t="s">
        <v>146</v>
      </c>
      <c r="G26" s="5">
        <v>3</v>
      </c>
      <c r="H26" s="7" t="s">
        <v>191</v>
      </c>
      <c r="I26" s="5">
        <v>0</v>
      </c>
      <c r="J26" s="7" t="s">
        <v>148</v>
      </c>
      <c r="K26">
        <v>6</v>
      </c>
      <c r="L26">
        <v>1.5</v>
      </c>
      <c r="M26" s="5">
        <v>1.5</v>
      </c>
      <c r="N26" s="5">
        <v>10</v>
      </c>
      <c r="O26" s="5">
        <f t="shared" si="9"/>
        <v>10842</v>
      </c>
      <c r="P26" s="5">
        <f t="shared" si="10"/>
        <v>51840000</v>
      </c>
      <c r="Q26" s="5">
        <f t="shared" si="11"/>
        <v>864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70051</v>
      </c>
      <c r="X26" s="6" t="s">
        <v>183</v>
      </c>
      <c r="Y26" s="5">
        <v>300</v>
      </c>
      <c r="Z26" s="5">
        <v>1</v>
      </c>
      <c r="AA26" s="5">
        <v>1388016</v>
      </c>
      <c r="AB26" s="16" t="s">
        <v>111</v>
      </c>
      <c r="AC26" s="7" t="s">
        <v>112</v>
      </c>
      <c r="AD26" s="7" t="s">
        <v>112</v>
      </c>
      <c r="AE26" s="7" t="s">
        <v>112</v>
      </c>
      <c r="AF26" s="6" t="s">
        <v>113</v>
      </c>
      <c r="AG26" s="26" t="str">
        <f t="shared" ref="AG26" si="128">CM$8</f>
        <v>4,19,28,19,6,4,19,28,19,6</v>
      </c>
      <c r="AH26" s="26" t="str">
        <f t="shared" ref="AH26" si="129">CN$8</f>
        <v>0,0,0,0,1,0,0,0,0,1</v>
      </c>
      <c r="AI26" s="26" t="str">
        <f t="shared" ref="AI26" si="130">CO$8</f>
        <v>0,0,0,0,1,0,0,0,0,1</v>
      </c>
      <c r="AJ26" s="26" t="str">
        <f t="shared" ref="AJ26" si="131">CP$8</f>
        <v>0,0,0,0,5,0,0,0,0,5</v>
      </c>
      <c r="AK26" s="26" t="str">
        <f t="shared" ref="AK26" si="132">CQ$8</f>
        <v>200,100,1000,200,5,200,100,1000,200,5</v>
      </c>
      <c r="AL26" s="26" t="str">
        <f t="shared" ref="AL26" si="133">CR$8</f>
        <v>5,5,5,5,5,5,5,5,5,5</v>
      </c>
      <c r="AM26" s="7">
        <v>2001</v>
      </c>
      <c r="AO26">
        <f t="shared" ref="AO26" si="134">AQ26*100+5</f>
        <v>305</v>
      </c>
      <c r="AP26">
        <v>22</v>
      </c>
      <c r="AQ26">
        <f t="shared" si="13"/>
        <v>3</v>
      </c>
      <c r="AR26" s="17">
        <v>6</v>
      </c>
      <c r="AS26" s="17">
        <f t="shared" si="60"/>
        <v>70</v>
      </c>
      <c r="AT26" s="17">
        <v>4</v>
      </c>
      <c r="AU26">
        <f t="shared" si="14"/>
        <v>20</v>
      </c>
      <c r="AV26">
        <v>150</v>
      </c>
      <c r="AW26">
        <f t="shared" si="15"/>
        <v>10842.439679999999</v>
      </c>
      <c r="AX26">
        <f t="shared" si="104"/>
        <v>51840000</v>
      </c>
      <c r="AY26">
        <f t="shared" si="17"/>
        <v>864</v>
      </c>
      <c r="AZ26">
        <f t="shared" si="18"/>
        <v>1728</v>
      </c>
      <c r="BA26">
        <f t="shared" si="19"/>
        <v>13824</v>
      </c>
      <c r="BB26">
        <f t="shared" si="20"/>
        <v>432</v>
      </c>
      <c r="BC26">
        <f t="shared" si="105"/>
        <v>51840000</v>
      </c>
      <c r="BD26">
        <f t="shared" si="22"/>
        <v>0.29411764705882354</v>
      </c>
      <c r="BE26" s="27">
        <f t="shared" si="106"/>
        <v>7994972.160000002</v>
      </c>
      <c r="BF26" s="30">
        <f t="shared" si="24"/>
        <v>0.30719999999999997</v>
      </c>
      <c r="BG26" s="27"/>
      <c r="BH26" s="27"/>
      <c r="BI26" s="27"/>
      <c r="CA26" s="20">
        <f t="shared" si="25"/>
        <v>110</v>
      </c>
      <c r="CB26" s="20">
        <f t="shared" si="26"/>
        <v>11000</v>
      </c>
      <c r="CC26" s="31"/>
      <c r="CD26" s="20">
        <v>103</v>
      </c>
      <c r="CE26" s="20" t="s">
        <v>154</v>
      </c>
      <c r="CF26" s="20">
        <v>6</v>
      </c>
      <c r="CG26" s="20">
        <v>1</v>
      </c>
      <c r="CH26" s="20">
        <v>0</v>
      </c>
      <c r="CI26" s="20">
        <v>5</v>
      </c>
      <c r="CJ26" s="20">
        <v>5</v>
      </c>
      <c r="CK26" s="20">
        <v>5</v>
      </c>
      <c r="CM26" s="20"/>
    </row>
    <row r="27" spans="1:91" x14ac:dyDescent="0.15">
      <c r="A27">
        <v>306</v>
      </c>
      <c r="B27" s="3" t="s">
        <v>124</v>
      </c>
      <c r="C27" s="4" t="s">
        <v>109</v>
      </c>
      <c r="D27" s="6" t="s">
        <v>120</v>
      </c>
      <c r="E27" s="5">
        <v>1</v>
      </c>
      <c r="F27" s="7" t="s">
        <v>147</v>
      </c>
      <c r="G27" s="5">
        <v>3</v>
      </c>
      <c r="H27" s="7" t="s">
        <v>192</v>
      </c>
      <c r="I27" s="5">
        <v>0</v>
      </c>
      <c r="J27" s="7" t="s">
        <v>149</v>
      </c>
      <c r="K27">
        <v>6</v>
      </c>
      <c r="L27">
        <v>1.5</v>
      </c>
      <c r="M27" s="5">
        <v>1.5</v>
      </c>
      <c r="N27" s="5">
        <v>10</v>
      </c>
      <c r="O27" s="5">
        <f t="shared" si="9"/>
        <v>11520</v>
      </c>
      <c r="P27" s="5">
        <f t="shared" si="10"/>
        <v>55080000</v>
      </c>
      <c r="Q27" s="5">
        <f t="shared" si="11"/>
        <v>918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70061</v>
      </c>
      <c r="X27" s="6" t="s">
        <v>184</v>
      </c>
      <c r="Y27" s="5">
        <v>300</v>
      </c>
      <c r="Z27" s="5">
        <v>1</v>
      </c>
      <c r="AA27" s="5">
        <v>1679499</v>
      </c>
      <c r="AB27" s="16" t="s">
        <v>111</v>
      </c>
      <c r="AC27" s="7" t="s">
        <v>112</v>
      </c>
      <c r="AD27" s="7" t="s">
        <v>112</v>
      </c>
      <c r="AE27" s="7" t="s">
        <v>112</v>
      </c>
      <c r="AF27" s="6" t="s">
        <v>113</v>
      </c>
      <c r="AG27" s="26" t="str">
        <f t="shared" ref="AG27" si="135">CM$9</f>
        <v>4,33,28,33,6,4,33,28,33,6</v>
      </c>
      <c r="AH27" s="26" t="str">
        <f t="shared" ref="AH27" si="136">CN$9</f>
        <v>0,6,0,6,1,0,6,0,6,1</v>
      </c>
      <c r="AI27" s="26" t="str">
        <f t="shared" ref="AI27" si="137">CO$9</f>
        <v>0,0,0,0,1,0,0,0,0,1</v>
      </c>
      <c r="AJ27" s="26" t="str">
        <f t="shared" ref="AJ27" si="138">CP$9</f>
        <v>0,0,0,0,5,0,0,0,0,5</v>
      </c>
      <c r="AK27" s="26" t="str">
        <f t="shared" ref="AK27" si="139">CQ$9</f>
        <v>200,1,1000,2,5,200,1,1000,2,5</v>
      </c>
      <c r="AL27" s="26" t="str">
        <f t="shared" ref="AL27" si="140">CR$9</f>
        <v>5,5,5,5,5,5,5,5,5,5</v>
      </c>
      <c r="AM27" s="7">
        <v>2001</v>
      </c>
      <c r="AO27">
        <f t="shared" ref="AO27" si="141">AQ27*100+6</f>
        <v>306</v>
      </c>
      <c r="AP27">
        <v>23</v>
      </c>
      <c r="AQ27">
        <f t="shared" si="13"/>
        <v>3</v>
      </c>
      <c r="AR27" s="17">
        <v>6</v>
      </c>
      <c r="AS27" s="17">
        <f t="shared" si="60"/>
        <v>75</v>
      </c>
      <c r="AT27" s="17">
        <v>4</v>
      </c>
      <c r="AU27">
        <f t="shared" si="14"/>
        <v>20</v>
      </c>
      <c r="AV27">
        <v>150</v>
      </c>
      <c r="AW27">
        <f t="shared" si="15"/>
        <v>11520.092159999998</v>
      </c>
      <c r="AX27">
        <f t="shared" si="104"/>
        <v>55080000</v>
      </c>
      <c r="AY27">
        <f t="shared" si="17"/>
        <v>918</v>
      </c>
      <c r="AZ27">
        <f t="shared" si="18"/>
        <v>1836</v>
      </c>
      <c r="BA27">
        <f t="shared" si="19"/>
        <v>14688</v>
      </c>
      <c r="BB27">
        <f t="shared" si="20"/>
        <v>459</v>
      </c>
      <c r="BC27">
        <f t="shared" si="105"/>
        <v>55080000</v>
      </c>
      <c r="BD27">
        <f t="shared" si="22"/>
        <v>0.29411764705882354</v>
      </c>
      <c r="BE27" s="27">
        <f t="shared" si="106"/>
        <v>9025574.040000001</v>
      </c>
      <c r="BF27" s="30">
        <f t="shared" si="24"/>
        <v>0.30719999999999997</v>
      </c>
      <c r="BG27" s="27"/>
      <c r="BH27" s="27"/>
      <c r="BI27" s="27"/>
      <c r="CA27" s="20">
        <f t="shared" si="25"/>
        <v>110</v>
      </c>
      <c r="CB27" s="20">
        <f t="shared" si="26"/>
        <v>11000</v>
      </c>
      <c r="CC27" s="31"/>
      <c r="CD27" s="20">
        <v>103</v>
      </c>
      <c r="CE27" s="20" t="s">
        <v>163</v>
      </c>
      <c r="CF27" s="20">
        <v>28</v>
      </c>
      <c r="CG27" s="20">
        <v>0</v>
      </c>
      <c r="CH27" s="20">
        <v>0</v>
      </c>
      <c r="CI27" s="20">
        <v>0</v>
      </c>
      <c r="CJ27" s="20">
        <v>1500</v>
      </c>
      <c r="CK27" s="20">
        <v>5</v>
      </c>
      <c r="CM27" s="20"/>
    </row>
    <row r="28" spans="1:91" x14ac:dyDescent="0.15">
      <c r="A28">
        <v>307</v>
      </c>
      <c r="B28" s="3" t="s">
        <v>126</v>
      </c>
      <c r="C28" s="4" t="s">
        <v>109</v>
      </c>
      <c r="D28" s="4" t="s">
        <v>110</v>
      </c>
      <c r="E28" s="5">
        <v>2</v>
      </c>
      <c r="F28" s="7" t="s">
        <v>143</v>
      </c>
      <c r="G28" s="5">
        <v>3</v>
      </c>
      <c r="H28" s="7" t="s">
        <v>193</v>
      </c>
      <c r="I28" s="5">
        <v>0</v>
      </c>
      <c r="J28" s="5">
        <v>0</v>
      </c>
      <c r="K28">
        <v>2</v>
      </c>
      <c r="L28">
        <v>1.5</v>
      </c>
      <c r="M28" s="5">
        <v>1.5</v>
      </c>
      <c r="N28" s="5">
        <v>10</v>
      </c>
      <c r="O28" s="5">
        <f t="shared" si="9"/>
        <v>12197</v>
      </c>
      <c r="P28" s="5">
        <f t="shared" si="10"/>
        <v>58320000</v>
      </c>
      <c r="Q28" s="5">
        <f t="shared" si="11"/>
        <v>972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70071</v>
      </c>
      <c r="X28" s="6" t="s">
        <v>185</v>
      </c>
      <c r="Y28" s="5">
        <v>300</v>
      </c>
      <c r="Z28" s="5">
        <v>1</v>
      </c>
      <c r="AA28" s="5">
        <v>1998743</v>
      </c>
      <c r="AB28" s="16" t="s">
        <v>111</v>
      </c>
      <c r="AC28" s="7" t="s">
        <v>112</v>
      </c>
      <c r="AD28" s="7" t="s">
        <v>112</v>
      </c>
      <c r="AE28" s="7" t="s">
        <v>112</v>
      </c>
      <c r="AF28" s="6" t="s">
        <v>113</v>
      </c>
      <c r="AG28" s="26" t="str">
        <f t="shared" ref="AG28" si="142">CM$10</f>
        <v>4,14,28,14,6,4,14,28,14,6</v>
      </c>
      <c r="AH28" s="26" t="str">
        <f t="shared" ref="AH28" si="143">CN$10</f>
        <v>0,0,0,0,1,0,0,0,0,1</v>
      </c>
      <c r="AI28" s="26" t="str">
        <f t="shared" ref="AI28" si="144">CO$10</f>
        <v>0,0,0,0,1,0,0,0,0,1</v>
      </c>
      <c r="AJ28" s="26" t="str">
        <f t="shared" ref="AJ28" si="145">CP$10</f>
        <v>0,0,0,0,5,0,0,0,0,5</v>
      </c>
      <c r="AK28" s="26" t="str">
        <f t="shared" ref="AK28" si="146">CQ$10</f>
        <v>200,1,1000,2,5,200,1,1000,2,5</v>
      </c>
      <c r="AL28" s="26" t="str">
        <f t="shared" ref="AL28" si="147">CR$10</f>
        <v>5,5,5,5,5,5,5,5,5,5</v>
      </c>
      <c r="AM28" s="7">
        <v>2001</v>
      </c>
      <c r="AO28">
        <f t="shared" ref="AO28" si="148">AQ28*100+7</f>
        <v>307</v>
      </c>
      <c r="AP28">
        <v>24</v>
      </c>
      <c r="AQ28">
        <f t="shared" si="13"/>
        <v>3</v>
      </c>
      <c r="AR28" s="17">
        <v>6</v>
      </c>
      <c r="AS28" s="17">
        <f t="shared" si="60"/>
        <v>80</v>
      </c>
      <c r="AT28" s="17">
        <v>4</v>
      </c>
      <c r="AU28">
        <f t="shared" si="14"/>
        <v>20</v>
      </c>
      <c r="AV28">
        <v>150</v>
      </c>
      <c r="AW28">
        <f t="shared" si="15"/>
        <v>12197.744639999997</v>
      </c>
      <c r="AX28">
        <f t="shared" si="104"/>
        <v>58320000</v>
      </c>
      <c r="AY28">
        <f t="shared" si="17"/>
        <v>972</v>
      </c>
      <c r="AZ28">
        <f t="shared" si="18"/>
        <v>1944</v>
      </c>
      <c r="BA28">
        <f t="shared" si="19"/>
        <v>15552</v>
      </c>
      <c r="BB28">
        <f t="shared" si="20"/>
        <v>486</v>
      </c>
      <c r="BC28">
        <f t="shared" si="105"/>
        <v>58320000</v>
      </c>
      <c r="BD28">
        <f t="shared" si="22"/>
        <v>0.29411764705882354</v>
      </c>
      <c r="BE28" s="27">
        <f t="shared" si="106"/>
        <v>10118636.640000001</v>
      </c>
      <c r="BF28" s="30">
        <f t="shared" si="24"/>
        <v>0.30719999999999997</v>
      </c>
      <c r="BG28" s="27"/>
      <c r="BH28" s="27"/>
      <c r="BI28" s="27"/>
      <c r="CA28" s="20">
        <f t="shared" si="25"/>
        <v>110</v>
      </c>
      <c r="CB28" s="20">
        <f t="shared" si="26"/>
        <v>11000</v>
      </c>
      <c r="CC28" s="31"/>
      <c r="CD28" s="20">
        <v>103</v>
      </c>
      <c r="CE28" s="20" t="s">
        <v>155</v>
      </c>
      <c r="CF28" s="20">
        <v>6</v>
      </c>
      <c r="CG28" s="20">
        <v>1</v>
      </c>
      <c r="CH28" s="20">
        <v>1</v>
      </c>
      <c r="CI28" s="20">
        <v>5</v>
      </c>
      <c r="CJ28" s="20">
        <v>5</v>
      </c>
      <c r="CK28" s="20">
        <v>5</v>
      </c>
      <c r="CM28" s="20"/>
    </row>
    <row r="29" spans="1:91" x14ac:dyDescent="0.15">
      <c r="A29">
        <v>308</v>
      </c>
      <c r="B29" s="3" t="s">
        <v>128</v>
      </c>
      <c r="C29" s="4" t="s">
        <v>109</v>
      </c>
      <c r="D29" s="4" t="s">
        <v>110</v>
      </c>
      <c r="E29" s="5">
        <v>5</v>
      </c>
      <c r="F29" s="7" t="s">
        <v>129</v>
      </c>
      <c r="G29" s="5">
        <v>2</v>
      </c>
      <c r="H29" s="7" t="s">
        <v>130</v>
      </c>
      <c r="I29" s="5">
        <v>0</v>
      </c>
      <c r="J29" s="5">
        <v>0</v>
      </c>
      <c r="K29">
        <v>2</v>
      </c>
      <c r="L29">
        <v>1.5</v>
      </c>
      <c r="M29" s="5">
        <v>1.5</v>
      </c>
      <c r="N29" s="5">
        <v>10</v>
      </c>
      <c r="O29" s="5">
        <f t="shared" si="9"/>
        <v>12875</v>
      </c>
      <c r="P29" s="5">
        <f t="shared" si="10"/>
        <v>61560000</v>
      </c>
      <c r="Q29" s="5">
        <f t="shared" si="11"/>
        <v>1026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70081</v>
      </c>
      <c r="X29" s="6" t="s">
        <v>186</v>
      </c>
      <c r="Y29" s="5">
        <v>300</v>
      </c>
      <c r="Z29" s="5">
        <v>1</v>
      </c>
      <c r="AA29" s="5">
        <v>2345747</v>
      </c>
      <c r="AB29" s="16" t="s">
        <v>111</v>
      </c>
      <c r="AC29" s="7" t="s">
        <v>112</v>
      </c>
      <c r="AD29" s="7" t="s">
        <v>112</v>
      </c>
      <c r="AE29" s="7" t="s">
        <v>112</v>
      </c>
      <c r="AF29" s="6" t="s">
        <v>113</v>
      </c>
      <c r="AG29" s="26" t="str">
        <f t="shared" ref="AG29" si="149">CM$11</f>
        <v>4,28,6,28,6,4,28,6,28,6</v>
      </c>
      <c r="AH29" s="26" t="str">
        <f t="shared" ref="AH29" si="150">CN$11</f>
        <v>0,0,1,0,1,0,0,1,0,1</v>
      </c>
      <c r="AI29" s="26" t="str">
        <f t="shared" ref="AI29" si="151">CO$11</f>
        <v>0,0,1,0,1,0,0,1,0,1</v>
      </c>
      <c r="AJ29" s="26" t="str">
        <f t="shared" ref="AJ29" si="152">CP$11</f>
        <v>0,0,5,0,5,0,0,5,0,5</v>
      </c>
      <c r="AK29" s="26" t="str">
        <f t="shared" ref="AK29" si="153">CQ$11</f>
        <v>100,1000,5,1500,5,200,1000,5,1500,5</v>
      </c>
      <c r="AL29" s="26" t="str">
        <f t="shared" ref="AL29" si="154">CR$11</f>
        <v>5,5,5,5,5,5,5,5,5,5</v>
      </c>
      <c r="AM29" s="7">
        <v>2001</v>
      </c>
      <c r="AO29">
        <f t="shared" ref="AO29" si="155">AQ29*100+8</f>
        <v>308</v>
      </c>
      <c r="AP29">
        <v>25</v>
      </c>
      <c r="AQ29">
        <f t="shared" si="13"/>
        <v>3</v>
      </c>
      <c r="AR29" s="17">
        <v>6</v>
      </c>
      <c r="AS29" s="17">
        <f t="shared" si="60"/>
        <v>85</v>
      </c>
      <c r="AT29" s="17">
        <v>4</v>
      </c>
      <c r="AU29">
        <f t="shared" si="14"/>
        <v>20</v>
      </c>
      <c r="AV29">
        <v>150</v>
      </c>
      <c r="AW29">
        <f t="shared" si="15"/>
        <v>12875.39712</v>
      </c>
      <c r="AX29">
        <f t="shared" si="104"/>
        <v>61560000</v>
      </c>
      <c r="AY29">
        <f t="shared" si="17"/>
        <v>1026</v>
      </c>
      <c r="AZ29">
        <f t="shared" si="18"/>
        <v>2052</v>
      </c>
      <c r="BA29">
        <f t="shared" si="19"/>
        <v>16416</v>
      </c>
      <c r="BB29">
        <f t="shared" si="20"/>
        <v>513</v>
      </c>
      <c r="BC29">
        <f t="shared" si="105"/>
        <v>61560000</v>
      </c>
      <c r="BD29">
        <f t="shared" si="22"/>
        <v>0.29411764705882354</v>
      </c>
      <c r="BE29" s="27">
        <f t="shared" si="106"/>
        <v>11274159.960000001</v>
      </c>
      <c r="BF29" s="30">
        <f t="shared" si="24"/>
        <v>0.30719999999999997</v>
      </c>
      <c r="BG29" s="27"/>
      <c r="BH29" s="27"/>
      <c r="BI29" s="27"/>
      <c r="CA29" s="20">
        <f t="shared" si="25"/>
        <v>110</v>
      </c>
      <c r="CB29" s="20">
        <f t="shared" si="26"/>
        <v>11000</v>
      </c>
      <c r="CC29" s="31"/>
      <c r="CD29" s="20">
        <v>103</v>
      </c>
      <c r="CE29" s="20" t="s">
        <v>153</v>
      </c>
      <c r="CF29" s="20">
        <v>4</v>
      </c>
      <c r="CG29" s="20">
        <v>0</v>
      </c>
      <c r="CH29" s="20">
        <v>0</v>
      </c>
      <c r="CI29" s="20">
        <v>0</v>
      </c>
      <c r="CJ29" s="20">
        <v>200</v>
      </c>
      <c r="CK29" s="20">
        <v>5</v>
      </c>
      <c r="CM29" s="20"/>
    </row>
    <row r="30" spans="1:91" x14ac:dyDescent="0.15">
      <c r="A30">
        <v>309</v>
      </c>
      <c r="B30" s="3" t="s">
        <v>132</v>
      </c>
      <c r="C30" s="4" t="s">
        <v>109</v>
      </c>
      <c r="D30" s="4" t="s">
        <v>110</v>
      </c>
      <c r="E30" s="5">
        <v>5</v>
      </c>
      <c r="F30" s="7" t="s">
        <v>140</v>
      </c>
      <c r="G30" s="5">
        <v>3</v>
      </c>
      <c r="H30" s="7" t="s">
        <v>140</v>
      </c>
      <c r="I30" s="5">
        <v>0</v>
      </c>
      <c r="J30" s="7">
        <v>0</v>
      </c>
      <c r="K30">
        <v>6</v>
      </c>
      <c r="L30">
        <v>1.5</v>
      </c>
      <c r="M30" s="5">
        <v>1.5</v>
      </c>
      <c r="N30" s="5">
        <v>10</v>
      </c>
      <c r="O30" s="5">
        <f t="shared" si="9"/>
        <v>13553</v>
      </c>
      <c r="P30" s="5">
        <f t="shared" si="10"/>
        <v>66960000</v>
      </c>
      <c r="Q30" s="5">
        <f t="shared" si="11"/>
        <v>1116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70091</v>
      </c>
      <c r="X30" s="6" t="s">
        <v>187</v>
      </c>
      <c r="Y30" s="5">
        <v>300</v>
      </c>
      <c r="Z30" s="5">
        <v>1</v>
      </c>
      <c r="AA30" s="5">
        <v>2720511</v>
      </c>
      <c r="AB30" s="16" t="s">
        <v>111</v>
      </c>
      <c r="AC30" s="7" t="s">
        <v>112</v>
      </c>
      <c r="AD30" s="7" t="s">
        <v>112</v>
      </c>
      <c r="AE30" s="7" t="s">
        <v>112</v>
      </c>
      <c r="AF30" s="6" t="s">
        <v>113</v>
      </c>
      <c r="AG30" s="26" t="str">
        <f t="shared" ref="AG30" si="156">CM$12</f>
        <v>4,33,28,33,6,4,33,28,33,6</v>
      </c>
      <c r="AH30" s="26" t="str">
        <f t="shared" ref="AH30" si="157">CN$12</f>
        <v>0,5,0,5,1,0,5,0,5,1</v>
      </c>
      <c r="AI30" s="26" t="str">
        <f t="shared" ref="AI30" si="158">CO$12</f>
        <v>0,0,0,0,1,0,0,0,0,1</v>
      </c>
      <c r="AJ30" s="26" t="str">
        <f t="shared" ref="AJ30" si="159">CP$12</f>
        <v>0,0,0,0,5,0,0,0,0,5</v>
      </c>
      <c r="AK30" s="26" t="str">
        <f t="shared" ref="AK30" si="160">CQ$12</f>
        <v>100,1,1000,2,5,200,1,1000,2,5</v>
      </c>
      <c r="AL30" s="26" t="str">
        <f t="shared" ref="AL30" si="161">CR$12</f>
        <v>5,5,5,5,5,5,5,5,5,5</v>
      </c>
      <c r="AM30" s="7">
        <v>2001</v>
      </c>
      <c r="AO30">
        <f t="shared" ref="AO30" si="162">AQ30*100+9</f>
        <v>309</v>
      </c>
      <c r="AP30">
        <v>26</v>
      </c>
      <c r="AQ30">
        <f t="shared" si="13"/>
        <v>3</v>
      </c>
      <c r="AR30" s="17">
        <v>6</v>
      </c>
      <c r="AS30" s="17">
        <f t="shared" si="60"/>
        <v>90</v>
      </c>
      <c r="AT30" s="17">
        <v>5</v>
      </c>
      <c r="AU30">
        <f t="shared" si="14"/>
        <v>20</v>
      </c>
      <c r="AV30">
        <v>150</v>
      </c>
      <c r="AW30">
        <f t="shared" si="15"/>
        <v>13553.049599999998</v>
      </c>
      <c r="AX30">
        <f t="shared" si="104"/>
        <v>66960000</v>
      </c>
      <c r="AY30">
        <f t="shared" si="17"/>
        <v>1116</v>
      </c>
      <c r="AZ30">
        <f t="shared" si="18"/>
        <v>2232</v>
      </c>
      <c r="BA30">
        <f t="shared" si="19"/>
        <v>17280</v>
      </c>
      <c r="BB30">
        <f t="shared" si="20"/>
        <v>558</v>
      </c>
      <c r="BC30">
        <f t="shared" si="105"/>
        <v>66960000</v>
      </c>
      <c r="BD30">
        <f t="shared" si="22"/>
        <v>0.29411764705882354</v>
      </c>
      <c r="BE30" s="27">
        <f t="shared" si="106"/>
        <v>13338833.76</v>
      </c>
      <c r="BF30" s="30">
        <f t="shared" si="24"/>
        <v>0.30719999999999997</v>
      </c>
      <c r="BG30" s="27"/>
      <c r="BH30" s="27"/>
      <c r="BI30" s="27"/>
      <c r="CA30" s="20">
        <f t="shared" si="25"/>
        <v>110</v>
      </c>
      <c r="CB30" s="20">
        <f t="shared" si="26"/>
        <v>11000</v>
      </c>
      <c r="CC30" s="31"/>
      <c r="CD30" s="20">
        <v>103</v>
      </c>
      <c r="CE30" s="20" t="s">
        <v>162</v>
      </c>
      <c r="CF30" s="20">
        <v>28</v>
      </c>
      <c r="CG30" s="20">
        <v>0</v>
      </c>
      <c r="CH30" s="20">
        <v>0</v>
      </c>
      <c r="CI30" s="20">
        <v>0</v>
      </c>
      <c r="CJ30" s="20">
        <v>1000</v>
      </c>
      <c r="CK30" s="20">
        <v>5</v>
      </c>
      <c r="CM30" s="20"/>
    </row>
    <row r="31" spans="1:91" x14ac:dyDescent="0.15">
      <c r="A31">
        <v>401</v>
      </c>
      <c r="B31" s="3" t="s">
        <v>108</v>
      </c>
      <c r="C31" s="4" t="s">
        <v>109</v>
      </c>
      <c r="D31" s="4" t="s">
        <v>110</v>
      </c>
      <c r="E31" s="5">
        <v>3</v>
      </c>
      <c r="F31" s="7" t="s">
        <v>141</v>
      </c>
      <c r="G31" s="5">
        <v>2.5</v>
      </c>
      <c r="H31" s="7" t="s">
        <v>194</v>
      </c>
      <c r="I31" s="5">
        <v>0</v>
      </c>
      <c r="J31" s="5">
        <v>0</v>
      </c>
      <c r="K31">
        <v>2</v>
      </c>
      <c r="L31">
        <v>1.5</v>
      </c>
      <c r="M31" s="5">
        <v>1.5</v>
      </c>
      <c r="N31" s="5">
        <v>10</v>
      </c>
      <c r="O31" s="5">
        <f t="shared" si="9"/>
        <v>8825</v>
      </c>
      <c r="P31" s="5">
        <f t="shared" si="10"/>
        <v>43524000</v>
      </c>
      <c r="Q31" s="5">
        <f t="shared" si="11"/>
        <v>725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70011</v>
      </c>
      <c r="X31" s="6" t="s">
        <v>179</v>
      </c>
      <c r="Y31" s="5">
        <v>300</v>
      </c>
      <c r="Z31" s="5">
        <v>1</v>
      </c>
      <c r="AA31" s="5">
        <v>3123036</v>
      </c>
      <c r="AB31" s="16" t="s">
        <v>111</v>
      </c>
      <c r="AC31" s="7" t="s">
        <v>112</v>
      </c>
      <c r="AD31" s="7" t="s">
        <v>112</v>
      </c>
      <c r="AE31" s="7" t="s">
        <v>112</v>
      </c>
      <c r="AF31" s="6" t="s">
        <v>113</v>
      </c>
      <c r="AG31" s="26" t="str">
        <f t="shared" ref="AG31" si="163">CM$4</f>
        <v>4,33,28,33,6,4,33,28,33,6</v>
      </c>
      <c r="AH31" s="26" t="str">
        <f t="shared" ref="AH31" si="164">CN$4</f>
        <v>0,8,0,8,1,0,8,0,8,1</v>
      </c>
      <c r="AI31" s="26" t="str">
        <f t="shared" ref="AI31" si="165">CO$4</f>
        <v>0,0,0,0,1,0,0,0,0,1</v>
      </c>
      <c r="AJ31" s="26" t="str">
        <f t="shared" ref="AJ31" si="166">CP$4</f>
        <v>0,0,0,0,5,0,0,0,0,5</v>
      </c>
      <c r="AK31" s="26" t="str">
        <f t="shared" ref="AK31" si="167">CQ$4</f>
        <v>100,1,1000,2,5,200,1,1000,2,5</v>
      </c>
      <c r="AL31" s="26" t="str">
        <f t="shared" ref="AL31" si="168">CR$4</f>
        <v>5,5,5,5,5,5,5,5,5,5</v>
      </c>
      <c r="AM31" s="7">
        <v>2001</v>
      </c>
      <c r="AO31">
        <f t="shared" ref="AO31" si="169">AQ31*100+1</f>
        <v>401</v>
      </c>
      <c r="AP31">
        <v>27</v>
      </c>
      <c r="AQ31">
        <f t="shared" si="13"/>
        <v>4</v>
      </c>
      <c r="AR31" s="17">
        <v>6</v>
      </c>
      <c r="AS31" s="17">
        <f t="shared" si="60"/>
        <v>55</v>
      </c>
      <c r="AT31" s="17">
        <v>5</v>
      </c>
      <c r="AU31">
        <f t="shared" si="14"/>
        <v>20</v>
      </c>
      <c r="AV31">
        <v>150</v>
      </c>
      <c r="AW31">
        <f t="shared" si="15"/>
        <v>8825.6563200000001</v>
      </c>
      <c r="AX31">
        <f t="shared" si="104"/>
        <v>43524000</v>
      </c>
      <c r="AY31">
        <f t="shared" si="17"/>
        <v>725.4</v>
      </c>
      <c r="AZ31">
        <f t="shared" si="18"/>
        <v>1450.8</v>
      </c>
      <c r="BA31">
        <f t="shared" si="19"/>
        <v>11232</v>
      </c>
      <c r="BB31">
        <f t="shared" si="20"/>
        <v>362.7</v>
      </c>
      <c r="BC31">
        <f t="shared" si="105"/>
        <v>43524000</v>
      </c>
      <c r="BD31">
        <f t="shared" si="22"/>
        <v>0.29411764705882354</v>
      </c>
      <c r="BE31" s="27">
        <f t="shared" si="106"/>
        <v>5635657.2636000002</v>
      </c>
      <c r="BF31" s="30">
        <f t="shared" si="24"/>
        <v>0.30959999999999999</v>
      </c>
      <c r="BG31" s="27"/>
      <c r="BH31" s="27"/>
      <c r="BI31" s="27"/>
      <c r="CA31" s="20">
        <f t="shared" si="25"/>
        <v>115</v>
      </c>
      <c r="CB31" s="20">
        <f t="shared" si="26"/>
        <v>11500</v>
      </c>
      <c r="CC31" s="31"/>
      <c r="CD31" s="20">
        <v>103</v>
      </c>
      <c r="CE31" s="20" t="s">
        <v>154</v>
      </c>
      <c r="CF31" s="20">
        <v>6</v>
      </c>
      <c r="CG31" s="20">
        <v>1</v>
      </c>
      <c r="CH31" s="20">
        <v>0</v>
      </c>
      <c r="CI31" s="20">
        <v>5</v>
      </c>
      <c r="CJ31" s="20">
        <v>5</v>
      </c>
      <c r="CK31" s="20">
        <v>5</v>
      </c>
      <c r="CM31" s="20"/>
    </row>
    <row r="32" spans="1:91" x14ac:dyDescent="0.15">
      <c r="A32">
        <v>402</v>
      </c>
      <c r="B32" s="3" t="s">
        <v>115</v>
      </c>
      <c r="C32" s="4" t="s">
        <v>109</v>
      </c>
      <c r="D32" s="6" t="s">
        <v>110</v>
      </c>
      <c r="E32" s="5">
        <v>3</v>
      </c>
      <c r="F32" s="7" t="s">
        <v>142</v>
      </c>
      <c r="G32" s="5">
        <v>3</v>
      </c>
      <c r="H32" s="7" t="s">
        <v>188</v>
      </c>
      <c r="I32" s="5">
        <v>0</v>
      </c>
      <c r="J32" s="5">
        <v>0</v>
      </c>
      <c r="K32">
        <v>2</v>
      </c>
      <c r="L32">
        <v>1.5</v>
      </c>
      <c r="M32" s="5">
        <v>1.5</v>
      </c>
      <c r="N32" s="5">
        <v>10</v>
      </c>
      <c r="O32" s="5">
        <f t="shared" si="9"/>
        <v>9504</v>
      </c>
      <c r="P32" s="5">
        <f t="shared" si="10"/>
        <v>46872000</v>
      </c>
      <c r="Q32" s="5">
        <f t="shared" si="11"/>
        <v>781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70021</v>
      </c>
      <c r="X32" s="6" t="s">
        <v>180</v>
      </c>
      <c r="Y32" s="5">
        <v>300</v>
      </c>
      <c r="Z32" s="5">
        <v>1</v>
      </c>
      <c r="AA32" s="5">
        <v>888330</v>
      </c>
      <c r="AB32" s="16" t="s">
        <v>111</v>
      </c>
      <c r="AC32" s="7" t="s">
        <v>112</v>
      </c>
      <c r="AD32" s="7" t="s">
        <v>112</v>
      </c>
      <c r="AE32" s="7" t="s">
        <v>112</v>
      </c>
      <c r="AF32" s="6" t="s">
        <v>113</v>
      </c>
      <c r="AG32" s="26" t="str">
        <f t="shared" ref="AG32" si="170">CM$5</f>
        <v>4,33,28,33,6,4,33,28,33,6</v>
      </c>
      <c r="AH32" s="26" t="str">
        <f t="shared" ref="AH32" si="171">CN$5</f>
        <v>0,7,0,7,1,0,7,0,7,1</v>
      </c>
      <c r="AI32" s="26" t="str">
        <f t="shared" ref="AI32" si="172">CO$5</f>
        <v>0,0,0,0,1,0,0,0,0,1</v>
      </c>
      <c r="AJ32" s="26" t="str">
        <f t="shared" ref="AJ32" si="173">CP$5</f>
        <v>0,0,0,0,5,0,0,0,0,5</v>
      </c>
      <c r="AK32" s="26" t="str">
        <f t="shared" ref="AK32" si="174">CQ$5</f>
        <v>100,1,1000,2,5,200,1,1000,2,5</v>
      </c>
      <c r="AL32" s="26" t="str">
        <f t="shared" ref="AL32" si="175">CR$5</f>
        <v>5,5,5,5,5,5,5,5,5,5</v>
      </c>
      <c r="AM32" s="7">
        <v>2001</v>
      </c>
      <c r="AO32">
        <f t="shared" ref="AO32" si="176">AQ32*100+2</f>
        <v>402</v>
      </c>
      <c r="AP32">
        <v>28</v>
      </c>
      <c r="AQ32">
        <f t="shared" si="13"/>
        <v>4</v>
      </c>
      <c r="AR32" s="17">
        <v>6</v>
      </c>
      <c r="AS32" s="17">
        <f t="shared" si="60"/>
        <v>60</v>
      </c>
      <c r="AT32" s="17">
        <v>5</v>
      </c>
      <c r="AU32">
        <f t="shared" si="14"/>
        <v>20</v>
      </c>
      <c r="AV32">
        <v>150</v>
      </c>
      <c r="AW32">
        <f t="shared" si="15"/>
        <v>9504.5529600000009</v>
      </c>
      <c r="AX32">
        <f t="shared" si="104"/>
        <v>46872000</v>
      </c>
      <c r="AY32">
        <f t="shared" si="17"/>
        <v>781.2</v>
      </c>
      <c r="AZ32">
        <f t="shared" si="18"/>
        <v>1562.4</v>
      </c>
      <c r="BA32">
        <f t="shared" si="19"/>
        <v>12096</v>
      </c>
      <c r="BB32">
        <f t="shared" si="20"/>
        <v>390.6</v>
      </c>
      <c r="BC32">
        <f t="shared" si="105"/>
        <v>46872000</v>
      </c>
      <c r="BD32">
        <f t="shared" si="22"/>
        <v>0.29411764705882348</v>
      </c>
      <c r="BE32" s="27">
        <f t="shared" si="106"/>
        <v>6536028.5423999997</v>
      </c>
      <c r="BF32" s="30">
        <f t="shared" si="24"/>
        <v>0.30959999999999999</v>
      </c>
      <c r="BG32" s="27"/>
      <c r="BH32" s="27"/>
      <c r="BI32" s="27"/>
      <c r="CA32" s="20">
        <f t="shared" si="25"/>
        <v>115</v>
      </c>
      <c r="CB32" s="20">
        <f t="shared" si="26"/>
        <v>11500</v>
      </c>
      <c r="CC32" s="31"/>
      <c r="CD32" s="20">
        <v>103</v>
      </c>
      <c r="CE32" s="20" t="s">
        <v>163</v>
      </c>
      <c r="CF32" s="20">
        <v>28</v>
      </c>
      <c r="CG32" s="20">
        <v>0</v>
      </c>
      <c r="CH32" s="20">
        <v>0</v>
      </c>
      <c r="CI32" s="20">
        <v>0</v>
      </c>
      <c r="CJ32" s="20">
        <v>1500</v>
      </c>
      <c r="CK32" s="20">
        <v>5</v>
      </c>
      <c r="CM32" s="20"/>
    </row>
    <row r="33" spans="1:91" x14ac:dyDescent="0.15">
      <c r="A33">
        <v>403</v>
      </c>
      <c r="B33" s="3" t="s">
        <v>117</v>
      </c>
      <c r="C33" s="4" t="s">
        <v>109</v>
      </c>
      <c r="D33" s="4" t="s">
        <v>110</v>
      </c>
      <c r="E33" s="5">
        <v>1</v>
      </c>
      <c r="F33" s="7" t="s">
        <v>144</v>
      </c>
      <c r="G33" s="5">
        <v>3</v>
      </c>
      <c r="H33" s="7" t="s">
        <v>189</v>
      </c>
      <c r="I33" s="5">
        <v>0</v>
      </c>
      <c r="J33" s="2">
        <v>0</v>
      </c>
      <c r="K33">
        <v>6</v>
      </c>
      <c r="L33">
        <v>1.5</v>
      </c>
      <c r="M33" s="5">
        <v>1.5</v>
      </c>
      <c r="N33" s="5">
        <v>10</v>
      </c>
      <c r="O33" s="5">
        <f t="shared" si="9"/>
        <v>10183</v>
      </c>
      <c r="P33" s="5">
        <f t="shared" si="10"/>
        <v>50220000</v>
      </c>
      <c r="Q33" s="5">
        <f t="shared" si="11"/>
        <v>837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70031</v>
      </c>
      <c r="X33" s="6" t="s">
        <v>181</v>
      </c>
      <c r="Y33" s="5">
        <v>300</v>
      </c>
      <c r="Z33" s="5">
        <v>1</v>
      </c>
      <c r="AA33" s="5">
        <v>1124293</v>
      </c>
      <c r="AB33" s="16" t="s">
        <v>111</v>
      </c>
      <c r="AC33" s="7" t="s">
        <v>112</v>
      </c>
      <c r="AD33" s="7" t="s">
        <v>112</v>
      </c>
      <c r="AE33" s="7" t="s">
        <v>112</v>
      </c>
      <c r="AF33" s="6" t="s">
        <v>113</v>
      </c>
      <c r="AG33" s="26" t="str">
        <f t="shared" ref="AG33" si="177">CM$6</f>
        <v>4,28,6,28,6,4,28,6,28,6</v>
      </c>
      <c r="AH33" s="26" t="str">
        <f t="shared" ref="AH33" si="178">CN$6</f>
        <v>0,0,1,0,1,0,0,1,0,1</v>
      </c>
      <c r="AI33" s="26" t="str">
        <f t="shared" ref="AI33" si="179">CO$6</f>
        <v>0,0,0,0,1,0,0,0,0,1</v>
      </c>
      <c r="AJ33" s="26" t="str">
        <f t="shared" ref="AJ33" si="180">CP$6</f>
        <v>0,0,5,0,5,0,0,5,0,5</v>
      </c>
      <c r="AK33" s="26" t="str">
        <f t="shared" ref="AK33" si="181">CQ$6</f>
        <v>100,1000,5,1500,5,200,1000,5,1500,5</v>
      </c>
      <c r="AL33" s="26" t="str">
        <f t="shared" ref="AL33" si="182">CR$6</f>
        <v>5,5,5,5,5,5,5,5,5,5</v>
      </c>
      <c r="AM33" s="7">
        <v>2001</v>
      </c>
      <c r="AO33">
        <f t="shared" ref="AO33" si="183">AQ33*100+3</f>
        <v>403</v>
      </c>
      <c r="AP33">
        <v>29</v>
      </c>
      <c r="AQ33">
        <f t="shared" si="13"/>
        <v>4</v>
      </c>
      <c r="AR33" s="17">
        <v>6</v>
      </c>
      <c r="AS33" s="17">
        <f t="shared" si="60"/>
        <v>65</v>
      </c>
      <c r="AT33" s="17">
        <v>5</v>
      </c>
      <c r="AU33">
        <f t="shared" si="14"/>
        <v>20</v>
      </c>
      <c r="AV33">
        <v>150</v>
      </c>
      <c r="AW33">
        <f t="shared" si="15"/>
        <v>10183.4496</v>
      </c>
      <c r="AX33">
        <f t="shared" si="104"/>
        <v>50220000</v>
      </c>
      <c r="AY33">
        <f t="shared" si="17"/>
        <v>837</v>
      </c>
      <c r="AZ33">
        <f t="shared" si="18"/>
        <v>1674</v>
      </c>
      <c r="BA33">
        <f t="shared" si="19"/>
        <v>12960</v>
      </c>
      <c r="BB33">
        <f t="shared" si="20"/>
        <v>418.5</v>
      </c>
      <c r="BC33">
        <f t="shared" si="105"/>
        <v>50220000</v>
      </c>
      <c r="BD33">
        <f t="shared" si="22"/>
        <v>0.29411764705882354</v>
      </c>
      <c r="BE33" s="27">
        <f t="shared" si="106"/>
        <v>7503093.9900000012</v>
      </c>
      <c r="BF33" s="30">
        <f t="shared" si="24"/>
        <v>0.30959999999999999</v>
      </c>
      <c r="BG33" s="27"/>
      <c r="BH33" s="27"/>
      <c r="BI33" s="27"/>
      <c r="CA33" s="20">
        <f t="shared" si="25"/>
        <v>115</v>
      </c>
      <c r="CB33" s="20">
        <f t="shared" si="26"/>
        <v>11500</v>
      </c>
      <c r="CC33" s="31"/>
      <c r="CD33" s="20">
        <v>103</v>
      </c>
      <c r="CE33" s="20" t="s">
        <v>155</v>
      </c>
      <c r="CF33" s="20">
        <v>6</v>
      </c>
      <c r="CG33" s="20">
        <v>1</v>
      </c>
      <c r="CH33" s="20">
        <v>1</v>
      </c>
      <c r="CI33" s="20">
        <v>5</v>
      </c>
      <c r="CJ33" s="20">
        <v>5</v>
      </c>
      <c r="CK33" s="20">
        <v>5</v>
      </c>
      <c r="CM33" s="20"/>
    </row>
    <row r="34" spans="1:91" x14ac:dyDescent="0.15">
      <c r="A34">
        <v>404</v>
      </c>
      <c r="B34" s="3" t="s">
        <v>119</v>
      </c>
      <c r="C34" s="4" t="s">
        <v>109</v>
      </c>
      <c r="D34" s="6" t="s">
        <v>120</v>
      </c>
      <c r="E34" s="5">
        <v>3</v>
      </c>
      <c r="F34" s="7" t="s">
        <v>145</v>
      </c>
      <c r="G34" s="5">
        <v>3</v>
      </c>
      <c r="H34" s="7" t="s">
        <v>190</v>
      </c>
      <c r="I34" s="5">
        <v>0</v>
      </c>
      <c r="J34" s="5">
        <v>0</v>
      </c>
      <c r="K34">
        <v>2</v>
      </c>
      <c r="L34">
        <v>1.5</v>
      </c>
      <c r="M34" s="5">
        <v>1.5</v>
      </c>
      <c r="N34" s="5">
        <v>10</v>
      </c>
      <c r="O34" s="5">
        <f t="shared" si="9"/>
        <v>10862</v>
      </c>
      <c r="P34" s="5">
        <f t="shared" si="10"/>
        <v>53568000</v>
      </c>
      <c r="Q34" s="5">
        <f t="shared" si="11"/>
        <v>892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70041</v>
      </c>
      <c r="X34" s="6" t="s">
        <v>182</v>
      </c>
      <c r="Y34" s="5">
        <v>300</v>
      </c>
      <c r="Z34" s="5">
        <v>1</v>
      </c>
      <c r="AA34" s="5">
        <v>1388016</v>
      </c>
      <c r="AB34" s="16" t="s">
        <v>111</v>
      </c>
      <c r="AC34" s="7" t="s">
        <v>112</v>
      </c>
      <c r="AD34" s="7" t="s">
        <v>112</v>
      </c>
      <c r="AE34" s="7" t="s">
        <v>112</v>
      </c>
      <c r="AF34" s="6" t="s">
        <v>113</v>
      </c>
      <c r="AG34" s="26" t="str">
        <f t="shared" ref="AG34" si="184">CM$7</f>
        <v>4,14,28,14,6,4,14,28,14,6</v>
      </c>
      <c r="AH34" s="26" t="str">
        <f t="shared" ref="AH34" si="185">CN$7</f>
        <v>0,0,0,0,1,0,0,0,0,1</v>
      </c>
      <c r="AI34" s="26" t="str">
        <f t="shared" ref="AI34" si="186">CO$7</f>
        <v>0,0,0,0,1,0,0,0,0,1</v>
      </c>
      <c r="AJ34" s="26" t="str">
        <f t="shared" ref="AJ34" si="187">CP$7</f>
        <v>0,0,0,0,5,0,0,0,0,5</v>
      </c>
      <c r="AK34" s="26" t="str">
        <f t="shared" ref="AK34" si="188">CQ$7</f>
        <v>100,1,1000,2,5,200,1,1000,2,5</v>
      </c>
      <c r="AL34" s="26" t="str">
        <f t="shared" ref="AL34" si="189">CR$7</f>
        <v>5,5,5,5,5,5,5,5,5,5</v>
      </c>
      <c r="AM34" s="7">
        <v>2001</v>
      </c>
      <c r="AO34">
        <f t="shared" ref="AO34" si="190">AQ34*100+4</f>
        <v>404</v>
      </c>
      <c r="AP34">
        <v>30</v>
      </c>
      <c r="AQ34">
        <f t="shared" si="13"/>
        <v>4</v>
      </c>
      <c r="AR34" s="17">
        <v>6</v>
      </c>
      <c r="AS34" s="17">
        <f t="shared" si="60"/>
        <v>70</v>
      </c>
      <c r="AT34" s="17">
        <v>5</v>
      </c>
      <c r="AU34">
        <f t="shared" si="14"/>
        <v>20</v>
      </c>
      <c r="AV34">
        <v>150</v>
      </c>
      <c r="AW34">
        <f t="shared" si="15"/>
        <v>10862.346240000001</v>
      </c>
      <c r="AX34">
        <f t="shared" si="104"/>
        <v>53568000.000000007</v>
      </c>
      <c r="AY34">
        <f t="shared" si="17"/>
        <v>892.80000000000007</v>
      </c>
      <c r="AZ34">
        <f t="shared" si="18"/>
        <v>1785.6000000000001</v>
      </c>
      <c r="BA34">
        <f t="shared" si="19"/>
        <v>13824</v>
      </c>
      <c r="BB34">
        <f t="shared" si="20"/>
        <v>446.40000000000003</v>
      </c>
      <c r="BC34">
        <f t="shared" si="105"/>
        <v>53568000.000000007</v>
      </c>
      <c r="BD34">
        <f t="shared" si="22"/>
        <v>0.29411764705882354</v>
      </c>
      <c r="BE34" s="27">
        <f t="shared" si="106"/>
        <v>8536853.6064000037</v>
      </c>
      <c r="BF34" s="30">
        <f t="shared" si="24"/>
        <v>0.30959999999999999</v>
      </c>
      <c r="BG34" s="27"/>
      <c r="BH34" s="27"/>
      <c r="BI34" s="27"/>
      <c r="CA34" s="20">
        <f t="shared" si="25"/>
        <v>115</v>
      </c>
      <c r="CB34" s="20">
        <f t="shared" si="26"/>
        <v>11500</v>
      </c>
      <c r="CC34" s="31" t="s">
        <v>164</v>
      </c>
      <c r="CD34" s="20">
        <v>104</v>
      </c>
      <c r="CE34" s="20" t="s">
        <v>152</v>
      </c>
      <c r="CF34" s="20">
        <v>4</v>
      </c>
      <c r="CG34" s="20">
        <v>0</v>
      </c>
      <c r="CH34" s="20">
        <v>0</v>
      </c>
      <c r="CI34" s="20">
        <v>0</v>
      </c>
      <c r="CJ34" s="20">
        <v>100</v>
      </c>
      <c r="CK34" s="20">
        <v>5</v>
      </c>
      <c r="CM34" s="20"/>
    </row>
    <row r="35" spans="1:91" x14ac:dyDescent="0.15">
      <c r="A35">
        <v>405</v>
      </c>
      <c r="B35" s="3" t="s">
        <v>122</v>
      </c>
      <c r="C35" s="4" t="s">
        <v>109</v>
      </c>
      <c r="D35" s="4" t="s">
        <v>110</v>
      </c>
      <c r="E35" s="5">
        <v>2</v>
      </c>
      <c r="F35" s="7" t="s">
        <v>146</v>
      </c>
      <c r="G35" s="5">
        <v>3</v>
      </c>
      <c r="H35" s="7" t="s">
        <v>191</v>
      </c>
      <c r="I35" s="5">
        <v>0</v>
      </c>
      <c r="J35" s="7" t="s">
        <v>148</v>
      </c>
      <c r="K35">
        <v>6</v>
      </c>
      <c r="L35">
        <v>1.5</v>
      </c>
      <c r="M35" s="5">
        <v>1.5</v>
      </c>
      <c r="N35" s="5">
        <v>10</v>
      </c>
      <c r="O35" s="5">
        <f t="shared" si="9"/>
        <v>11541</v>
      </c>
      <c r="P35" s="5">
        <f t="shared" si="10"/>
        <v>56916000</v>
      </c>
      <c r="Q35" s="5">
        <f t="shared" si="11"/>
        <v>948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70051</v>
      </c>
      <c r="X35" s="6" t="s">
        <v>183</v>
      </c>
      <c r="Y35" s="5">
        <v>300</v>
      </c>
      <c r="Z35" s="5">
        <v>1</v>
      </c>
      <c r="AA35" s="5">
        <v>1679499</v>
      </c>
      <c r="AB35" s="16" t="s">
        <v>111</v>
      </c>
      <c r="AC35" s="7" t="s">
        <v>112</v>
      </c>
      <c r="AD35" s="7" t="s">
        <v>112</v>
      </c>
      <c r="AE35" s="7" t="s">
        <v>112</v>
      </c>
      <c r="AF35" s="6" t="s">
        <v>113</v>
      </c>
      <c r="AG35" s="26" t="str">
        <f t="shared" ref="AG35" si="191">CM$8</f>
        <v>4,19,28,19,6,4,19,28,19,6</v>
      </c>
      <c r="AH35" s="26" t="str">
        <f t="shared" ref="AH35" si="192">CN$8</f>
        <v>0,0,0,0,1,0,0,0,0,1</v>
      </c>
      <c r="AI35" s="26" t="str">
        <f t="shared" ref="AI35" si="193">CO$8</f>
        <v>0,0,0,0,1,0,0,0,0,1</v>
      </c>
      <c r="AJ35" s="26" t="str">
        <f t="shared" ref="AJ35" si="194">CP$8</f>
        <v>0,0,0,0,5,0,0,0,0,5</v>
      </c>
      <c r="AK35" s="26" t="str">
        <f t="shared" ref="AK35" si="195">CQ$8</f>
        <v>200,100,1000,200,5,200,100,1000,200,5</v>
      </c>
      <c r="AL35" s="26" t="str">
        <f t="shared" ref="AL35" si="196">CR$8</f>
        <v>5,5,5,5,5,5,5,5,5,5</v>
      </c>
      <c r="AM35" s="7">
        <v>2001</v>
      </c>
      <c r="AO35">
        <f t="shared" ref="AO35" si="197">AQ35*100+5</f>
        <v>405</v>
      </c>
      <c r="AP35">
        <v>31</v>
      </c>
      <c r="AQ35">
        <f t="shared" si="13"/>
        <v>4</v>
      </c>
      <c r="AR35" s="17">
        <v>6</v>
      </c>
      <c r="AS35" s="17">
        <f t="shared" si="60"/>
        <v>75</v>
      </c>
      <c r="AT35" s="17">
        <v>5</v>
      </c>
      <c r="AU35">
        <f t="shared" si="14"/>
        <v>20</v>
      </c>
      <c r="AV35">
        <v>150</v>
      </c>
      <c r="AW35">
        <f t="shared" si="15"/>
        <v>11541.24288</v>
      </c>
      <c r="AX35">
        <f t="shared" si="104"/>
        <v>56916000</v>
      </c>
      <c r="AY35">
        <f t="shared" si="17"/>
        <v>948.6</v>
      </c>
      <c r="AZ35">
        <f t="shared" si="18"/>
        <v>1897.2</v>
      </c>
      <c r="BA35">
        <f t="shared" si="19"/>
        <v>14688</v>
      </c>
      <c r="BB35">
        <f t="shared" si="20"/>
        <v>474.3</v>
      </c>
      <c r="BC35">
        <f t="shared" si="105"/>
        <v>56916000</v>
      </c>
      <c r="BD35">
        <f t="shared" si="22"/>
        <v>0.29411764705882348</v>
      </c>
      <c r="BE35" s="27">
        <f t="shared" si="106"/>
        <v>9637307.3916000016</v>
      </c>
      <c r="BF35" s="30">
        <f t="shared" si="24"/>
        <v>0.30959999999999999</v>
      </c>
      <c r="BG35" s="27"/>
      <c r="BH35" s="27"/>
      <c r="BI35" s="27"/>
      <c r="CA35" s="20">
        <f t="shared" si="25"/>
        <v>115</v>
      </c>
      <c r="CB35" s="20">
        <f t="shared" si="26"/>
        <v>11500</v>
      </c>
      <c r="CC35" s="31"/>
      <c r="CD35" s="20">
        <v>104</v>
      </c>
      <c r="CE35" s="20" t="s">
        <v>165</v>
      </c>
      <c r="CF35" s="20">
        <v>14</v>
      </c>
      <c r="CG35" s="20">
        <v>0</v>
      </c>
      <c r="CH35" s="20">
        <v>0</v>
      </c>
      <c r="CI35" s="20">
        <v>0</v>
      </c>
      <c r="CJ35" s="20">
        <v>1</v>
      </c>
      <c r="CK35" s="20">
        <v>5</v>
      </c>
      <c r="CM35" s="20"/>
    </row>
    <row r="36" spans="1:91" x14ac:dyDescent="0.15">
      <c r="A36">
        <v>406</v>
      </c>
      <c r="B36" s="3" t="s">
        <v>124</v>
      </c>
      <c r="C36" s="4" t="s">
        <v>109</v>
      </c>
      <c r="D36" s="6" t="s">
        <v>120</v>
      </c>
      <c r="E36" s="5">
        <v>1</v>
      </c>
      <c r="F36" s="7" t="s">
        <v>147</v>
      </c>
      <c r="G36" s="5">
        <v>3</v>
      </c>
      <c r="H36" s="7" t="s">
        <v>192</v>
      </c>
      <c r="I36" s="5">
        <v>0</v>
      </c>
      <c r="J36" s="7" t="s">
        <v>149</v>
      </c>
      <c r="K36">
        <v>6</v>
      </c>
      <c r="L36">
        <v>1.5</v>
      </c>
      <c r="M36" s="5">
        <v>1.5</v>
      </c>
      <c r="N36" s="5">
        <v>10</v>
      </c>
      <c r="O36" s="5">
        <f t="shared" si="9"/>
        <v>12220</v>
      </c>
      <c r="P36" s="5">
        <f t="shared" si="10"/>
        <v>60264000</v>
      </c>
      <c r="Q36" s="5">
        <f t="shared" si="11"/>
        <v>1004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70061</v>
      </c>
      <c r="X36" s="6" t="s">
        <v>184</v>
      </c>
      <c r="Y36" s="5">
        <v>300</v>
      </c>
      <c r="Z36" s="5">
        <v>1</v>
      </c>
      <c r="AA36" s="5">
        <v>1998743</v>
      </c>
      <c r="AB36" s="16" t="s">
        <v>111</v>
      </c>
      <c r="AC36" s="7" t="s">
        <v>112</v>
      </c>
      <c r="AD36" s="7" t="s">
        <v>112</v>
      </c>
      <c r="AE36" s="7" t="s">
        <v>112</v>
      </c>
      <c r="AF36" s="6" t="s">
        <v>113</v>
      </c>
      <c r="AG36" s="26" t="str">
        <f t="shared" ref="AG36" si="198">CM$9</f>
        <v>4,33,28,33,6,4,33,28,33,6</v>
      </c>
      <c r="AH36" s="26" t="str">
        <f t="shared" ref="AH36" si="199">CN$9</f>
        <v>0,6,0,6,1,0,6,0,6,1</v>
      </c>
      <c r="AI36" s="26" t="str">
        <f t="shared" ref="AI36" si="200">CO$9</f>
        <v>0,0,0,0,1,0,0,0,0,1</v>
      </c>
      <c r="AJ36" s="26" t="str">
        <f t="shared" ref="AJ36" si="201">CP$9</f>
        <v>0,0,0,0,5,0,0,0,0,5</v>
      </c>
      <c r="AK36" s="26" t="str">
        <f t="shared" ref="AK36" si="202">CQ$9</f>
        <v>200,1,1000,2,5,200,1,1000,2,5</v>
      </c>
      <c r="AL36" s="26" t="str">
        <f t="shared" ref="AL36" si="203">CR$9</f>
        <v>5,5,5,5,5,5,5,5,5,5</v>
      </c>
      <c r="AM36" s="7">
        <v>2001</v>
      </c>
      <c r="AO36">
        <f t="shared" ref="AO36" si="204">AQ36*100+6</f>
        <v>406</v>
      </c>
      <c r="AP36">
        <v>32</v>
      </c>
      <c r="AQ36">
        <f t="shared" si="13"/>
        <v>4</v>
      </c>
      <c r="AR36" s="17">
        <v>6</v>
      </c>
      <c r="AS36" s="17">
        <f t="shared" si="60"/>
        <v>80</v>
      </c>
      <c r="AT36" s="17">
        <v>5</v>
      </c>
      <c r="AU36">
        <f t="shared" si="14"/>
        <v>20</v>
      </c>
      <c r="AV36">
        <v>150</v>
      </c>
      <c r="AW36">
        <f t="shared" si="15"/>
        <v>12220.139519999999</v>
      </c>
      <c r="AX36">
        <f t="shared" si="104"/>
        <v>60264000</v>
      </c>
      <c r="AY36">
        <f t="shared" si="17"/>
        <v>1004.4</v>
      </c>
      <c r="AZ36">
        <f t="shared" si="18"/>
        <v>2008.8</v>
      </c>
      <c r="BA36">
        <f t="shared" si="19"/>
        <v>15552</v>
      </c>
      <c r="BB36">
        <f t="shared" si="20"/>
        <v>502.2</v>
      </c>
      <c r="BC36">
        <f t="shared" si="105"/>
        <v>60264000</v>
      </c>
      <c r="BD36">
        <f t="shared" si="22"/>
        <v>0.29411764705882354</v>
      </c>
      <c r="BE36" s="27">
        <f t="shared" si="106"/>
        <v>10804455.345599998</v>
      </c>
      <c r="BF36" s="30">
        <f t="shared" si="24"/>
        <v>0.30959999999999999</v>
      </c>
      <c r="BG36" s="27"/>
      <c r="BH36" s="27"/>
      <c r="BI36" s="27"/>
      <c r="CA36" s="20">
        <f t="shared" si="25"/>
        <v>115</v>
      </c>
      <c r="CB36" s="20">
        <f t="shared" si="26"/>
        <v>11500</v>
      </c>
      <c r="CC36" s="31"/>
      <c r="CD36" s="20">
        <v>104</v>
      </c>
      <c r="CE36" s="20" t="s">
        <v>162</v>
      </c>
      <c r="CF36" s="20">
        <v>28</v>
      </c>
      <c r="CG36" s="20">
        <v>0</v>
      </c>
      <c r="CH36" s="20">
        <v>0</v>
      </c>
      <c r="CI36" s="20">
        <v>0</v>
      </c>
      <c r="CJ36" s="20">
        <v>1000</v>
      </c>
      <c r="CK36" s="20">
        <v>5</v>
      </c>
      <c r="CM36" s="20"/>
    </row>
    <row r="37" spans="1:91" x14ac:dyDescent="0.15">
      <c r="A37">
        <v>407</v>
      </c>
      <c r="B37" s="3" t="s">
        <v>126</v>
      </c>
      <c r="C37" s="4" t="s">
        <v>109</v>
      </c>
      <c r="D37" s="4" t="s">
        <v>110</v>
      </c>
      <c r="E37" s="5">
        <v>2</v>
      </c>
      <c r="F37" s="7" t="s">
        <v>143</v>
      </c>
      <c r="G37" s="5">
        <v>3</v>
      </c>
      <c r="H37" s="7" t="s">
        <v>193</v>
      </c>
      <c r="I37" s="5">
        <v>0</v>
      </c>
      <c r="J37" s="5">
        <v>0</v>
      </c>
      <c r="K37">
        <v>2</v>
      </c>
      <c r="L37">
        <v>1.5</v>
      </c>
      <c r="M37" s="5">
        <v>1.5</v>
      </c>
      <c r="N37" s="5">
        <v>10</v>
      </c>
      <c r="O37" s="5">
        <f t="shared" si="9"/>
        <v>12899</v>
      </c>
      <c r="P37" s="5">
        <f t="shared" si="10"/>
        <v>63612000</v>
      </c>
      <c r="Q37" s="5">
        <f t="shared" si="11"/>
        <v>1060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70071</v>
      </c>
      <c r="X37" s="6" t="s">
        <v>185</v>
      </c>
      <c r="Y37" s="5">
        <v>300</v>
      </c>
      <c r="Z37" s="5">
        <v>1</v>
      </c>
      <c r="AA37" s="5">
        <v>2345747</v>
      </c>
      <c r="AB37" s="16" t="s">
        <v>111</v>
      </c>
      <c r="AC37" s="7" t="s">
        <v>112</v>
      </c>
      <c r="AD37" s="7" t="s">
        <v>112</v>
      </c>
      <c r="AE37" s="7" t="s">
        <v>112</v>
      </c>
      <c r="AF37" s="6" t="s">
        <v>113</v>
      </c>
      <c r="AG37" s="26" t="str">
        <f t="shared" ref="AG37" si="205">CM$10</f>
        <v>4,14,28,14,6,4,14,28,14,6</v>
      </c>
      <c r="AH37" s="26" t="str">
        <f t="shared" ref="AH37" si="206">CN$10</f>
        <v>0,0,0,0,1,0,0,0,0,1</v>
      </c>
      <c r="AI37" s="26" t="str">
        <f t="shared" ref="AI37" si="207">CO$10</f>
        <v>0,0,0,0,1,0,0,0,0,1</v>
      </c>
      <c r="AJ37" s="26" t="str">
        <f t="shared" ref="AJ37" si="208">CP$10</f>
        <v>0,0,0,0,5,0,0,0,0,5</v>
      </c>
      <c r="AK37" s="26" t="str">
        <f t="shared" ref="AK37" si="209">CQ$10</f>
        <v>200,1,1000,2,5,200,1,1000,2,5</v>
      </c>
      <c r="AL37" s="26" t="str">
        <f t="shared" ref="AL37" si="210">CR$10</f>
        <v>5,5,5,5,5,5,5,5,5,5</v>
      </c>
      <c r="AM37" s="7">
        <v>2001</v>
      </c>
      <c r="AO37">
        <f t="shared" ref="AO37" si="211">AQ37*100+7</f>
        <v>407</v>
      </c>
      <c r="AP37">
        <v>33</v>
      </c>
      <c r="AQ37">
        <f t="shared" si="13"/>
        <v>4</v>
      </c>
      <c r="AR37" s="17">
        <v>6</v>
      </c>
      <c r="AS37" s="17">
        <f t="shared" si="60"/>
        <v>85</v>
      </c>
      <c r="AT37" s="17">
        <v>5</v>
      </c>
      <c r="AU37">
        <f t="shared" si="14"/>
        <v>20</v>
      </c>
      <c r="AV37">
        <v>150</v>
      </c>
      <c r="AW37">
        <f t="shared" si="15"/>
        <v>12899.036160000001</v>
      </c>
      <c r="AX37">
        <f t="shared" si="104"/>
        <v>63612000</v>
      </c>
      <c r="AY37">
        <f t="shared" si="17"/>
        <v>1060.2</v>
      </c>
      <c r="AZ37">
        <f t="shared" si="18"/>
        <v>2120.4</v>
      </c>
      <c r="BA37">
        <f t="shared" si="19"/>
        <v>16416</v>
      </c>
      <c r="BB37">
        <f t="shared" si="20"/>
        <v>530.1</v>
      </c>
      <c r="BC37">
        <f t="shared" si="105"/>
        <v>63612000</v>
      </c>
      <c r="BD37">
        <f t="shared" si="22"/>
        <v>0.29411764705882348</v>
      </c>
      <c r="BE37" s="27">
        <f t="shared" si="106"/>
        <v>12038297.4684</v>
      </c>
      <c r="BF37" s="30">
        <f t="shared" si="24"/>
        <v>0.30959999999999999</v>
      </c>
      <c r="BG37" s="27"/>
      <c r="BH37" s="27"/>
      <c r="BI37" s="27"/>
      <c r="CA37" s="20">
        <f t="shared" si="25"/>
        <v>115</v>
      </c>
      <c r="CB37" s="20">
        <f t="shared" si="26"/>
        <v>11500</v>
      </c>
      <c r="CC37" s="31"/>
      <c r="CD37" s="20">
        <v>104</v>
      </c>
      <c r="CE37" s="20" t="s">
        <v>166</v>
      </c>
      <c r="CF37" s="20">
        <v>14</v>
      </c>
      <c r="CG37" s="20">
        <v>0</v>
      </c>
      <c r="CH37" s="20">
        <v>0</v>
      </c>
      <c r="CI37" s="20">
        <v>0</v>
      </c>
      <c r="CJ37" s="20">
        <v>2</v>
      </c>
      <c r="CK37" s="20">
        <v>5</v>
      </c>
      <c r="CM37" s="20"/>
    </row>
    <row r="38" spans="1:91" x14ac:dyDescent="0.15">
      <c r="A38">
        <v>408</v>
      </c>
      <c r="B38" s="3" t="s">
        <v>128</v>
      </c>
      <c r="C38" s="4" t="s">
        <v>109</v>
      </c>
      <c r="D38" s="4" t="s">
        <v>110</v>
      </c>
      <c r="E38" s="5">
        <v>5</v>
      </c>
      <c r="F38" s="7" t="s">
        <v>129</v>
      </c>
      <c r="G38" s="5">
        <v>2</v>
      </c>
      <c r="H38" s="7" t="s">
        <v>130</v>
      </c>
      <c r="I38" s="5">
        <v>0</v>
      </c>
      <c r="J38" s="5">
        <v>0</v>
      </c>
      <c r="K38">
        <v>2</v>
      </c>
      <c r="L38">
        <v>1.5</v>
      </c>
      <c r="M38" s="5">
        <v>1.5</v>
      </c>
      <c r="N38" s="5">
        <v>10</v>
      </c>
      <c r="O38" s="5">
        <f t="shared" si="9"/>
        <v>13577</v>
      </c>
      <c r="P38" s="5">
        <f t="shared" si="10"/>
        <v>66960000</v>
      </c>
      <c r="Q38" s="5">
        <f t="shared" si="11"/>
        <v>1116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70081</v>
      </c>
      <c r="X38" s="6" t="s">
        <v>186</v>
      </c>
      <c r="Y38" s="5">
        <v>300</v>
      </c>
      <c r="Z38" s="5">
        <v>1</v>
      </c>
      <c r="AA38" s="5">
        <v>2720511</v>
      </c>
      <c r="AB38" s="16" t="s">
        <v>111</v>
      </c>
      <c r="AC38" s="7" t="s">
        <v>112</v>
      </c>
      <c r="AD38" s="7" t="s">
        <v>112</v>
      </c>
      <c r="AE38" s="7" t="s">
        <v>112</v>
      </c>
      <c r="AF38" s="6" t="s">
        <v>113</v>
      </c>
      <c r="AG38" s="26" t="str">
        <f t="shared" ref="AG38" si="212">CM$11</f>
        <v>4,28,6,28,6,4,28,6,28,6</v>
      </c>
      <c r="AH38" s="26" t="str">
        <f t="shared" ref="AH38" si="213">CN$11</f>
        <v>0,0,1,0,1,0,0,1,0,1</v>
      </c>
      <c r="AI38" s="26" t="str">
        <f t="shared" ref="AI38" si="214">CO$11</f>
        <v>0,0,1,0,1,0,0,1,0,1</v>
      </c>
      <c r="AJ38" s="26" t="str">
        <f t="shared" ref="AJ38" si="215">CP$11</f>
        <v>0,0,5,0,5,0,0,5,0,5</v>
      </c>
      <c r="AK38" s="26" t="str">
        <f t="shared" ref="AK38" si="216">CQ$11</f>
        <v>100,1000,5,1500,5,200,1000,5,1500,5</v>
      </c>
      <c r="AL38" s="26" t="str">
        <f t="shared" ref="AL38" si="217">CR$11</f>
        <v>5,5,5,5,5,5,5,5,5,5</v>
      </c>
      <c r="AM38" s="7">
        <v>2001</v>
      </c>
      <c r="AO38">
        <f t="shared" ref="AO38" si="218">AQ38*100+8</f>
        <v>408</v>
      </c>
      <c r="AP38">
        <v>34</v>
      </c>
      <c r="AQ38">
        <f t="shared" si="13"/>
        <v>4</v>
      </c>
      <c r="AR38" s="17">
        <v>6</v>
      </c>
      <c r="AS38" s="17">
        <f t="shared" si="60"/>
        <v>90</v>
      </c>
      <c r="AT38" s="17">
        <v>5</v>
      </c>
      <c r="AU38">
        <f t="shared" si="14"/>
        <v>20</v>
      </c>
      <c r="AV38">
        <v>150</v>
      </c>
      <c r="AW38">
        <f t="shared" si="15"/>
        <v>13577.9328</v>
      </c>
      <c r="AX38">
        <f t="shared" si="104"/>
        <v>66960000</v>
      </c>
      <c r="AY38">
        <f t="shared" si="17"/>
        <v>1116</v>
      </c>
      <c r="AZ38">
        <f t="shared" si="18"/>
        <v>2232</v>
      </c>
      <c r="BA38">
        <f t="shared" si="19"/>
        <v>17280</v>
      </c>
      <c r="BB38">
        <f t="shared" si="20"/>
        <v>558</v>
      </c>
      <c r="BC38">
        <f t="shared" si="105"/>
        <v>66960000</v>
      </c>
      <c r="BD38">
        <f t="shared" si="22"/>
        <v>0.29411764705882354</v>
      </c>
      <c r="BE38" s="27">
        <f t="shared" si="106"/>
        <v>13338833.76</v>
      </c>
      <c r="BF38" s="30">
        <f t="shared" si="24"/>
        <v>0.30959999999999999</v>
      </c>
      <c r="BG38" s="27"/>
      <c r="BH38" s="27"/>
      <c r="BI38" s="27"/>
      <c r="CA38" s="20">
        <f t="shared" si="25"/>
        <v>115</v>
      </c>
      <c r="CB38" s="20">
        <f t="shared" si="26"/>
        <v>11500</v>
      </c>
      <c r="CC38" s="31"/>
      <c r="CD38" s="20">
        <v>104</v>
      </c>
      <c r="CE38" s="20" t="s">
        <v>155</v>
      </c>
      <c r="CF38" s="20">
        <v>6</v>
      </c>
      <c r="CG38" s="20">
        <v>1</v>
      </c>
      <c r="CH38" s="20">
        <v>1</v>
      </c>
      <c r="CI38" s="20">
        <v>5</v>
      </c>
      <c r="CJ38" s="20">
        <v>5</v>
      </c>
      <c r="CK38" s="20">
        <v>5</v>
      </c>
      <c r="CM38" s="20"/>
    </row>
    <row r="39" spans="1:91" x14ac:dyDescent="0.15">
      <c r="A39">
        <v>409</v>
      </c>
      <c r="B39" s="3" t="s">
        <v>132</v>
      </c>
      <c r="C39" s="4" t="s">
        <v>109</v>
      </c>
      <c r="D39" s="4" t="s">
        <v>110</v>
      </c>
      <c r="E39" s="5">
        <v>5</v>
      </c>
      <c r="F39" s="7" t="s">
        <v>140</v>
      </c>
      <c r="G39" s="5">
        <v>3</v>
      </c>
      <c r="H39" s="7" t="s">
        <v>140</v>
      </c>
      <c r="I39" s="5">
        <v>0</v>
      </c>
      <c r="J39" s="7">
        <v>0</v>
      </c>
      <c r="K39">
        <v>6</v>
      </c>
      <c r="L39">
        <v>1.5</v>
      </c>
      <c r="M39" s="5">
        <v>1.5</v>
      </c>
      <c r="N39" s="5">
        <v>10</v>
      </c>
      <c r="O39" s="5">
        <f t="shared" si="9"/>
        <v>14256</v>
      </c>
      <c r="P39" s="5">
        <f t="shared" si="10"/>
        <v>70308000</v>
      </c>
      <c r="Q39" s="5">
        <f t="shared" si="11"/>
        <v>1171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70091</v>
      </c>
      <c r="X39" s="6" t="s">
        <v>187</v>
      </c>
      <c r="Y39" s="5">
        <v>300</v>
      </c>
      <c r="Z39" s="5">
        <v>1</v>
      </c>
      <c r="AA39" s="5">
        <v>3123036</v>
      </c>
      <c r="AB39" s="16" t="s">
        <v>111</v>
      </c>
      <c r="AC39" s="7" t="s">
        <v>112</v>
      </c>
      <c r="AD39" s="7" t="s">
        <v>112</v>
      </c>
      <c r="AE39" s="7" t="s">
        <v>112</v>
      </c>
      <c r="AF39" s="6" t="s">
        <v>113</v>
      </c>
      <c r="AG39" s="26" t="str">
        <f t="shared" ref="AG39" si="219">CM$12</f>
        <v>4,33,28,33,6,4,33,28,33,6</v>
      </c>
      <c r="AH39" s="26" t="str">
        <f t="shared" ref="AH39" si="220">CN$12</f>
        <v>0,5,0,5,1,0,5,0,5,1</v>
      </c>
      <c r="AI39" s="26" t="str">
        <f t="shared" ref="AI39" si="221">CO$12</f>
        <v>0,0,0,0,1,0,0,0,0,1</v>
      </c>
      <c r="AJ39" s="26" t="str">
        <f t="shared" ref="AJ39" si="222">CP$12</f>
        <v>0,0,0,0,5,0,0,0,0,5</v>
      </c>
      <c r="AK39" s="26" t="str">
        <f t="shared" ref="AK39" si="223">CQ$12</f>
        <v>100,1,1000,2,5,200,1,1000,2,5</v>
      </c>
      <c r="AL39" s="26" t="str">
        <f t="shared" ref="AL39" si="224">CR$12</f>
        <v>5,5,5,5,5,5,5,5,5,5</v>
      </c>
      <c r="AM39" s="7">
        <v>2001</v>
      </c>
      <c r="AO39">
        <f t="shared" ref="AO39" si="225">AQ39*100+9</f>
        <v>409</v>
      </c>
      <c r="AP39">
        <v>35</v>
      </c>
      <c r="AQ39">
        <f t="shared" si="13"/>
        <v>4</v>
      </c>
      <c r="AR39" s="17">
        <v>6</v>
      </c>
      <c r="AS39" s="17">
        <f t="shared" si="60"/>
        <v>95</v>
      </c>
      <c r="AT39" s="17">
        <v>5</v>
      </c>
      <c r="AU39">
        <f t="shared" si="14"/>
        <v>20</v>
      </c>
      <c r="AV39">
        <v>150</v>
      </c>
      <c r="AW39">
        <f t="shared" si="15"/>
        <v>14256.829440000001</v>
      </c>
      <c r="AX39">
        <f t="shared" si="104"/>
        <v>70308000</v>
      </c>
      <c r="AY39">
        <f t="shared" si="17"/>
        <v>1171.8</v>
      </c>
      <c r="AZ39">
        <f t="shared" si="18"/>
        <v>2343.6</v>
      </c>
      <c r="BA39">
        <f t="shared" si="19"/>
        <v>18144</v>
      </c>
      <c r="BB39">
        <f t="shared" si="20"/>
        <v>585.9</v>
      </c>
      <c r="BC39">
        <f t="shared" si="105"/>
        <v>70308000</v>
      </c>
      <c r="BD39">
        <f t="shared" si="22"/>
        <v>0.29411764705882354</v>
      </c>
      <c r="BE39" s="27">
        <f t="shared" si="106"/>
        <v>14706064.2204</v>
      </c>
      <c r="BF39" s="30">
        <f t="shared" si="24"/>
        <v>0.30959999999999999</v>
      </c>
      <c r="BG39" s="27"/>
      <c r="BH39" s="27"/>
      <c r="BI39" s="27"/>
      <c r="CA39" s="20">
        <f t="shared" si="25"/>
        <v>115</v>
      </c>
      <c r="CB39" s="20">
        <f t="shared" si="26"/>
        <v>11500</v>
      </c>
      <c r="CC39" s="31"/>
      <c r="CD39" s="20">
        <v>104</v>
      </c>
      <c r="CE39" s="20" t="s">
        <v>153</v>
      </c>
      <c r="CF39" s="20">
        <v>4</v>
      </c>
      <c r="CG39" s="20">
        <v>0</v>
      </c>
      <c r="CH39" s="20">
        <v>0</v>
      </c>
      <c r="CI39" s="20">
        <v>0</v>
      </c>
      <c r="CJ39" s="20">
        <v>200</v>
      </c>
      <c r="CK39" s="20">
        <v>5</v>
      </c>
      <c r="CM39" s="20"/>
    </row>
    <row r="40" spans="1:91" x14ac:dyDescent="0.15">
      <c r="A40">
        <v>501</v>
      </c>
      <c r="B40" s="3" t="s">
        <v>108</v>
      </c>
      <c r="C40" s="4" t="s">
        <v>109</v>
      </c>
      <c r="D40" s="4" t="s">
        <v>110</v>
      </c>
      <c r="E40" s="5">
        <v>3</v>
      </c>
      <c r="F40" s="7" t="s">
        <v>141</v>
      </c>
      <c r="G40" s="5">
        <v>2.5</v>
      </c>
      <c r="H40" s="7" t="s">
        <v>194</v>
      </c>
      <c r="I40" s="5">
        <v>0</v>
      </c>
      <c r="J40" s="5">
        <v>0</v>
      </c>
      <c r="K40">
        <v>2</v>
      </c>
      <c r="L40">
        <v>1.5</v>
      </c>
      <c r="M40" s="5">
        <v>1.5</v>
      </c>
      <c r="N40" s="5">
        <v>10</v>
      </c>
      <c r="O40" s="5">
        <f t="shared" si="9"/>
        <v>9521</v>
      </c>
      <c r="P40" s="5">
        <f t="shared" si="10"/>
        <v>46872000</v>
      </c>
      <c r="Q40" s="5">
        <f t="shared" si="11"/>
        <v>781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70011</v>
      </c>
      <c r="X40" s="6" t="s">
        <v>179</v>
      </c>
      <c r="Y40" s="5">
        <v>300</v>
      </c>
      <c r="Z40" s="5">
        <v>1</v>
      </c>
      <c r="AA40" s="5">
        <v>3553321</v>
      </c>
      <c r="AB40" s="16" t="s">
        <v>111</v>
      </c>
      <c r="AC40" s="7" t="s">
        <v>112</v>
      </c>
      <c r="AD40" s="7" t="s">
        <v>112</v>
      </c>
      <c r="AE40" s="7" t="s">
        <v>112</v>
      </c>
      <c r="AF40" s="6" t="s">
        <v>113</v>
      </c>
      <c r="AG40" s="26" t="str">
        <f t="shared" ref="AG40" si="226">CM$4</f>
        <v>4,33,28,33,6,4,33,28,33,6</v>
      </c>
      <c r="AH40" s="26" t="str">
        <f t="shared" ref="AH40" si="227">CN$4</f>
        <v>0,8,0,8,1,0,8,0,8,1</v>
      </c>
      <c r="AI40" s="26" t="str">
        <f t="shared" ref="AI40" si="228">CO$4</f>
        <v>0,0,0,0,1,0,0,0,0,1</v>
      </c>
      <c r="AJ40" s="26" t="str">
        <f t="shared" ref="AJ40" si="229">CP$4</f>
        <v>0,0,0,0,5,0,0,0,0,5</v>
      </c>
      <c r="AK40" s="26" t="str">
        <f t="shared" ref="AK40" si="230">CQ$4</f>
        <v>100,1,1000,2,5,200,1,1000,2,5</v>
      </c>
      <c r="AL40" s="26" t="str">
        <f t="shared" ref="AL40" si="231">CR$4</f>
        <v>5,5,5,5,5,5,5,5,5,5</v>
      </c>
      <c r="AM40" s="7">
        <v>2001</v>
      </c>
      <c r="AO40">
        <f t="shared" ref="AO40" si="232">AQ40*100+1</f>
        <v>501</v>
      </c>
      <c r="AP40">
        <v>36</v>
      </c>
      <c r="AQ40">
        <f t="shared" si="13"/>
        <v>5</v>
      </c>
      <c r="AR40" s="17">
        <v>6</v>
      </c>
      <c r="AS40" s="17">
        <f t="shared" si="60"/>
        <v>60</v>
      </c>
      <c r="AT40" s="17">
        <v>5</v>
      </c>
      <c r="AU40">
        <f t="shared" si="14"/>
        <v>20</v>
      </c>
      <c r="AV40">
        <v>150</v>
      </c>
      <c r="AW40">
        <f t="shared" si="15"/>
        <v>9521.9712</v>
      </c>
      <c r="AX40">
        <f t="shared" si="104"/>
        <v>46872000</v>
      </c>
      <c r="AY40">
        <f t="shared" si="17"/>
        <v>781.2</v>
      </c>
      <c r="AZ40">
        <f t="shared" si="18"/>
        <v>1562.4</v>
      </c>
      <c r="BA40">
        <f t="shared" si="19"/>
        <v>12096</v>
      </c>
      <c r="BB40">
        <f t="shared" si="20"/>
        <v>390.6</v>
      </c>
      <c r="BC40">
        <f t="shared" si="105"/>
        <v>46872000</v>
      </c>
      <c r="BD40">
        <f t="shared" si="22"/>
        <v>0.29411764705882348</v>
      </c>
      <c r="BE40" s="27">
        <f t="shared" si="106"/>
        <v>6536028.5423999997</v>
      </c>
      <c r="BF40" s="30">
        <f t="shared" si="24"/>
        <v>0.312</v>
      </c>
      <c r="BG40" s="27"/>
      <c r="BH40" s="27"/>
      <c r="BI40" s="27"/>
      <c r="CA40" s="20">
        <f t="shared" si="25"/>
        <v>120</v>
      </c>
      <c r="CB40" s="20">
        <f t="shared" si="26"/>
        <v>12000</v>
      </c>
      <c r="CC40" s="31"/>
      <c r="CD40" s="20">
        <v>104</v>
      </c>
      <c r="CE40" s="20" t="s">
        <v>165</v>
      </c>
      <c r="CF40" s="20">
        <v>14</v>
      </c>
      <c r="CG40" s="20">
        <v>0</v>
      </c>
      <c r="CH40" s="20">
        <v>0</v>
      </c>
      <c r="CI40" s="20">
        <v>0</v>
      </c>
      <c r="CJ40" s="20">
        <v>1</v>
      </c>
      <c r="CK40" s="20">
        <v>5</v>
      </c>
      <c r="CM40" s="20"/>
    </row>
    <row r="41" spans="1:91" x14ac:dyDescent="0.15">
      <c r="A41">
        <v>502</v>
      </c>
      <c r="B41" s="3" t="s">
        <v>115</v>
      </c>
      <c r="C41" s="4" t="s">
        <v>109</v>
      </c>
      <c r="D41" s="6" t="s">
        <v>110</v>
      </c>
      <c r="E41" s="5">
        <v>3</v>
      </c>
      <c r="F41" s="7" t="s">
        <v>142</v>
      </c>
      <c r="G41" s="5">
        <v>3</v>
      </c>
      <c r="H41" s="7" t="s">
        <v>188</v>
      </c>
      <c r="I41" s="5">
        <v>0</v>
      </c>
      <c r="J41" s="5">
        <v>0</v>
      </c>
      <c r="K41">
        <v>2</v>
      </c>
      <c r="L41">
        <v>1.5</v>
      </c>
      <c r="M41" s="5">
        <v>1.5</v>
      </c>
      <c r="N41" s="5">
        <v>10</v>
      </c>
      <c r="O41" s="5">
        <f t="shared" si="9"/>
        <v>10202</v>
      </c>
      <c r="P41" s="5">
        <f t="shared" si="10"/>
        <v>50220000</v>
      </c>
      <c r="Q41" s="5">
        <f t="shared" si="11"/>
        <v>837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70021</v>
      </c>
      <c r="X41" s="6" t="s">
        <v>180</v>
      </c>
      <c r="Y41" s="5">
        <v>300</v>
      </c>
      <c r="Z41" s="5">
        <v>1</v>
      </c>
      <c r="AA41" s="5">
        <v>1124293</v>
      </c>
      <c r="AB41" s="16" t="s">
        <v>111</v>
      </c>
      <c r="AC41" s="7" t="s">
        <v>112</v>
      </c>
      <c r="AD41" s="7" t="s">
        <v>112</v>
      </c>
      <c r="AE41" s="7" t="s">
        <v>112</v>
      </c>
      <c r="AF41" s="6" t="s">
        <v>113</v>
      </c>
      <c r="AG41" s="26" t="str">
        <f t="shared" ref="AG41" si="233">CM$5</f>
        <v>4,33,28,33,6,4,33,28,33,6</v>
      </c>
      <c r="AH41" s="26" t="str">
        <f t="shared" ref="AH41" si="234">CN$5</f>
        <v>0,7,0,7,1,0,7,0,7,1</v>
      </c>
      <c r="AI41" s="26" t="str">
        <f t="shared" ref="AI41" si="235">CO$5</f>
        <v>0,0,0,0,1,0,0,0,0,1</v>
      </c>
      <c r="AJ41" s="26" t="str">
        <f t="shared" ref="AJ41" si="236">CP$5</f>
        <v>0,0,0,0,5,0,0,0,0,5</v>
      </c>
      <c r="AK41" s="26" t="str">
        <f t="shared" ref="AK41" si="237">CQ$5</f>
        <v>100,1,1000,2,5,200,1,1000,2,5</v>
      </c>
      <c r="AL41" s="26" t="str">
        <f t="shared" ref="AL41" si="238">CR$5</f>
        <v>5,5,5,5,5,5,5,5,5,5</v>
      </c>
      <c r="AM41" s="7">
        <v>2001</v>
      </c>
      <c r="AO41">
        <f t="shared" ref="AO41" si="239">AQ41*100+2</f>
        <v>502</v>
      </c>
      <c r="AP41">
        <v>37</v>
      </c>
      <c r="AQ41">
        <f t="shared" si="13"/>
        <v>5</v>
      </c>
      <c r="AR41" s="17">
        <v>6</v>
      </c>
      <c r="AS41" s="17">
        <f t="shared" si="60"/>
        <v>65</v>
      </c>
      <c r="AT41" s="17">
        <v>5</v>
      </c>
      <c r="AU41">
        <f t="shared" si="14"/>
        <v>20</v>
      </c>
      <c r="AV41">
        <v>150</v>
      </c>
      <c r="AW41">
        <f t="shared" si="15"/>
        <v>10202.112000000001</v>
      </c>
      <c r="AX41">
        <f t="shared" si="104"/>
        <v>50220000</v>
      </c>
      <c r="AY41">
        <f t="shared" si="17"/>
        <v>837</v>
      </c>
      <c r="AZ41">
        <f t="shared" si="18"/>
        <v>1674</v>
      </c>
      <c r="BA41">
        <f t="shared" si="19"/>
        <v>12960</v>
      </c>
      <c r="BB41">
        <f t="shared" si="20"/>
        <v>418.5</v>
      </c>
      <c r="BC41">
        <f t="shared" si="105"/>
        <v>50220000</v>
      </c>
      <c r="BD41">
        <f t="shared" si="22"/>
        <v>0.29411764705882354</v>
      </c>
      <c r="BE41" s="27">
        <f t="shared" si="106"/>
        <v>7503093.9900000012</v>
      </c>
      <c r="BF41" s="30">
        <f t="shared" si="24"/>
        <v>0.312</v>
      </c>
      <c r="BG41" s="27"/>
      <c r="BH41" s="27"/>
      <c r="BI41" s="27"/>
      <c r="CA41" s="20">
        <f t="shared" si="25"/>
        <v>120</v>
      </c>
      <c r="CB41" s="20">
        <f t="shared" si="26"/>
        <v>12000</v>
      </c>
      <c r="CC41" s="31"/>
      <c r="CD41" s="20">
        <v>104</v>
      </c>
      <c r="CE41" s="20" t="s">
        <v>162</v>
      </c>
      <c r="CF41" s="20">
        <v>28</v>
      </c>
      <c r="CG41" s="20">
        <v>0</v>
      </c>
      <c r="CH41" s="20">
        <v>0</v>
      </c>
      <c r="CI41" s="20">
        <v>0</v>
      </c>
      <c r="CJ41" s="20">
        <v>1000</v>
      </c>
      <c r="CK41" s="20">
        <v>5</v>
      </c>
      <c r="CM41" s="20"/>
    </row>
    <row r="42" spans="1:91" x14ac:dyDescent="0.15">
      <c r="A42">
        <v>503</v>
      </c>
      <c r="B42" s="3" t="s">
        <v>117</v>
      </c>
      <c r="C42" s="4" t="s">
        <v>109</v>
      </c>
      <c r="D42" s="4" t="s">
        <v>110</v>
      </c>
      <c r="E42" s="5">
        <v>1</v>
      </c>
      <c r="F42" s="7" t="s">
        <v>144</v>
      </c>
      <c r="G42" s="5">
        <v>3</v>
      </c>
      <c r="H42" s="7" t="s">
        <v>189</v>
      </c>
      <c r="I42" s="5">
        <v>0</v>
      </c>
      <c r="J42" s="2">
        <v>0</v>
      </c>
      <c r="K42">
        <v>6</v>
      </c>
      <c r="L42">
        <v>1.5</v>
      </c>
      <c r="M42" s="5">
        <v>1.5</v>
      </c>
      <c r="N42" s="5">
        <v>10</v>
      </c>
      <c r="O42" s="5">
        <f t="shared" si="9"/>
        <v>10882</v>
      </c>
      <c r="P42" s="5">
        <f t="shared" si="10"/>
        <v>53568000</v>
      </c>
      <c r="Q42" s="5">
        <f t="shared" si="11"/>
        <v>892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70031</v>
      </c>
      <c r="X42" s="6" t="s">
        <v>181</v>
      </c>
      <c r="Y42" s="5">
        <v>300</v>
      </c>
      <c r="Z42" s="5">
        <v>1</v>
      </c>
      <c r="AA42" s="5">
        <v>1388016</v>
      </c>
      <c r="AB42" s="16" t="s">
        <v>111</v>
      </c>
      <c r="AC42" s="7" t="s">
        <v>112</v>
      </c>
      <c r="AD42" s="7" t="s">
        <v>112</v>
      </c>
      <c r="AE42" s="7" t="s">
        <v>112</v>
      </c>
      <c r="AF42" s="6" t="s">
        <v>113</v>
      </c>
      <c r="AG42" s="26" t="str">
        <f t="shared" ref="AG42" si="240">CM$6</f>
        <v>4,28,6,28,6,4,28,6,28,6</v>
      </c>
      <c r="AH42" s="26" t="str">
        <f t="shared" ref="AH42" si="241">CN$6</f>
        <v>0,0,1,0,1,0,0,1,0,1</v>
      </c>
      <c r="AI42" s="26" t="str">
        <f t="shared" ref="AI42" si="242">CO$6</f>
        <v>0,0,0,0,1,0,0,0,0,1</v>
      </c>
      <c r="AJ42" s="26" t="str">
        <f t="shared" ref="AJ42" si="243">CP$6</f>
        <v>0,0,5,0,5,0,0,5,0,5</v>
      </c>
      <c r="AK42" s="26" t="str">
        <f t="shared" ref="AK42" si="244">CQ$6</f>
        <v>100,1000,5,1500,5,200,1000,5,1500,5</v>
      </c>
      <c r="AL42" s="26" t="str">
        <f t="shared" ref="AL42" si="245">CR$6</f>
        <v>5,5,5,5,5,5,5,5,5,5</v>
      </c>
      <c r="AM42" s="7">
        <v>2001</v>
      </c>
      <c r="AO42">
        <f t="shared" ref="AO42" si="246">AQ42*100+3</f>
        <v>503</v>
      </c>
      <c r="AP42">
        <v>38</v>
      </c>
      <c r="AQ42">
        <f t="shared" si="13"/>
        <v>5</v>
      </c>
      <c r="AR42" s="17">
        <v>6</v>
      </c>
      <c r="AS42" s="17">
        <f t="shared" si="60"/>
        <v>70</v>
      </c>
      <c r="AT42" s="17">
        <v>5</v>
      </c>
      <c r="AU42">
        <f t="shared" si="14"/>
        <v>20</v>
      </c>
      <c r="AV42">
        <v>150</v>
      </c>
      <c r="AW42">
        <f t="shared" si="15"/>
        <v>10882.2528</v>
      </c>
      <c r="AX42">
        <f t="shared" si="104"/>
        <v>53568000.000000007</v>
      </c>
      <c r="AY42">
        <f t="shared" si="17"/>
        <v>892.80000000000007</v>
      </c>
      <c r="AZ42">
        <f t="shared" si="18"/>
        <v>1785.6000000000001</v>
      </c>
      <c r="BA42">
        <f t="shared" si="19"/>
        <v>13824</v>
      </c>
      <c r="BB42">
        <f t="shared" si="20"/>
        <v>446.40000000000003</v>
      </c>
      <c r="BC42">
        <f t="shared" si="105"/>
        <v>53568000.000000007</v>
      </c>
      <c r="BD42">
        <f t="shared" si="22"/>
        <v>0.29411764705882354</v>
      </c>
      <c r="BE42" s="27">
        <f t="shared" si="106"/>
        <v>8536853.6064000037</v>
      </c>
      <c r="BF42" s="30">
        <f t="shared" si="24"/>
        <v>0.312</v>
      </c>
      <c r="BG42" s="27"/>
      <c r="BH42" s="27"/>
      <c r="BI42" s="27"/>
      <c r="CA42" s="20">
        <f t="shared" si="25"/>
        <v>120</v>
      </c>
      <c r="CB42" s="20">
        <f t="shared" si="26"/>
        <v>12000</v>
      </c>
      <c r="CC42" s="31"/>
      <c r="CD42" s="20">
        <v>104</v>
      </c>
      <c r="CE42" s="20" t="s">
        <v>166</v>
      </c>
      <c r="CF42" s="20">
        <v>14</v>
      </c>
      <c r="CG42" s="20">
        <v>0</v>
      </c>
      <c r="CH42" s="20">
        <v>0</v>
      </c>
      <c r="CI42" s="20">
        <v>0</v>
      </c>
      <c r="CJ42" s="20">
        <v>2</v>
      </c>
      <c r="CK42" s="20">
        <v>5</v>
      </c>
      <c r="CM42" s="20"/>
    </row>
    <row r="43" spans="1:91" x14ac:dyDescent="0.15">
      <c r="A43">
        <v>504</v>
      </c>
      <c r="B43" s="3" t="s">
        <v>119</v>
      </c>
      <c r="C43" s="4" t="s">
        <v>109</v>
      </c>
      <c r="D43" s="6" t="s">
        <v>120</v>
      </c>
      <c r="E43" s="5">
        <v>3</v>
      </c>
      <c r="F43" s="7" t="s">
        <v>145</v>
      </c>
      <c r="G43" s="5">
        <v>3</v>
      </c>
      <c r="H43" s="7" t="s">
        <v>190</v>
      </c>
      <c r="I43" s="5">
        <v>0</v>
      </c>
      <c r="J43" s="5">
        <v>0</v>
      </c>
      <c r="K43">
        <v>2</v>
      </c>
      <c r="L43">
        <v>1.5</v>
      </c>
      <c r="M43" s="5">
        <v>1.5</v>
      </c>
      <c r="N43" s="5">
        <v>10</v>
      </c>
      <c r="O43" s="5">
        <f t="shared" si="9"/>
        <v>11562</v>
      </c>
      <c r="P43" s="5">
        <f t="shared" si="10"/>
        <v>56916000</v>
      </c>
      <c r="Q43" s="5">
        <f t="shared" si="11"/>
        <v>948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70041</v>
      </c>
      <c r="X43" s="6" t="s">
        <v>182</v>
      </c>
      <c r="Y43" s="5">
        <v>300</v>
      </c>
      <c r="Z43" s="5">
        <v>1</v>
      </c>
      <c r="AA43" s="5">
        <v>1679499</v>
      </c>
      <c r="AB43" s="16" t="s">
        <v>111</v>
      </c>
      <c r="AC43" s="7" t="s">
        <v>112</v>
      </c>
      <c r="AD43" s="7" t="s">
        <v>112</v>
      </c>
      <c r="AE43" s="7" t="s">
        <v>112</v>
      </c>
      <c r="AF43" s="6" t="s">
        <v>113</v>
      </c>
      <c r="AG43" s="26" t="str">
        <f t="shared" ref="AG43" si="247">CM$7</f>
        <v>4,14,28,14,6,4,14,28,14,6</v>
      </c>
      <c r="AH43" s="26" t="str">
        <f t="shared" ref="AH43" si="248">CN$7</f>
        <v>0,0,0,0,1,0,0,0,0,1</v>
      </c>
      <c r="AI43" s="26" t="str">
        <f t="shared" ref="AI43" si="249">CO$7</f>
        <v>0,0,0,0,1,0,0,0,0,1</v>
      </c>
      <c r="AJ43" s="26" t="str">
        <f t="shared" ref="AJ43" si="250">CP$7</f>
        <v>0,0,0,0,5,0,0,0,0,5</v>
      </c>
      <c r="AK43" s="26" t="str">
        <f t="shared" ref="AK43" si="251">CQ$7</f>
        <v>100,1,1000,2,5,200,1,1000,2,5</v>
      </c>
      <c r="AL43" s="26" t="str">
        <f t="shared" ref="AL43" si="252">CR$7</f>
        <v>5,5,5,5,5,5,5,5,5,5</v>
      </c>
      <c r="AM43" s="7">
        <v>2001</v>
      </c>
      <c r="AO43">
        <f t="shared" ref="AO43" si="253">AQ43*100+4</f>
        <v>504</v>
      </c>
      <c r="AP43">
        <v>39</v>
      </c>
      <c r="AQ43">
        <f t="shared" si="13"/>
        <v>5</v>
      </c>
      <c r="AR43" s="17">
        <v>6</v>
      </c>
      <c r="AS43" s="17">
        <f t="shared" si="60"/>
        <v>75</v>
      </c>
      <c r="AT43" s="17">
        <v>5</v>
      </c>
      <c r="AU43">
        <f t="shared" si="14"/>
        <v>20</v>
      </c>
      <c r="AV43">
        <v>150</v>
      </c>
      <c r="AW43">
        <f t="shared" si="15"/>
        <v>11562.393599999999</v>
      </c>
      <c r="AX43">
        <f t="shared" si="104"/>
        <v>56916000</v>
      </c>
      <c r="AY43">
        <f t="shared" si="17"/>
        <v>948.6</v>
      </c>
      <c r="AZ43">
        <f t="shared" si="18"/>
        <v>1897.2</v>
      </c>
      <c r="BA43">
        <f t="shared" si="19"/>
        <v>14688</v>
      </c>
      <c r="BB43">
        <f t="shared" si="20"/>
        <v>474.3</v>
      </c>
      <c r="BC43">
        <f t="shared" si="105"/>
        <v>56916000</v>
      </c>
      <c r="BD43">
        <f t="shared" si="22"/>
        <v>0.29411764705882348</v>
      </c>
      <c r="BE43" s="27">
        <f t="shared" si="106"/>
        <v>9637307.3916000016</v>
      </c>
      <c r="BF43" s="30">
        <f t="shared" si="24"/>
        <v>0.312</v>
      </c>
      <c r="BG43" s="27"/>
      <c r="BH43" s="27"/>
      <c r="BI43" s="27"/>
      <c r="CA43" s="20">
        <f t="shared" si="25"/>
        <v>120</v>
      </c>
      <c r="CB43" s="20">
        <f t="shared" si="26"/>
        <v>12000</v>
      </c>
      <c r="CC43" s="31"/>
      <c r="CD43" s="20">
        <v>104</v>
      </c>
      <c r="CE43" s="20" t="s">
        <v>155</v>
      </c>
      <c r="CF43" s="20">
        <v>6</v>
      </c>
      <c r="CG43" s="20">
        <v>1</v>
      </c>
      <c r="CH43" s="20">
        <v>1</v>
      </c>
      <c r="CI43" s="20">
        <v>5</v>
      </c>
      <c r="CJ43" s="20">
        <v>5</v>
      </c>
      <c r="CK43" s="20">
        <v>5</v>
      </c>
      <c r="CM43" s="20"/>
    </row>
    <row r="44" spans="1:91" x14ac:dyDescent="0.15">
      <c r="A44">
        <v>505</v>
      </c>
      <c r="B44" s="3" t="s">
        <v>122</v>
      </c>
      <c r="C44" s="4" t="s">
        <v>109</v>
      </c>
      <c r="D44" s="4" t="s">
        <v>110</v>
      </c>
      <c r="E44" s="5">
        <v>2</v>
      </c>
      <c r="F44" s="7" t="s">
        <v>146</v>
      </c>
      <c r="G44" s="5">
        <v>3</v>
      </c>
      <c r="H44" s="7" t="s">
        <v>191</v>
      </c>
      <c r="I44" s="5">
        <v>0</v>
      </c>
      <c r="J44" s="7" t="s">
        <v>148</v>
      </c>
      <c r="K44">
        <v>6</v>
      </c>
      <c r="L44">
        <v>1.5</v>
      </c>
      <c r="M44" s="5">
        <v>1.5</v>
      </c>
      <c r="N44" s="5">
        <v>10</v>
      </c>
      <c r="O44" s="5">
        <f t="shared" si="9"/>
        <v>12242</v>
      </c>
      <c r="P44" s="5">
        <f t="shared" si="10"/>
        <v>60264000</v>
      </c>
      <c r="Q44" s="5">
        <f t="shared" si="11"/>
        <v>1004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70051</v>
      </c>
      <c r="X44" s="6" t="s">
        <v>183</v>
      </c>
      <c r="Y44" s="5">
        <v>300</v>
      </c>
      <c r="Z44" s="5">
        <v>1</v>
      </c>
      <c r="AA44" s="5">
        <v>1998743</v>
      </c>
      <c r="AB44" s="16" t="s">
        <v>111</v>
      </c>
      <c r="AC44" s="7" t="s">
        <v>112</v>
      </c>
      <c r="AD44" s="7" t="s">
        <v>112</v>
      </c>
      <c r="AE44" s="7" t="s">
        <v>112</v>
      </c>
      <c r="AF44" s="6" t="s">
        <v>113</v>
      </c>
      <c r="AG44" s="26" t="str">
        <f t="shared" ref="AG44" si="254">CM$8</f>
        <v>4,19,28,19,6,4,19,28,19,6</v>
      </c>
      <c r="AH44" s="26" t="str">
        <f t="shared" ref="AH44" si="255">CN$8</f>
        <v>0,0,0,0,1,0,0,0,0,1</v>
      </c>
      <c r="AI44" s="26" t="str">
        <f t="shared" ref="AI44" si="256">CO$8</f>
        <v>0,0,0,0,1,0,0,0,0,1</v>
      </c>
      <c r="AJ44" s="26" t="str">
        <f t="shared" ref="AJ44" si="257">CP$8</f>
        <v>0,0,0,0,5,0,0,0,0,5</v>
      </c>
      <c r="AK44" s="26" t="str">
        <f t="shared" ref="AK44" si="258">CQ$8</f>
        <v>200,100,1000,200,5,200,100,1000,200,5</v>
      </c>
      <c r="AL44" s="26" t="str">
        <f t="shared" ref="AL44" si="259">CR$8</f>
        <v>5,5,5,5,5,5,5,5,5,5</v>
      </c>
      <c r="AM44" s="7">
        <v>2001</v>
      </c>
      <c r="AO44">
        <f t="shared" ref="AO44" si="260">AQ44*100+5</f>
        <v>505</v>
      </c>
      <c r="AP44">
        <v>40</v>
      </c>
      <c r="AQ44">
        <f t="shared" si="13"/>
        <v>5</v>
      </c>
      <c r="AR44" s="17">
        <v>6</v>
      </c>
      <c r="AS44" s="17">
        <f t="shared" si="60"/>
        <v>80</v>
      </c>
      <c r="AT44" s="17">
        <v>5</v>
      </c>
      <c r="AU44">
        <f t="shared" si="14"/>
        <v>20</v>
      </c>
      <c r="AV44">
        <v>150</v>
      </c>
      <c r="AW44">
        <f t="shared" si="15"/>
        <v>12242.534399999999</v>
      </c>
      <c r="AX44">
        <f t="shared" si="104"/>
        <v>60264000</v>
      </c>
      <c r="AY44">
        <f t="shared" si="17"/>
        <v>1004.4</v>
      </c>
      <c r="AZ44">
        <f t="shared" si="18"/>
        <v>2008.8</v>
      </c>
      <c r="BA44">
        <f t="shared" si="19"/>
        <v>15552</v>
      </c>
      <c r="BB44">
        <f t="shared" si="20"/>
        <v>502.2</v>
      </c>
      <c r="BC44">
        <f t="shared" si="105"/>
        <v>60264000</v>
      </c>
      <c r="BD44">
        <f t="shared" si="22"/>
        <v>0.29411764705882354</v>
      </c>
      <c r="BE44" s="27">
        <f t="shared" si="106"/>
        <v>10804455.345599998</v>
      </c>
      <c r="BF44" s="30">
        <f t="shared" si="24"/>
        <v>0.312</v>
      </c>
      <c r="BG44" s="27"/>
      <c r="BH44" s="27"/>
      <c r="BI44" s="27"/>
      <c r="CA44" s="20">
        <f t="shared" si="25"/>
        <v>120</v>
      </c>
      <c r="CB44" s="20">
        <f t="shared" si="26"/>
        <v>12000</v>
      </c>
      <c r="CC44" s="31" t="s">
        <v>167</v>
      </c>
      <c r="CD44" s="20">
        <v>105</v>
      </c>
      <c r="CE44" s="20" t="s">
        <v>152</v>
      </c>
      <c r="CF44" s="20">
        <v>4</v>
      </c>
      <c r="CG44" s="20">
        <v>0</v>
      </c>
      <c r="CH44" s="20">
        <v>0</v>
      </c>
      <c r="CI44" s="20">
        <v>0</v>
      </c>
      <c r="CJ44" s="20">
        <v>200</v>
      </c>
      <c r="CK44" s="20">
        <v>5</v>
      </c>
      <c r="CM44" s="20"/>
    </row>
    <row r="45" spans="1:91" x14ac:dyDescent="0.15">
      <c r="A45">
        <v>506</v>
      </c>
      <c r="B45" s="3" t="s">
        <v>124</v>
      </c>
      <c r="C45" s="4" t="s">
        <v>109</v>
      </c>
      <c r="D45" s="6" t="s">
        <v>120</v>
      </c>
      <c r="E45" s="5">
        <v>1</v>
      </c>
      <c r="F45" s="7" t="s">
        <v>147</v>
      </c>
      <c r="G45" s="5">
        <v>3</v>
      </c>
      <c r="H45" s="7" t="s">
        <v>192</v>
      </c>
      <c r="I45" s="5">
        <v>0</v>
      </c>
      <c r="J45" s="7" t="s">
        <v>149</v>
      </c>
      <c r="K45">
        <v>6</v>
      </c>
      <c r="L45">
        <v>1.5</v>
      </c>
      <c r="M45" s="5">
        <v>1.5</v>
      </c>
      <c r="N45" s="5">
        <v>10</v>
      </c>
      <c r="O45" s="5">
        <f t="shared" si="9"/>
        <v>12922</v>
      </c>
      <c r="P45" s="5">
        <f t="shared" si="10"/>
        <v>63612000</v>
      </c>
      <c r="Q45" s="5">
        <f t="shared" si="11"/>
        <v>1060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70061</v>
      </c>
      <c r="X45" s="6" t="s">
        <v>184</v>
      </c>
      <c r="Y45" s="5">
        <v>300</v>
      </c>
      <c r="Z45" s="5">
        <v>1</v>
      </c>
      <c r="AA45" s="5">
        <v>2345747</v>
      </c>
      <c r="AB45" s="16" t="s">
        <v>111</v>
      </c>
      <c r="AC45" s="7" t="s">
        <v>112</v>
      </c>
      <c r="AD45" s="7" t="s">
        <v>112</v>
      </c>
      <c r="AE45" s="7" t="s">
        <v>112</v>
      </c>
      <c r="AF45" s="6" t="s">
        <v>113</v>
      </c>
      <c r="AG45" s="26" t="str">
        <f t="shared" ref="AG45" si="261">CM$9</f>
        <v>4,33,28,33,6,4,33,28,33,6</v>
      </c>
      <c r="AH45" s="26" t="str">
        <f t="shared" ref="AH45" si="262">CN$9</f>
        <v>0,6,0,6,1,0,6,0,6,1</v>
      </c>
      <c r="AI45" s="26" t="str">
        <f t="shared" ref="AI45" si="263">CO$9</f>
        <v>0,0,0,0,1,0,0,0,0,1</v>
      </c>
      <c r="AJ45" s="26" t="str">
        <f t="shared" ref="AJ45" si="264">CP$9</f>
        <v>0,0,0,0,5,0,0,0,0,5</v>
      </c>
      <c r="AK45" s="26" t="str">
        <f t="shared" ref="AK45" si="265">CQ$9</f>
        <v>200,1,1000,2,5,200,1,1000,2,5</v>
      </c>
      <c r="AL45" s="26" t="str">
        <f t="shared" ref="AL45" si="266">CR$9</f>
        <v>5,5,5,5,5,5,5,5,5,5</v>
      </c>
      <c r="AM45" s="7">
        <v>2001</v>
      </c>
      <c r="AO45">
        <f t="shared" ref="AO45" si="267">AQ45*100+6</f>
        <v>506</v>
      </c>
      <c r="AP45">
        <v>41</v>
      </c>
      <c r="AQ45">
        <f t="shared" si="13"/>
        <v>5</v>
      </c>
      <c r="AR45" s="17">
        <v>6</v>
      </c>
      <c r="AS45" s="17">
        <f t="shared" si="60"/>
        <v>85</v>
      </c>
      <c r="AT45" s="17">
        <v>5</v>
      </c>
      <c r="AU45">
        <f t="shared" si="14"/>
        <v>20</v>
      </c>
      <c r="AV45">
        <v>150</v>
      </c>
      <c r="AW45">
        <f t="shared" si="15"/>
        <v>12922.675200000001</v>
      </c>
      <c r="AX45">
        <f t="shared" si="104"/>
        <v>63612000</v>
      </c>
      <c r="AY45">
        <f t="shared" si="17"/>
        <v>1060.2</v>
      </c>
      <c r="AZ45">
        <f t="shared" si="18"/>
        <v>2120.4</v>
      </c>
      <c r="BA45">
        <f t="shared" si="19"/>
        <v>16416</v>
      </c>
      <c r="BB45">
        <f t="shared" si="20"/>
        <v>530.1</v>
      </c>
      <c r="BC45">
        <f t="shared" si="105"/>
        <v>63612000</v>
      </c>
      <c r="BD45">
        <f t="shared" si="22"/>
        <v>0.29411764705882348</v>
      </c>
      <c r="BE45" s="27">
        <f t="shared" si="106"/>
        <v>12038297.4684</v>
      </c>
      <c r="BF45" s="30">
        <f t="shared" si="24"/>
        <v>0.312</v>
      </c>
      <c r="BG45" s="27"/>
      <c r="BH45" s="27"/>
      <c r="BI45" s="27"/>
      <c r="CA45" s="20">
        <f t="shared" si="25"/>
        <v>120</v>
      </c>
      <c r="CB45" s="20">
        <f t="shared" si="26"/>
        <v>12000</v>
      </c>
      <c r="CC45" s="31"/>
      <c r="CD45" s="20">
        <v>105</v>
      </c>
      <c r="CE45" s="20" t="s">
        <v>168</v>
      </c>
      <c r="CF45" s="20">
        <v>19</v>
      </c>
      <c r="CG45" s="20">
        <v>0</v>
      </c>
      <c r="CH45" s="20">
        <v>0</v>
      </c>
      <c r="CI45" s="20">
        <v>0</v>
      </c>
      <c r="CJ45" s="20">
        <v>100</v>
      </c>
      <c r="CK45" s="20">
        <v>5</v>
      </c>
      <c r="CM45" s="20"/>
    </row>
    <row r="46" spans="1:91" x14ac:dyDescent="0.15">
      <c r="A46">
        <v>507</v>
      </c>
      <c r="B46" s="3" t="s">
        <v>126</v>
      </c>
      <c r="C46" s="4" t="s">
        <v>109</v>
      </c>
      <c r="D46" s="4" t="s">
        <v>110</v>
      </c>
      <c r="E46" s="5">
        <v>2</v>
      </c>
      <c r="F46" s="7" t="s">
        <v>143</v>
      </c>
      <c r="G46" s="5">
        <v>3</v>
      </c>
      <c r="H46" s="7" t="s">
        <v>193</v>
      </c>
      <c r="I46" s="5">
        <v>0</v>
      </c>
      <c r="J46" s="5">
        <v>0</v>
      </c>
      <c r="K46">
        <v>2</v>
      </c>
      <c r="L46">
        <v>1.5</v>
      </c>
      <c r="M46" s="5">
        <v>1.5</v>
      </c>
      <c r="N46" s="5">
        <v>10</v>
      </c>
      <c r="O46" s="5">
        <f t="shared" si="9"/>
        <v>13602</v>
      </c>
      <c r="P46" s="5">
        <f t="shared" si="10"/>
        <v>66960000</v>
      </c>
      <c r="Q46" s="5">
        <f t="shared" si="11"/>
        <v>1116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70071</v>
      </c>
      <c r="X46" s="6" t="s">
        <v>185</v>
      </c>
      <c r="Y46" s="5">
        <v>300</v>
      </c>
      <c r="Z46" s="5">
        <v>1</v>
      </c>
      <c r="AA46" s="5">
        <v>2720511</v>
      </c>
      <c r="AB46" s="16" t="s">
        <v>111</v>
      </c>
      <c r="AC46" s="7" t="s">
        <v>112</v>
      </c>
      <c r="AD46" s="7" t="s">
        <v>112</v>
      </c>
      <c r="AE46" s="7" t="s">
        <v>112</v>
      </c>
      <c r="AF46" s="6" t="s">
        <v>113</v>
      </c>
      <c r="AG46" s="26" t="str">
        <f t="shared" ref="AG46" si="268">CM$10</f>
        <v>4,14,28,14,6,4,14,28,14,6</v>
      </c>
      <c r="AH46" s="26" t="str">
        <f t="shared" ref="AH46" si="269">CN$10</f>
        <v>0,0,0,0,1,0,0,0,0,1</v>
      </c>
      <c r="AI46" s="26" t="str">
        <f t="shared" ref="AI46" si="270">CO$10</f>
        <v>0,0,0,0,1,0,0,0,0,1</v>
      </c>
      <c r="AJ46" s="26" t="str">
        <f t="shared" ref="AJ46" si="271">CP$10</f>
        <v>0,0,0,0,5,0,0,0,0,5</v>
      </c>
      <c r="AK46" s="26" t="str">
        <f t="shared" ref="AK46" si="272">CQ$10</f>
        <v>200,1,1000,2,5,200,1,1000,2,5</v>
      </c>
      <c r="AL46" s="26" t="str">
        <f t="shared" ref="AL46" si="273">CR$10</f>
        <v>5,5,5,5,5,5,5,5,5,5</v>
      </c>
      <c r="AM46" s="7">
        <v>2001</v>
      </c>
      <c r="AO46">
        <f t="shared" ref="AO46" si="274">AQ46*100+7</f>
        <v>507</v>
      </c>
      <c r="AP46">
        <v>42</v>
      </c>
      <c r="AQ46">
        <f t="shared" si="13"/>
        <v>5</v>
      </c>
      <c r="AR46" s="17">
        <v>6</v>
      </c>
      <c r="AS46" s="17">
        <f t="shared" si="60"/>
        <v>90</v>
      </c>
      <c r="AT46" s="17">
        <v>5</v>
      </c>
      <c r="AU46">
        <f t="shared" si="14"/>
        <v>20</v>
      </c>
      <c r="AV46">
        <v>150</v>
      </c>
      <c r="AW46">
        <f t="shared" si="15"/>
        <v>13602.816000000001</v>
      </c>
      <c r="AX46">
        <f t="shared" si="104"/>
        <v>66960000</v>
      </c>
      <c r="AY46">
        <f t="shared" si="17"/>
        <v>1116</v>
      </c>
      <c r="AZ46">
        <f t="shared" si="18"/>
        <v>2232</v>
      </c>
      <c r="BA46">
        <f t="shared" si="19"/>
        <v>17280</v>
      </c>
      <c r="BB46">
        <f t="shared" si="20"/>
        <v>558</v>
      </c>
      <c r="BC46">
        <f t="shared" si="105"/>
        <v>66960000</v>
      </c>
      <c r="BD46">
        <f t="shared" si="22"/>
        <v>0.29411764705882354</v>
      </c>
      <c r="BE46" s="27">
        <f t="shared" si="106"/>
        <v>13338833.76</v>
      </c>
      <c r="BF46" s="30">
        <f t="shared" si="24"/>
        <v>0.312</v>
      </c>
      <c r="BG46" s="27"/>
      <c r="BH46" s="27"/>
      <c r="BI46" s="27"/>
      <c r="CA46" s="20">
        <f t="shared" si="25"/>
        <v>120</v>
      </c>
      <c r="CB46" s="20">
        <f t="shared" si="26"/>
        <v>12000</v>
      </c>
      <c r="CC46" s="31"/>
      <c r="CD46" s="20">
        <v>105</v>
      </c>
      <c r="CE46" s="20" t="s">
        <v>162</v>
      </c>
      <c r="CF46" s="20">
        <v>28</v>
      </c>
      <c r="CG46" s="20">
        <v>0</v>
      </c>
      <c r="CH46" s="20">
        <v>0</v>
      </c>
      <c r="CI46" s="20">
        <v>0</v>
      </c>
      <c r="CJ46" s="20">
        <v>1000</v>
      </c>
      <c r="CK46" s="20">
        <v>5</v>
      </c>
      <c r="CM46" s="20"/>
    </row>
    <row r="47" spans="1:91" x14ac:dyDescent="0.15">
      <c r="A47">
        <v>508</v>
      </c>
      <c r="B47" s="3" t="s">
        <v>128</v>
      </c>
      <c r="C47" s="4" t="s">
        <v>109</v>
      </c>
      <c r="D47" s="4" t="s">
        <v>110</v>
      </c>
      <c r="E47" s="5">
        <v>5</v>
      </c>
      <c r="F47" s="7" t="s">
        <v>129</v>
      </c>
      <c r="G47" s="5">
        <v>2</v>
      </c>
      <c r="H47" s="7" t="s">
        <v>130</v>
      </c>
      <c r="I47" s="5">
        <v>0</v>
      </c>
      <c r="J47" s="5">
        <v>0</v>
      </c>
      <c r="K47">
        <v>2</v>
      </c>
      <c r="L47">
        <v>1.5</v>
      </c>
      <c r="M47" s="5">
        <v>1.5</v>
      </c>
      <c r="N47" s="5">
        <v>10</v>
      </c>
      <c r="O47" s="5">
        <f t="shared" si="9"/>
        <v>14282</v>
      </c>
      <c r="P47" s="5">
        <f t="shared" si="10"/>
        <v>70308000</v>
      </c>
      <c r="Q47" s="5">
        <f t="shared" si="11"/>
        <v>1171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70081</v>
      </c>
      <c r="X47" s="6" t="s">
        <v>186</v>
      </c>
      <c r="Y47" s="5">
        <v>300</v>
      </c>
      <c r="Z47" s="5">
        <v>1</v>
      </c>
      <c r="AA47" s="5">
        <v>3123036</v>
      </c>
      <c r="AB47" s="16" t="s">
        <v>111</v>
      </c>
      <c r="AC47" s="7" t="s">
        <v>112</v>
      </c>
      <c r="AD47" s="7" t="s">
        <v>112</v>
      </c>
      <c r="AE47" s="7" t="s">
        <v>112</v>
      </c>
      <c r="AF47" s="6" t="s">
        <v>113</v>
      </c>
      <c r="AG47" s="26" t="str">
        <f t="shared" ref="AG47" si="275">CM$11</f>
        <v>4,28,6,28,6,4,28,6,28,6</v>
      </c>
      <c r="AH47" s="26" t="str">
        <f t="shared" ref="AH47" si="276">CN$11</f>
        <v>0,0,1,0,1,0,0,1,0,1</v>
      </c>
      <c r="AI47" s="26" t="str">
        <f t="shared" ref="AI47" si="277">CO$11</f>
        <v>0,0,1,0,1,0,0,1,0,1</v>
      </c>
      <c r="AJ47" s="26" t="str">
        <f t="shared" ref="AJ47" si="278">CP$11</f>
        <v>0,0,5,0,5,0,0,5,0,5</v>
      </c>
      <c r="AK47" s="26" t="str">
        <f t="shared" ref="AK47" si="279">CQ$11</f>
        <v>100,1000,5,1500,5,200,1000,5,1500,5</v>
      </c>
      <c r="AL47" s="26" t="str">
        <f t="shared" ref="AL47" si="280">CR$11</f>
        <v>5,5,5,5,5,5,5,5,5,5</v>
      </c>
      <c r="AM47" s="7">
        <v>2001</v>
      </c>
      <c r="AO47">
        <f t="shared" ref="AO47" si="281">AQ47*100+8</f>
        <v>508</v>
      </c>
      <c r="AP47">
        <v>43</v>
      </c>
      <c r="AQ47">
        <f t="shared" si="13"/>
        <v>5</v>
      </c>
      <c r="AR47" s="17">
        <v>6</v>
      </c>
      <c r="AS47" s="17">
        <f t="shared" si="60"/>
        <v>95</v>
      </c>
      <c r="AT47" s="17">
        <v>5</v>
      </c>
      <c r="AU47">
        <f t="shared" si="14"/>
        <v>20</v>
      </c>
      <c r="AV47">
        <v>150</v>
      </c>
      <c r="AW47">
        <f t="shared" si="15"/>
        <v>14282.9568</v>
      </c>
      <c r="AX47">
        <f t="shared" si="104"/>
        <v>70308000</v>
      </c>
      <c r="AY47">
        <f t="shared" si="17"/>
        <v>1171.8</v>
      </c>
      <c r="AZ47">
        <f t="shared" si="18"/>
        <v>2343.6</v>
      </c>
      <c r="BA47">
        <f t="shared" si="19"/>
        <v>18144</v>
      </c>
      <c r="BB47">
        <f t="shared" si="20"/>
        <v>585.9</v>
      </c>
      <c r="BC47">
        <f t="shared" si="105"/>
        <v>70308000</v>
      </c>
      <c r="BD47">
        <f t="shared" si="22"/>
        <v>0.29411764705882354</v>
      </c>
      <c r="BE47" s="27">
        <f t="shared" si="106"/>
        <v>14706064.2204</v>
      </c>
      <c r="BF47" s="30">
        <f t="shared" si="24"/>
        <v>0.312</v>
      </c>
      <c r="BG47" s="27"/>
      <c r="BH47" s="27"/>
      <c r="BI47" s="27"/>
      <c r="CA47" s="20">
        <f t="shared" si="25"/>
        <v>120</v>
      </c>
      <c r="CB47" s="20">
        <f t="shared" si="26"/>
        <v>12000</v>
      </c>
      <c r="CC47" s="31"/>
      <c r="CD47" s="20">
        <v>105</v>
      </c>
      <c r="CE47" s="20" t="s">
        <v>168</v>
      </c>
      <c r="CF47" s="20">
        <v>19</v>
      </c>
      <c r="CG47" s="20">
        <v>0</v>
      </c>
      <c r="CH47" s="20">
        <v>0</v>
      </c>
      <c r="CI47" s="20">
        <v>0</v>
      </c>
      <c r="CJ47" s="20">
        <v>200</v>
      </c>
      <c r="CK47" s="20">
        <v>5</v>
      </c>
      <c r="CM47" s="20"/>
    </row>
    <row r="48" spans="1:91" x14ac:dyDescent="0.15">
      <c r="A48">
        <v>509</v>
      </c>
      <c r="B48" s="3" t="s">
        <v>132</v>
      </c>
      <c r="C48" s="4" t="s">
        <v>109</v>
      </c>
      <c r="D48" s="4" t="s">
        <v>110</v>
      </c>
      <c r="E48" s="5">
        <v>5</v>
      </c>
      <c r="F48" s="7" t="s">
        <v>140</v>
      </c>
      <c r="G48" s="5">
        <v>3</v>
      </c>
      <c r="H48" s="7" t="s">
        <v>140</v>
      </c>
      <c r="I48" s="5">
        <v>0</v>
      </c>
      <c r="J48" s="7">
        <v>0</v>
      </c>
      <c r="K48">
        <v>6</v>
      </c>
      <c r="L48">
        <v>1.5</v>
      </c>
      <c r="M48" s="5">
        <v>1.5</v>
      </c>
      <c r="N48" s="5">
        <v>10</v>
      </c>
      <c r="O48" s="5">
        <f t="shared" si="9"/>
        <v>14963</v>
      </c>
      <c r="P48" s="5">
        <f t="shared" si="10"/>
        <v>73656000</v>
      </c>
      <c r="Q48" s="5">
        <f t="shared" si="11"/>
        <v>1227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70091</v>
      </c>
      <c r="X48" s="6" t="s">
        <v>187</v>
      </c>
      <c r="Y48" s="5">
        <v>300</v>
      </c>
      <c r="Z48" s="5">
        <v>1</v>
      </c>
      <c r="AA48" s="5">
        <v>3553321</v>
      </c>
      <c r="AB48" s="16" t="s">
        <v>111</v>
      </c>
      <c r="AC48" s="7" t="s">
        <v>112</v>
      </c>
      <c r="AD48" s="7" t="s">
        <v>112</v>
      </c>
      <c r="AE48" s="7" t="s">
        <v>112</v>
      </c>
      <c r="AF48" s="6" t="s">
        <v>113</v>
      </c>
      <c r="AG48" s="26" t="str">
        <f t="shared" ref="AG48" si="282">CM$12</f>
        <v>4,33,28,33,6,4,33,28,33,6</v>
      </c>
      <c r="AH48" s="26" t="str">
        <f t="shared" ref="AH48" si="283">CN$12</f>
        <v>0,5,0,5,1,0,5,0,5,1</v>
      </c>
      <c r="AI48" s="26" t="str">
        <f t="shared" ref="AI48" si="284">CO$12</f>
        <v>0,0,0,0,1,0,0,0,0,1</v>
      </c>
      <c r="AJ48" s="26" t="str">
        <f t="shared" ref="AJ48" si="285">CP$12</f>
        <v>0,0,0,0,5,0,0,0,0,5</v>
      </c>
      <c r="AK48" s="26" t="str">
        <f t="shared" ref="AK48" si="286">CQ$12</f>
        <v>100,1,1000,2,5,200,1,1000,2,5</v>
      </c>
      <c r="AL48" s="26" t="str">
        <f t="shared" ref="AL48" si="287">CR$12</f>
        <v>5,5,5,5,5,5,5,5,5,5</v>
      </c>
      <c r="AM48" s="7">
        <v>2001</v>
      </c>
      <c r="AO48">
        <f t="shared" ref="AO48" si="288">AQ48*100+9</f>
        <v>509</v>
      </c>
      <c r="AP48">
        <v>44</v>
      </c>
      <c r="AQ48">
        <f t="shared" si="13"/>
        <v>5</v>
      </c>
      <c r="AR48" s="17">
        <v>6</v>
      </c>
      <c r="AS48" s="17">
        <f t="shared" si="60"/>
        <v>100</v>
      </c>
      <c r="AT48" s="17">
        <v>5</v>
      </c>
      <c r="AU48">
        <f t="shared" si="14"/>
        <v>20</v>
      </c>
      <c r="AV48">
        <v>150</v>
      </c>
      <c r="AW48">
        <f t="shared" si="15"/>
        <v>14963.097599999999</v>
      </c>
      <c r="AX48">
        <f t="shared" si="104"/>
        <v>73656000.000000015</v>
      </c>
      <c r="AY48">
        <f t="shared" si="17"/>
        <v>1227.6000000000001</v>
      </c>
      <c r="AZ48">
        <f t="shared" si="18"/>
        <v>2455.2000000000003</v>
      </c>
      <c r="BA48">
        <f t="shared" si="19"/>
        <v>19008</v>
      </c>
      <c r="BB48">
        <f t="shared" si="20"/>
        <v>613.80000000000007</v>
      </c>
      <c r="BC48">
        <f t="shared" si="105"/>
        <v>73656000.000000015</v>
      </c>
      <c r="BD48">
        <f t="shared" si="22"/>
        <v>0.29411764705882354</v>
      </c>
      <c r="BE48" s="27">
        <f t="shared" si="106"/>
        <v>16139988.849600006</v>
      </c>
      <c r="BF48" s="30">
        <f t="shared" si="24"/>
        <v>0.312</v>
      </c>
      <c r="BG48" s="27"/>
      <c r="BH48" s="27"/>
      <c r="BI48" s="27"/>
      <c r="CA48" s="20">
        <f t="shared" si="25"/>
        <v>120</v>
      </c>
      <c r="CB48" s="20">
        <f t="shared" si="26"/>
        <v>12000</v>
      </c>
      <c r="CC48" s="31"/>
      <c r="CD48" s="20">
        <v>105</v>
      </c>
      <c r="CE48" s="20" t="s">
        <v>155</v>
      </c>
      <c r="CF48" s="20">
        <v>6</v>
      </c>
      <c r="CG48" s="20">
        <v>1</v>
      </c>
      <c r="CH48" s="20">
        <v>1</v>
      </c>
      <c r="CI48" s="20">
        <v>5</v>
      </c>
      <c r="CJ48" s="20">
        <v>5</v>
      </c>
      <c r="CK48" s="20">
        <v>5</v>
      </c>
      <c r="CM48" s="20"/>
    </row>
    <row r="49" spans="1:91" x14ac:dyDescent="0.15">
      <c r="A49">
        <v>601</v>
      </c>
      <c r="B49" s="3" t="s">
        <v>108</v>
      </c>
      <c r="C49" s="4" t="s">
        <v>109</v>
      </c>
      <c r="D49" s="4" t="s">
        <v>110</v>
      </c>
      <c r="E49" s="5">
        <v>3</v>
      </c>
      <c r="F49" s="7" t="s">
        <v>141</v>
      </c>
      <c r="G49" s="5">
        <v>2.5</v>
      </c>
      <c r="H49" s="7" t="s">
        <v>194</v>
      </c>
      <c r="I49" s="5">
        <v>0</v>
      </c>
      <c r="J49" s="5">
        <v>0</v>
      </c>
      <c r="K49">
        <v>2</v>
      </c>
      <c r="L49">
        <v>1.5</v>
      </c>
      <c r="M49" s="5">
        <v>1.5</v>
      </c>
      <c r="N49" s="5">
        <v>10</v>
      </c>
      <c r="O49" s="5">
        <f t="shared" si="9"/>
        <v>10220</v>
      </c>
      <c r="P49" s="5">
        <f t="shared" si="10"/>
        <v>50220000</v>
      </c>
      <c r="Q49" s="5">
        <f t="shared" si="11"/>
        <v>837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70011</v>
      </c>
      <c r="X49" s="6" t="s">
        <v>179</v>
      </c>
      <c r="Y49" s="5">
        <v>300</v>
      </c>
      <c r="Z49" s="5">
        <v>1</v>
      </c>
      <c r="AA49" s="5">
        <v>4011366</v>
      </c>
      <c r="AB49" s="16" t="s">
        <v>111</v>
      </c>
      <c r="AC49" s="7" t="s">
        <v>112</v>
      </c>
      <c r="AD49" s="7" t="s">
        <v>112</v>
      </c>
      <c r="AE49" s="7" t="s">
        <v>112</v>
      </c>
      <c r="AF49" s="6" t="s">
        <v>113</v>
      </c>
      <c r="AG49" s="26" t="str">
        <f t="shared" ref="AG49" si="289">CM$4</f>
        <v>4,33,28,33,6,4,33,28,33,6</v>
      </c>
      <c r="AH49" s="26" t="str">
        <f t="shared" ref="AH49" si="290">CN$4</f>
        <v>0,8,0,8,1,0,8,0,8,1</v>
      </c>
      <c r="AI49" s="26" t="str">
        <f t="shared" ref="AI49" si="291">CO$4</f>
        <v>0,0,0,0,1,0,0,0,0,1</v>
      </c>
      <c r="AJ49" s="26" t="str">
        <f t="shared" ref="AJ49" si="292">CP$4</f>
        <v>0,0,0,0,5,0,0,0,0,5</v>
      </c>
      <c r="AK49" s="26" t="str">
        <f t="shared" ref="AK49" si="293">CQ$4</f>
        <v>100,1,1000,2,5,200,1,1000,2,5</v>
      </c>
      <c r="AL49" s="26" t="str">
        <f t="shared" ref="AL49" si="294">CR$4</f>
        <v>5,5,5,5,5,5,5,5,5,5</v>
      </c>
      <c r="AM49" s="7">
        <v>2001</v>
      </c>
      <c r="AO49">
        <f t="shared" ref="AO49" si="295">AQ49*100+1</f>
        <v>601</v>
      </c>
      <c r="AP49">
        <v>45</v>
      </c>
      <c r="AQ49">
        <f t="shared" si="13"/>
        <v>6</v>
      </c>
      <c r="AR49" s="17">
        <v>6</v>
      </c>
      <c r="AS49" s="17">
        <f t="shared" si="60"/>
        <v>65</v>
      </c>
      <c r="AT49" s="17">
        <v>5</v>
      </c>
      <c r="AU49">
        <f t="shared" si="14"/>
        <v>20</v>
      </c>
      <c r="AV49">
        <v>150</v>
      </c>
      <c r="AW49">
        <f t="shared" si="15"/>
        <v>10220.7744</v>
      </c>
      <c r="AX49">
        <f t="shared" si="104"/>
        <v>50220000</v>
      </c>
      <c r="AY49">
        <f t="shared" si="17"/>
        <v>837</v>
      </c>
      <c r="AZ49">
        <f t="shared" si="18"/>
        <v>1674</v>
      </c>
      <c r="BA49">
        <f t="shared" si="19"/>
        <v>12960</v>
      </c>
      <c r="BB49">
        <f t="shared" si="20"/>
        <v>418.5</v>
      </c>
      <c r="BC49">
        <f t="shared" si="105"/>
        <v>50220000</v>
      </c>
      <c r="BD49">
        <f t="shared" si="22"/>
        <v>0.29411764705882354</v>
      </c>
      <c r="BE49" s="27">
        <f t="shared" si="106"/>
        <v>7503093.9900000012</v>
      </c>
      <c r="BF49" s="30">
        <f t="shared" si="24"/>
        <v>0.31440000000000001</v>
      </c>
      <c r="BG49" s="27"/>
      <c r="BH49" s="27"/>
      <c r="BI49" s="27"/>
      <c r="CA49" s="20">
        <f t="shared" si="25"/>
        <v>125</v>
      </c>
      <c r="CB49" s="20">
        <f t="shared" si="26"/>
        <v>12500</v>
      </c>
      <c r="CC49" s="31"/>
      <c r="CD49" s="20">
        <v>105</v>
      </c>
      <c r="CE49" s="20" t="s">
        <v>153</v>
      </c>
      <c r="CF49" s="20">
        <v>4</v>
      </c>
      <c r="CG49" s="20">
        <v>0</v>
      </c>
      <c r="CH49" s="20">
        <v>0</v>
      </c>
      <c r="CI49" s="20">
        <v>0</v>
      </c>
      <c r="CJ49" s="20">
        <v>200</v>
      </c>
      <c r="CK49" s="20">
        <v>5</v>
      </c>
      <c r="CM49" s="20"/>
    </row>
    <row r="50" spans="1:91" x14ac:dyDescent="0.15">
      <c r="A50">
        <v>602</v>
      </c>
      <c r="B50" s="3" t="s">
        <v>115</v>
      </c>
      <c r="C50" s="4" t="s">
        <v>109</v>
      </c>
      <c r="D50" s="6" t="s">
        <v>110</v>
      </c>
      <c r="E50" s="5">
        <v>3</v>
      </c>
      <c r="F50" s="7" t="s">
        <v>142</v>
      </c>
      <c r="G50" s="5">
        <v>3</v>
      </c>
      <c r="H50" s="7" t="s">
        <v>188</v>
      </c>
      <c r="I50" s="5">
        <v>0</v>
      </c>
      <c r="J50" s="5">
        <v>0</v>
      </c>
      <c r="K50">
        <v>2</v>
      </c>
      <c r="L50">
        <v>1.5</v>
      </c>
      <c r="M50" s="5">
        <v>1.5</v>
      </c>
      <c r="N50" s="5">
        <v>10</v>
      </c>
      <c r="O50" s="5">
        <f t="shared" si="9"/>
        <v>10902</v>
      </c>
      <c r="P50" s="5">
        <f t="shared" si="10"/>
        <v>53568000</v>
      </c>
      <c r="Q50" s="5">
        <f t="shared" si="11"/>
        <v>892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70021</v>
      </c>
      <c r="X50" s="6" t="s">
        <v>180</v>
      </c>
      <c r="Y50" s="5">
        <v>300</v>
      </c>
      <c r="Z50" s="5">
        <v>1</v>
      </c>
      <c r="AA50" s="5">
        <v>1388016</v>
      </c>
      <c r="AB50" s="16" t="s">
        <v>111</v>
      </c>
      <c r="AC50" s="7" t="s">
        <v>112</v>
      </c>
      <c r="AD50" s="7" t="s">
        <v>112</v>
      </c>
      <c r="AE50" s="7" t="s">
        <v>112</v>
      </c>
      <c r="AF50" s="6" t="s">
        <v>113</v>
      </c>
      <c r="AG50" s="26" t="str">
        <f t="shared" ref="AG50" si="296">CM$5</f>
        <v>4,33,28,33,6,4,33,28,33,6</v>
      </c>
      <c r="AH50" s="26" t="str">
        <f t="shared" ref="AH50" si="297">CN$5</f>
        <v>0,7,0,7,1,0,7,0,7,1</v>
      </c>
      <c r="AI50" s="26" t="str">
        <f t="shared" ref="AI50" si="298">CO$5</f>
        <v>0,0,0,0,1,0,0,0,0,1</v>
      </c>
      <c r="AJ50" s="26" t="str">
        <f t="shared" ref="AJ50" si="299">CP$5</f>
        <v>0,0,0,0,5,0,0,0,0,5</v>
      </c>
      <c r="AK50" s="26" t="str">
        <f t="shared" ref="AK50" si="300">CQ$5</f>
        <v>100,1,1000,2,5,200,1,1000,2,5</v>
      </c>
      <c r="AL50" s="26" t="str">
        <f t="shared" ref="AL50" si="301">CR$5</f>
        <v>5,5,5,5,5,5,5,5,5,5</v>
      </c>
      <c r="AM50" s="7">
        <v>2001</v>
      </c>
      <c r="AO50">
        <f t="shared" ref="AO50" si="302">AQ50*100+2</f>
        <v>602</v>
      </c>
      <c r="AP50">
        <v>46</v>
      </c>
      <c r="AQ50">
        <f t="shared" si="13"/>
        <v>6</v>
      </c>
      <c r="AR50" s="17">
        <v>6</v>
      </c>
      <c r="AS50" s="17">
        <f t="shared" si="60"/>
        <v>70</v>
      </c>
      <c r="AT50" s="17">
        <v>5</v>
      </c>
      <c r="AU50">
        <f t="shared" si="14"/>
        <v>20</v>
      </c>
      <c r="AV50">
        <v>150</v>
      </c>
      <c r="AW50">
        <f t="shared" si="15"/>
        <v>10902.15936</v>
      </c>
      <c r="AX50">
        <f t="shared" si="104"/>
        <v>53568000.000000007</v>
      </c>
      <c r="AY50">
        <f t="shared" si="17"/>
        <v>892.80000000000007</v>
      </c>
      <c r="AZ50">
        <f t="shared" si="18"/>
        <v>1785.6000000000001</v>
      </c>
      <c r="BA50">
        <f t="shared" si="19"/>
        <v>13824</v>
      </c>
      <c r="BB50">
        <f t="shared" si="20"/>
        <v>446.40000000000003</v>
      </c>
      <c r="BC50">
        <f t="shared" si="105"/>
        <v>53568000.000000007</v>
      </c>
      <c r="BD50">
        <f t="shared" si="22"/>
        <v>0.29411764705882354</v>
      </c>
      <c r="BE50" s="27">
        <f t="shared" si="106"/>
        <v>8536853.6064000037</v>
      </c>
      <c r="BF50" s="30">
        <f t="shared" si="24"/>
        <v>0.31440000000000001</v>
      </c>
      <c r="BG50" s="27"/>
      <c r="BH50" s="27"/>
      <c r="BI50" s="27"/>
      <c r="CA50" s="20">
        <f t="shared" si="25"/>
        <v>125</v>
      </c>
      <c r="CB50" s="20">
        <f t="shared" si="26"/>
        <v>12500</v>
      </c>
      <c r="CC50" s="31"/>
      <c r="CD50" s="20">
        <v>105</v>
      </c>
      <c r="CE50" s="20" t="s">
        <v>168</v>
      </c>
      <c r="CF50" s="20">
        <v>19</v>
      </c>
      <c r="CG50" s="20">
        <v>0</v>
      </c>
      <c r="CH50" s="20">
        <v>0</v>
      </c>
      <c r="CI50" s="20">
        <v>0</v>
      </c>
      <c r="CJ50" s="20">
        <v>100</v>
      </c>
      <c r="CK50" s="20">
        <v>5</v>
      </c>
      <c r="CM50" s="20"/>
    </row>
    <row r="51" spans="1:91" x14ac:dyDescent="0.15">
      <c r="A51">
        <v>603</v>
      </c>
      <c r="B51" s="3" t="s">
        <v>117</v>
      </c>
      <c r="C51" s="4" t="s">
        <v>109</v>
      </c>
      <c r="D51" s="4" t="s">
        <v>110</v>
      </c>
      <c r="E51" s="5">
        <v>1</v>
      </c>
      <c r="F51" s="7" t="s">
        <v>144</v>
      </c>
      <c r="G51" s="5">
        <v>3</v>
      </c>
      <c r="H51" s="7" t="s">
        <v>189</v>
      </c>
      <c r="I51" s="5">
        <v>0</v>
      </c>
      <c r="J51" s="2">
        <v>0</v>
      </c>
      <c r="K51">
        <v>6</v>
      </c>
      <c r="L51">
        <v>1.5</v>
      </c>
      <c r="M51" s="5">
        <v>1.5</v>
      </c>
      <c r="N51" s="5">
        <v>10</v>
      </c>
      <c r="O51" s="5">
        <f t="shared" si="9"/>
        <v>11583</v>
      </c>
      <c r="P51" s="5">
        <f t="shared" si="10"/>
        <v>56916000</v>
      </c>
      <c r="Q51" s="5">
        <f t="shared" si="11"/>
        <v>948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70031</v>
      </c>
      <c r="X51" s="6" t="s">
        <v>181</v>
      </c>
      <c r="Y51" s="5">
        <v>300</v>
      </c>
      <c r="Z51" s="5">
        <v>1</v>
      </c>
      <c r="AA51" s="5">
        <v>1679499</v>
      </c>
      <c r="AB51" s="16" t="s">
        <v>111</v>
      </c>
      <c r="AC51" s="7" t="s">
        <v>112</v>
      </c>
      <c r="AD51" s="7" t="s">
        <v>112</v>
      </c>
      <c r="AE51" s="7" t="s">
        <v>112</v>
      </c>
      <c r="AF51" s="6" t="s">
        <v>113</v>
      </c>
      <c r="AG51" s="26" t="str">
        <f t="shared" ref="AG51" si="303">CM$6</f>
        <v>4,28,6,28,6,4,28,6,28,6</v>
      </c>
      <c r="AH51" s="26" t="str">
        <f t="shared" ref="AH51" si="304">CN$6</f>
        <v>0,0,1,0,1,0,0,1,0,1</v>
      </c>
      <c r="AI51" s="26" t="str">
        <f t="shared" ref="AI51" si="305">CO$6</f>
        <v>0,0,0,0,1,0,0,0,0,1</v>
      </c>
      <c r="AJ51" s="26" t="str">
        <f t="shared" ref="AJ51" si="306">CP$6</f>
        <v>0,0,5,0,5,0,0,5,0,5</v>
      </c>
      <c r="AK51" s="26" t="str">
        <f t="shared" ref="AK51" si="307">CQ$6</f>
        <v>100,1000,5,1500,5,200,1000,5,1500,5</v>
      </c>
      <c r="AL51" s="26" t="str">
        <f t="shared" ref="AL51" si="308">CR$6</f>
        <v>5,5,5,5,5,5,5,5,5,5</v>
      </c>
      <c r="AM51" s="7">
        <v>2001</v>
      </c>
      <c r="AO51">
        <f t="shared" ref="AO51" si="309">AQ51*100+3</f>
        <v>603</v>
      </c>
      <c r="AP51">
        <v>47</v>
      </c>
      <c r="AQ51">
        <f t="shared" si="13"/>
        <v>6</v>
      </c>
      <c r="AR51" s="17">
        <v>6</v>
      </c>
      <c r="AS51" s="17">
        <f t="shared" si="60"/>
        <v>75</v>
      </c>
      <c r="AT51" s="17">
        <v>5</v>
      </c>
      <c r="AU51">
        <f t="shared" si="14"/>
        <v>20</v>
      </c>
      <c r="AV51">
        <v>150</v>
      </c>
      <c r="AW51">
        <f t="shared" si="15"/>
        <v>11583.544319999999</v>
      </c>
      <c r="AX51">
        <f t="shared" si="104"/>
        <v>56916000</v>
      </c>
      <c r="AY51">
        <f t="shared" si="17"/>
        <v>948.6</v>
      </c>
      <c r="AZ51">
        <f t="shared" si="18"/>
        <v>1897.2</v>
      </c>
      <c r="BA51">
        <f t="shared" si="19"/>
        <v>14688</v>
      </c>
      <c r="BB51">
        <f t="shared" si="20"/>
        <v>474.3</v>
      </c>
      <c r="BC51">
        <f t="shared" si="105"/>
        <v>56916000</v>
      </c>
      <c r="BD51">
        <f t="shared" si="22"/>
        <v>0.29411764705882348</v>
      </c>
      <c r="BE51" s="27">
        <f t="shared" si="106"/>
        <v>9637307.3916000016</v>
      </c>
      <c r="BF51" s="30">
        <f t="shared" si="24"/>
        <v>0.31440000000000001</v>
      </c>
      <c r="BG51" s="27"/>
      <c r="BH51" s="27"/>
      <c r="BI51" s="27"/>
      <c r="CA51" s="20">
        <f t="shared" si="25"/>
        <v>125</v>
      </c>
      <c r="CB51" s="20">
        <f t="shared" si="26"/>
        <v>12500</v>
      </c>
      <c r="CC51" s="31"/>
      <c r="CD51" s="20">
        <v>105</v>
      </c>
      <c r="CE51" s="20" t="s">
        <v>162</v>
      </c>
      <c r="CF51" s="20">
        <v>28</v>
      </c>
      <c r="CG51" s="20">
        <v>0</v>
      </c>
      <c r="CH51" s="20">
        <v>0</v>
      </c>
      <c r="CI51" s="20">
        <v>0</v>
      </c>
      <c r="CJ51" s="20">
        <v>1000</v>
      </c>
      <c r="CK51" s="20">
        <v>5</v>
      </c>
      <c r="CM51" s="20"/>
    </row>
    <row r="52" spans="1:91" x14ac:dyDescent="0.15">
      <c r="A52">
        <v>604</v>
      </c>
      <c r="B52" s="3" t="s">
        <v>119</v>
      </c>
      <c r="C52" s="4" t="s">
        <v>109</v>
      </c>
      <c r="D52" s="6" t="s">
        <v>120</v>
      </c>
      <c r="E52" s="5">
        <v>3</v>
      </c>
      <c r="F52" s="7" t="s">
        <v>145</v>
      </c>
      <c r="G52" s="5">
        <v>3</v>
      </c>
      <c r="H52" s="7" t="s">
        <v>190</v>
      </c>
      <c r="I52" s="5">
        <v>0</v>
      </c>
      <c r="J52" s="5">
        <v>0</v>
      </c>
      <c r="K52">
        <v>2</v>
      </c>
      <c r="L52">
        <v>1.5</v>
      </c>
      <c r="M52" s="5">
        <v>1.5</v>
      </c>
      <c r="N52" s="5">
        <v>10</v>
      </c>
      <c r="O52" s="5">
        <f t="shared" si="9"/>
        <v>12264</v>
      </c>
      <c r="P52" s="5">
        <f t="shared" si="10"/>
        <v>60264000</v>
      </c>
      <c r="Q52" s="5">
        <f t="shared" si="11"/>
        <v>1004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70041</v>
      </c>
      <c r="X52" s="6" t="s">
        <v>182</v>
      </c>
      <c r="Y52" s="5">
        <v>300</v>
      </c>
      <c r="Z52" s="5">
        <v>1</v>
      </c>
      <c r="AA52" s="5">
        <v>1998743</v>
      </c>
      <c r="AB52" s="16" t="s">
        <v>111</v>
      </c>
      <c r="AC52" s="7" t="s">
        <v>112</v>
      </c>
      <c r="AD52" s="7" t="s">
        <v>112</v>
      </c>
      <c r="AE52" s="7" t="s">
        <v>112</v>
      </c>
      <c r="AF52" s="6" t="s">
        <v>113</v>
      </c>
      <c r="AG52" s="26" t="str">
        <f t="shared" ref="AG52" si="310">CM$7</f>
        <v>4,14,28,14,6,4,14,28,14,6</v>
      </c>
      <c r="AH52" s="26" t="str">
        <f t="shared" ref="AH52" si="311">CN$7</f>
        <v>0,0,0,0,1,0,0,0,0,1</v>
      </c>
      <c r="AI52" s="26" t="str">
        <f t="shared" ref="AI52" si="312">CO$7</f>
        <v>0,0,0,0,1,0,0,0,0,1</v>
      </c>
      <c r="AJ52" s="26" t="str">
        <f t="shared" ref="AJ52" si="313">CP$7</f>
        <v>0,0,0,0,5,0,0,0,0,5</v>
      </c>
      <c r="AK52" s="26" t="str">
        <f t="shared" ref="AK52" si="314">CQ$7</f>
        <v>100,1,1000,2,5,200,1,1000,2,5</v>
      </c>
      <c r="AL52" s="26" t="str">
        <f t="shared" ref="AL52" si="315">CR$7</f>
        <v>5,5,5,5,5,5,5,5,5,5</v>
      </c>
      <c r="AM52" s="7">
        <v>2001</v>
      </c>
      <c r="AO52">
        <f t="shared" ref="AO52" si="316">AQ52*100+4</f>
        <v>604</v>
      </c>
      <c r="AP52">
        <v>48</v>
      </c>
      <c r="AQ52">
        <f t="shared" si="13"/>
        <v>6</v>
      </c>
      <c r="AR52" s="17">
        <v>6</v>
      </c>
      <c r="AS52" s="17">
        <f t="shared" si="60"/>
        <v>80</v>
      </c>
      <c r="AT52" s="17">
        <v>5</v>
      </c>
      <c r="AU52">
        <f t="shared" si="14"/>
        <v>20</v>
      </c>
      <c r="AV52">
        <v>150</v>
      </c>
      <c r="AW52">
        <f t="shared" si="15"/>
        <v>12264.929279999998</v>
      </c>
      <c r="AX52">
        <f t="shared" si="104"/>
        <v>60264000</v>
      </c>
      <c r="AY52">
        <f t="shared" si="17"/>
        <v>1004.4</v>
      </c>
      <c r="AZ52">
        <f t="shared" si="18"/>
        <v>2008.8</v>
      </c>
      <c r="BA52">
        <f t="shared" si="19"/>
        <v>15552</v>
      </c>
      <c r="BB52">
        <f t="shared" si="20"/>
        <v>502.2</v>
      </c>
      <c r="BC52">
        <f t="shared" si="105"/>
        <v>60264000</v>
      </c>
      <c r="BD52">
        <f t="shared" si="22"/>
        <v>0.29411764705882354</v>
      </c>
      <c r="BE52" s="27">
        <f t="shared" si="106"/>
        <v>10804455.345599998</v>
      </c>
      <c r="BF52" s="30">
        <f t="shared" si="24"/>
        <v>0.31440000000000001</v>
      </c>
      <c r="BG52" s="27"/>
      <c r="BH52" s="27"/>
      <c r="BI52" s="27"/>
      <c r="CA52" s="20">
        <f t="shared" si="25"/>
        <v>125</v>
      </c>
      <c r="CB52" s="20">
        <f t="shared" si="26"/>
        <v>12500</v>
      </c>
      <c r="CC52" s="31"/>
      <c r="CD52" s="20">
        <v>105</v>
      </c>
      <c r="CE52" s="20" t="s">
        <v>169</v>
      </c>
      <c r="CF52" s="20">
        <v>19</v>
      </c>
      <c r="CG52" s="20">
        <v>0</v>
      </c>
      <c r="CH52" s="20">
        <v>0</v>
      </c>
      <c r="CI52" s="20">
        <v>0</v>
      </c>
      <c r="CJ52" s="20">
        <v>200</v>
      </c>
      <c r="CK52" s="20">
        <v>5</v>
      </c>
      <c r="CM52" s="20"/>
    </row>
    <row r="53" spans="1:91" x14ac:dyDescent="0.15">
      <c r="A53">
        <v>605</v>
      </c>
      <c r="B53" s="3" t="s">
        <v>122</v>
      </c>
      <c r="C53" s="4" t="s">
        <v>109</v>
      </c>
      <c r="D53" s="4" t="s">
        <v>110</v>
      </c>
      <c r="E53" s="5">
        <v>2</v>
      </c>
      <c r="F53" s="7" t="s">
        <v>146</v>
      </c>
      <c r="G53" s="5">
        <v>3</v>
      </c>
      <c r="H53" s="7" t="s">
        <v>191</v>
      </c>
      <c r="I53" s="5">
        <v>0</v>
      </c>
      <c r="J53" s="7" t="s">
        <v>148</v>
      </c>
      <c r="K53">
        <v>6</v>
      </c>
      <c r="L53">
        <v>1.5</v>
      </c>
      <c r="M53" s="5">
        <v>1.5</v>
      </c>
      <c r="N53" s="5">
        <v>10</v>
      </c>
      <c r="O53" s="5">
        <f t="shared" si="9"/>
        <v>12946</v>
      </c>
      <c r="P53" s="5">
        <f t="shared" si="10"/>
        <v>63612000</v>
      </c>
      <c r="Q53" s="5">
        <f t="shared" si="11"/>
        <v>1060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70051</v>
      </c>
      <c r="X53" s="6" t="s">
        <v>183</v>
      </c>
      <c r="Y53" s="5">
        <v>300</v>
      </c>
      <c r="Z53" s="5">
        <v>1</v>
      </c>
      <c r="AA53" s="5">
        <v>2345747</v>
      </c>
      <c r="AB53" s="16" t="s">
        <v>111</v>
      </c>
      <c r="AC53" s="7" t="s">
        <v>112</v>
      </c>
      <c r="AD53" s="7" t="s">
        <v>112</v>
      </c>
      <c r="AE53" s="7" t="s">
        <v>112</v>
      </c>
      <c r="AF53" s="6" t="s">
        <v>113</v>
      </c>
      <c r="AG53" s="26" t="str">
        <f t="shared" ref="AG53" si="317">CM$8</f>
        <v>4,19,28,19,6,4,19,28,19,6</v>
      </c>
      <c r="AH53" s="26" t="str">
        <f t="shared" ref="AH53" si="318">CN$8</f>
        <v>0,0,0,0,1,0,0,0,0,1</v>
      </c>
      <c r="AI53" s="26" t="str">
        <f t="shared" ref="AI53" si="319">CO$8</f>
        <v>0,0,0,0,1,0,0,0,0,1</v>
      </c>
      <c r="AJ53" s="26" t="str">
        <f t="shared" ref="AJ53" si="320">CP$8</f>
        <v>0,0,0,0,5,0,0,0,0,5</v>
      </c>
      <c r="AK53" s="26" t="str">
        <f t="shared" ref="AK53" si="321">CQ$8</f>
        <v>200,100,1000,200,5,200,100,1000,200,5</v>
      </c>
      <c r="AL53" s="26" t="str">
        <f t="shared" ref="AL53" si="322">CR$8</f>
        <v>5,5,5,5,5,5,5,5,5,5</v>
      </c>
      <c r="AM53" s="7">
        <v>2001</v>
      </c>
      <c r="AO53">
        <f t="shared" ref="AO53" si="323">AQ53*100+5</f>
        <v>605</v>
      </c>
      <c r="AP53">
        <v>49</v>
      </c>
      <c r="AQ53">
        <f t="shared" si="13"/>
        <v>6</v>
      </c>
      <c r="AR53" s="17">
        <v>6</v>
      </c>
      <c r="AS53" s="17">
        <f t="shared" si="60"/>
        <v>85</v>
      </c>
      <c r="AT53" s="17">
        <v>5</v>
      </c>
      <c r="AU53">
        <f t="shared" si="14"/>
        <v>20</v>
      </c>
      <c r="AV53">
        <v>150</v>
      </c>
      <c r="AW53">
        <f t="shared" si="15"/>
        <v>12946.31424</v>
      </c>
      <c r="AX53">
        <f t="shared" si="104"/>
        <v>63612000</v>
      </c>
      <c r="AY53">
        <f t="shared" si="17"/>
        <v>1060.2</v>
      </c>
      <c r="AZ53">
        <f t="shared" si="18"/>
        <v>2120.4</v>
      </c>
      <c r="BA53">
        <f t="shared" si="19"/>
        <v>16416</v>
      </c>
      <c r="BB53">
        <f t="shared" si="20"/>
        <v>530.1</v>
      </c>
      <c r="BC53">
        <f t="shared" si="105"/>
        <v>63612000</v>
      </c>
      <c r="BD53">
        <f t="shared" si="22"/>
        <v>0.29411764705882348</v>
      </c>
      <c r="BE53" s="27">
        <f t="shared" si="106"/>
        <v>12038297.4684</v>
      </c>
      <c r="BF53" s="30">
        <f t="shared" si="24"/>
        <v>0.31440000000000001</v>
      </c>
      <c r="BG53" s="27"/>
      <c r="BH53" s="27"/>
      <c r="BI53" s="27"/>
      <c r="CA53" s="20">
        <f t="shared" si="25"/>
        <v>125</v>
      </c>
      <c r="CB53" s="20">
        <f t="shared" si="26"/>
        <v>12500</v>
      </c>
      <c r="CC53" s="31"/>
      <c r="CD53" s="20">
        <v>105</v>
      </c>
      <c r="CE53" s="20" t="s">
        <v>155</v>
      </c>
      <c r="CF53" s="20">
        <v>6</v>
      </c>
      <c r="CG53" s="20">
        <v>1</v>
      </c>
      <c r="CH53" s="20">
        <v>1</v>
      </c>
      <c r="CI53" s="20">
        <v>5</v>
      </c>
      <c r="CJ53" s="20">
        <v>5</v>
      </c>
      <c r="CK53" s="20">
        <v>5</v>
      </c>
      <c r="CM53" s="20"/>
    </row>
    <row r="54" spans="1:91" x14ac:dyDescent="0.15">
      <c r="A54">
        <v>606</v>
      </c>
      <c r="B54" s="3" t="s">
        <v>124</v>
      </c>
      <c r="C54" s="4" t="s">
        <v>109</v>
      </c>
      <c r="D54" s="6" t="s">
        <v>120</v>
      </c>
      <c r="E54" s="5">
        <v>1</v>
      </c>
      <c r="F54" s="7" t="s">
        <v>147</v>
      </c>
      <c r="G54" s="5">
        <v>3</v>
      </c>
      <c r="H54" s="7" t="s">
        <v>192</v>
      </c>
      <c r="I54" s="5">
        <v>0</v>
      </c>
      <c r="J54" s="7" t="s">
        <v>149</v>
      </c>
      <c r="K54">
        <v>6</v>
      </c>
      <c r="L54">
        <v>1.5</v>
      </c>
      <c r="M54" s="5">
        <v>1.5</v>
      </c>
      <c r="N54" s="5">
        <v>10</v>
      </c>
      <c r="O54" s="5">
        <f t="shared" si="9"/>
        <v>13627</v>
      </c>
      <c r="P54" s="5">
        <f t="shared" si="10"/>
        <v>66960000</v>
      </c>
      <c r="Q54" s="5">
        <f t="shared" si="11"/>
        <v>1116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70061</v>
      </c>
      <c r="X54" s="6" t="s">
        <v>184</v>
      </c>
      <c r="Y54" s="5">
        <v>300</v>
      </c>
      <c r="Z54" s="5">
        <v>1</v>
      </c>
      <c r="AA54" s="5">
        <v>2720511</v>
      </c>
      <c r="AB54" s="16" t="s">
        <v>111</v>
      </c>
      <c r="AC54" s="7" t="s">
        <v>112</v>
      </c>
      <c r="AD54" s="7" t="s">
        <v>112</v>
      </c>
      <c r="AE54" s="7" t="s">
        <v>112</v>
      </c>
      <c r="AF54" s="6" t="s">
        <v>113</v>
      </c>
      <c r="AG54" s="26" t="str">
        <f t="shared" ref="AG54" si="324">CM$9</f>
        <v>4,33,28,33,6,4,33,28,33,6</v>
      </c>
      <c r="AH54" s="26" t="str">
        <f t="shared" ref="AH54" si="325">CN$9</f>
        <v>0,6,0,6,1,0,6,0,6,1</v>
      </c>
      <c r="AI54" s="26" t="str">
        <f t="shared" ref="AI54" si="326">CO$9</f>
        <v>0,0,0,0,1,0,0,0,0,1</v>
      </c>
      <c r="AJ54" s="26" t="str">
        <f t="shared" ref="AJ54" si="327">CP$9</f>
        <v>0,0,0,0,5,0,0,0,0,5</v>
      </c>
      <c r="AK54" s="26" t="str">
        <f t="shared" ref="AK54" si="328">CQ$9</f>
        <v>200,1,1000,2,5,200,1,1000,2,5</v>
      </c>
      <c r="AL54" s="26" t="str">
        <f t="shared" ref="AL54" si="329">CR$9</f>
        <v>5,5,5,5,5,5,5,5,5,5</v>
      </c>
      <c r="AM54" s="7">
        <v>2001</v>
      </c>
      <c r="AO54">
        <f t="shared" ref="AO54" si="330">AQ54*100+6</f>
        <v>606</v>
      </c>
      <c r="AP54">
        <v>50</v>
      </c>
      <c r="AQ54">
        <f t="shared" si="13"/>
        <v>6</v>
      </c>
      <c r="AR54" s="17">
        <v>6</v>
      </c>
      <c r="AS54" s="17">
        <f t="shared" si="60"/>
        <v>90</v>
      </c>
      <c r="AT54" s="17">
        <v>5</v>
      </c>
      <c r="AU54">
        <f t="shared" si="14"/>
        <v>20</v>
      </c>
      <c r="AV54">
        <v>150</v>
      </c>
      <c r="AW54">
        <f t="shared" si="15"/>
        <v>13627.699200000001</v>
      </c>
      <c r="AX54">
        <f t="shared" si="104"/>
        <v>66960000</v>
      </c>
      <c r="AY54">
        <f t="shared" si="17"/>
        <v>1116</v>
      </c>
      <c r="AZ54">
        <f t="shared" si="18"/>
        <v>2232</v>
      </c>
      <c r="BA54">
        <f t="shared" si="19"/>
        <v>17280</v>
      </c>
      <c r="BB54">
        <f t="shared" si="20"/>
        <v>558</v>
      </c>
      <c r="BC54">
        <f t="shared" si="105"/>
        <v>66960000</v>
      </c>
      <c r="BD54">
        <f t="shared" si="22"/>
        <v>0.29411764705882354</v>
      </c>
      <c r="BE54" s="27">
        <f t="shared" si="106"/>
        <v>13338833.76</v>
      </c>
      <c r="BF54" s="30">
        <f t="shared" si="24"/>
        <v>0.31440000000000001</v>
      </c>
      <c r="BG54" s="27"/>
      <c r="BH54" s="27"/>
      <c r="BI54" s="27"/>
      <c r="CA54" s="20">
        <f t="shared" si="25"/>
        <v>125</v>
      </c>
      <c r="CB54" s="20">
        <f t="shared" si="26"/>
        <v>12500</v>
      </c>
      <c r="CC54" s="31" t="s">
        <v>170</v>
      </c>
      <c r="CD54" s="20">
        <v>106</v>
      </c>
      <c r="CE54" s="20" t="s">
        <v>152</v>
      </c>
      <c r="CF54" s="20">
        <v>4</v>
      </c>
      <c r="CG54" s="20">
        <v>0</v>
      </c>
      <c r="CH54" s="20">
        <v>0</v>
      </c>
      <c r="CI54" s="20">
        <v>0</v>
      </c>
      <c r="CJ54" s="20">
        <v>200</v>
      </c>
      <c r="CK54" s="20">
        <v>5</v>
      </c>
      <c r="CM54" s="20"/>
    </row>
    <row r="55" spans="1:91" x14ac:dyDescent="0.15">
      <c r="A55">
        <v>607</v>
      </c>
      <c r="B55" s="3" t="s">
        <v>126</v>
      </c>
      <c r="C55" s="4" t="s">
        <v>109</v>
      </c>
      <c r="D55" s="4" t="s">
        <v>110</v>
      </c>
      <c r="E55" s="5">
        <v>2</v>
      </c>
      <c r="F55" s="7" t="s">
        <v>143</v>
      </c>
      <c r="G55" s="5">
        <v>3</v>
      </c>
      <c r="H55" s="7" t="s">
        <v>193</v>
      </c>
      <c r="I55" s="5">
        <v>0</v>
      </c>
      <c r="J55" s="5">
        <v>0</v>
      </c>
      <c r="K55">
        <v>2</v>
      </c>
      <c r="L55">
        <v>1.5</v>
      </c>
      <c r="M55" s="5">
        <v>1.5</v>
      </c>
      <c r="N55" s="5">
        <v>10</v>
      </c>
      <c r="O55" s="5">
        <f t="shared" si="9"/>
        <v>14309</v>
      </c>
      <c r="P55" s="5">
        <f t="shared" si="10"/>
        <v>70308000</v>
      </c>
      <c r="Q55" s="5">
        <f t="shared" si="11"/>
        <v>1171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70071</v>
      </c>
      <c r="X55" s="6" t="s">
        <v>185</v>
      </c>
      <c r="Y55" s="5">
        <v>300</v>
      </c>
      <c r="Z55" s="5">
        <v>1</v>
      </c>
      <c r="AA55" s="5">
        <v>3123036</v>
      </c>
      <c r="AB55" s="16" t="s">
        <v>111</v>
      </c>
      <c r="AC55" s="7" t="s">
        <v>112</v>
      </c>
      <c r="AD55" s="7" t="s">
        <v>112</v>
      </c>
      <c r="AE55" s="7" t="s">
        <v>112</v>
      </c>
      <c r="AF55" s="6" t="s">
        <v>113</v>
      </c>
      <c r="AG55" s="26" t="str">
        <f t="shared" ref="AG55" si="331">CM$10</f>
        <v>4,14,28,14,6,4,14,28,14,6</v>
      </c>
      <c r="AH55" s="26" t="str">
        <f t="shared" ref="AH55" si="332">CN$10</f>
        <v>0,0,0,0,1,0,0,0,0,1</v>
      </c>
      <c r="AI55" s="26" t="str">
        <f t="shared" ref="AI55" si="333">CO$10</f>
        <v>0,0,0,0,1,0,0,0,0,1</v>
      </c>
      <c r="AJ55" s="26" t="str">
        <f t="shared" ref="AJ55" si="334">CP$10</f>
        <v>0,0,0,0,5,0,0,0,0,5</v>
      </c>
      <c r="AK55" s="26" t="str">
        <f t="shared" ref="AK55" si="335">CQ$10</f>
        <v>200,1,1000,2,5,200,1,1000,2,5</v>
      </c>
      <c r="AL55" s="26" t="str">
        <f t="shared" ref="AL55" si="336">CR$10</f>
        <v>5,5,5,5,5,5,5,5,5,5</v>
      </c>
      <c r="AM55" s="7">
        <v>2001</v>
      </c>
      <c r="AO55">
        <f t="shared" ref="AO55" si="337">AQ55*100+7</f>
        <v>607</v>
      </c>
      <c r="AP55">
        <v>51</v>
      </c>
      <c r="AQ55">
        <f t="shared" si="13"/>
        <v>6</v>
      </c>
      <c r="AR55" s="17">
        <v>6</v>
      </c>
      <c r="AS55" s="17">
        <f t="shared" si="60"/>
        <v>95</v>
      </c>
      <c r="AT55" s="17">
        <v>5</v>
      </c>
      <c r="AU55">
        <f t="shared" si="14"/>
        <v>20</v>
      </c>
      <c r="AV55">
        <v>150</v>
      </c>
      <c r="AW55">
        <f t="shared" si="15"/>
        <v>14309.08416</v>
      </c>
      <c r="AX55">
        <f t="shared" si="104"/>
        <v>70308000</v>
      </c>
      <c r="AY55">
        <f t="shared" si="17"/>
        <v>1171.8</v>
      </c>
      <c r="AZ55">
        <f t="shared" si="18"/>
        <v>2343.6</v>
      </c>
      <c r="BA55">
        <f t="shared" si="19"/>
        <v>18144</v>
      </c>
      <c r="BB55">
        <f t="shared" si="20"/>
        <v>585.9</v>
      </c>
      <c r="BC55">
        <f t="shared" si="105"/>
        <v>70308000</v>
      </c>
      <c r="BD55">
        <f t="shared" si="22"/>
        <v>0.29411764705882354</v>
      </c>
      <c r="BE55" s="27">
        <f t="shared" si="106"/>
        <v>14706064.2204</v>
      </c>
      <c r="BF55" s="30">
        <f t="shared" si="24"/>
        <v>0.31440000000000001</v>
      </c>
      <c r="BG55" s="27"/>
      <c r="BH55" s="27"/>
      <c r="BI55" s="27"/>
      <c r="CA55" s="20">
        <f t="shared" si="25"/>
        <v>125</v>
      </c>
      <c r="CB55" s="20">
        <f t="shared" si="26"/>
        <v>12500</v>
      </c>
      <c r="CC55" s="31"/>
      <c r="CD55" s="20">
        <v>106</v>
      </c>
      <c r="CE55" s="20" t="s">
        <v>171</v>
      </c>
      <c r="CF55" s="20">
        <v>33</v>
      </c>
      <c r="CG55" s="20">
        <v>6</v>
      </c>
      <c r="CH55" s="20">
        <v>0</v>
      </c>
      <c r="CI55" s="20">
        <v>0</v>
      </c>
      <c r="CJ55" s="20">
        <v>1</v>
      </c>
      <c r="CK55" s="20">
        <v>5</v>
      </c>
      <c r="CM55" s="20"/>
    </row>
    <row r="56" spans="1:91" x14ac:dyDescent="0.15">
      <c r="A56">
        <v>608</v>
      </c>
      <c r="B56" s="3" t="s">
        <v>128</v>
      </c>
      <c r="C56" s="4" t="s">
        <v>109</v>
      </c>
      <c r="D56" s="4" t="s">
        <v>110</v>
      </c>
      <c r="E56" s="5">
        <v>5</v>
      </c>
      <c r="F56" s="7" t="s">
        <v>129</v>
      </c>
      <c r="G56" s="5">
        <v>2</v>
      </c>
      <c r="H56" s="7" t="s">
        <v>130</v>
      </c>
      <c r="I56" s="5">
        <v>0</v>
      </c>
      <c r="J56" s="5">
        <v>0</v>
      </c>
      <c r="K56">
        <v>2</v>
      </c>
      <c r="L56">
        <v>1.5</v>
      </c>
      <c r="M56" s="5">
        <v>1.5</v>
      </c>
      <c r="N56" s="5">
        <v>10</v>
      </c>
      <c r="O56" s="5">
        <f t="shared" si="9"/>
        <v>14990</v>
      </c>
      <c r="P56" s="5">
        <f t="shared" si="10"/>
        <v>73656000</v>
      </c>
      <c r="Q56" s="5">
        <f t="shared" si="11"/>
        <v>1227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70081</v>
      </c>
      <c r="X56" s="6" t="s">
        <v>186</v>
      </c>
      <c r="Y56" s="5">
        <v>300</v>
      </c>
      <c r="Z56" s="5">
        <v>1</v>
      </c>
      <c r="AA56" s="5">
        <v>3553321</v>
      </c>
      <c r="AB56" s="16" t="s">
        <v>111</v>
      </c>
      <c r="AC56" s="7" t="s">
        <v>112</v>
      </c>
      <c r="AD56" s="7" t="s">
        <v>112</v>
      </c>
      <c r="AE56" s="7" t="s">
        <v>112</v>
      </c>
      <c r="AF56" s="6" t="s">
        <v>113</v>
      </c>
      <c r="AG56" s="26" t="str">
        <f t="shared" ref="AG56" si="338">CM$11</f>
        <v>4,28,6,28,6,4,28,6,28,6</v>
      </c>
      <c r="AH56" s="26" t="str">
        <f t="shared" ref="AH56" si="339">CN$11</f>
        <v>0,0,1,0,1,0,0,1,0,1</v>
      </c>
      <c r="AI56" s="26" t="str">
        <f t="shared" ref="AI56" si="340">CO$11</f>
        <v>0,0,1,0,1,0,0,1,0,1</v>
      </c>
      <c r="AJ56" s="26" t="str">
        <f t="shared" ref="AJ56" si="341">CP$11</f>
        <v>0,0,5,0,5,0,0,5,0,5</v>
      </c>
      <c r="AK56" s="26" t="str">
        <f t="shared" ref="AK56" si="342">CQ$11</f>
        <v>100,1000,5,1500,5,200,1000,5,1500,5</v>
      </c>
      <c r="AL56" s="26" t="str">
        <f t="shared" ref="AL56" si="343">CR$11</f>
        <v>5,5,5,5,5,5,5,5,5,5</v>
      </c>
      <c r="AM56" s="7">
        <v>2001</v>
      </c>
      <c r="AO56">
        <f t="shared" ref="AO56" si="344">AQ56*100+8</f>
        <v>608</v>
      </c>
      <c r="AP56">
        <v>52</v>
      </c>
      <c r="AQ56">
        <f t="shared" si="13"/>
        <v>6</v>
      </c>
      <c r="AR56" s="17">
        <v>6</v>
      </c>
      <c r="AS56" s="17">
        <f t="shared" si="60"/>
        <v>100</v>
      </c>
      <c r="AT56" s="17">
        <v>5</v>
      </c>
      <c r="AU56">
        <f t="shared" si="14"/>
        <v>20</v>
      </c>
      <c r="AV56">
        <v>150</v>
      </c>
      <c r="AW56">
        <f t="shared" si="15"/>
        <v>14990.46912</v>
      </c>
      <c r="AX56">
        <f t="shared" si="104"/>
        <v>73656000.000000015</v>
      </c>
      <c r="AY56">
        <f t="shared" si="17"/>
        <v>1227.6000000000001</v>
      </c>
      <c r="AZ56">
        <f t="shared" si="18"/>
        <v>2455.2000000000003</v>
      </c>
      <c r="BA56">
        <f t="shared" si="19"/>
        <v>19008</v>
      </c>
      <c r="BB56">
        <f t="shared" si="20"/>
        <v>613.80000000000007</v>
      </c>
      <c r="BC56">
        <f t="shared" si="105"/>
        <v>73656000.000000015</v>
      </c>
      <c r="BD56">
        <f t="shared" si="22"/>
        <v>0.29411764705882354</v>
      </c>
      <c r="BE56" s="27">
        <f t="shared" si="106"/>
        <v>16139988.849600006</v>
      </c>
      <c r="BF56" s="30">
        <f t="shared" si="24"/>
        <v>0.31440000000000001</v>
      </c>
      <c r="BG56" s="27"/>
      <c r="BH56" s="27"/>
      <c r="BI56" s="27"/>
      <c r="CA56" s="20">
        <f t="shared" si="25"/>
        <v>125</v>
      </c>
      <c r="CB56" s="20">
        <f t="shared" si="26"/>
        <v>12500</v>
      </c>
      <c r="CC56" s="31"/>
      <c r="CD56" s="20">
        <v>106</v>
      </c>
      <c r="CE56" s="20" t="s">
        <v>162</v>
      </c>
      <c r="CF56" s="20">
        <v>28</v>
      </c>
      <c r="CG56" s="20">
        <v>0</v>
      </c>
      <c r="CH56" s="20">
        <v>0</v>
      </c>
      <c r="CI56" s="20">
        <v>0</v>
      </c>
      <c r="CJ56" s="20">
        <v>1000</v>
      </c>
      <c r="CK56" s="20">
        <v>5</v>
      </c>
      <c r="CM56" s="20"/>
    </row>
    <row r="57" spans="1:91" x14ac:dyDescent="0.15">
      <c r="A57">
        <v>609</v>
      </c>
      <c r="B57" s="3" t="s">
        <v>132</v>
      </c>
      <c r="C57" s="4" t="s">
        <v>109</v>
      </c>
      <c r="D57" s="4" t="s">
        <v>110</v>
      </c>
      <c r="E57" s="5">
        <v>5</v>
      </c>
      <c r="F57" s="7" t="s">
        <v>140</v>
      </c>
      <c r="G57" s="5">
        <v>3</v>
      </c>
      <c r="H57" s="7" t="s">
        <v>140</v>
      </c>
      <c r="I57" s="5">
        <v>0</v>
      </c>
      <c r="J57" s="7">
        <v>0</v>
      </c>
      <c r="K57">
        <v>6</v>
      </c>
      <c r="L57">
        <v>1.5</v>
      </c>
      <c r="M57" s="5">
        <v>1.5</v>
      </c>
      <c r="N57" s="5">
        <v>10</v>
      </c>
      <c r="O57" s="5">
        <f t="shared" si="9"/>
        <v>15671</v>
      </c>
      <c r="P57" s="5">
        <f t="shared" si="10"/>
        <v>77004000</v>
      </c>
      <c r="Q57" s="5">
        <f t="shared" si="11"/>
        <v>1283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70091</v>
      </c>
      <c r="X57" s="6" t="s">
        <v>187</v>
      </c>
      <c r="Y57" s="5">
        <v>300</v>
      </c>
      <c r="Z57" s="5">
        <v>1</v>
      </c>
      <c r="AA57" s="5">
        <v>4011366</v>
      </c>
      <c r="AB57" s="16" t="s">
        <v>111</v>
      </c>
      <c r="AC57" s="7" t="s">
        <v>112</v>
      </c>
      <c r="AD57" s="7" t="s">
        <v>112</v>
      </c>
      <c r="AE57" s="7" t="s">
        <v>112</v>
      </c>
      <c r="AF57" s="6" t="s">
        <v>113</v>
      </c>
      <c r="AG57" s="26" t="str">
        <f t="shared" ref="AG57" si="345">CM$12</f>
        <v>4,33,28,33,6,4,33,28,33,6</v>
      </c>
      <c r="AH57" s="26" t="str">
        <f t="shared" ref="AH57" si="346">CN$12</f>
        <v>0,5,0,5,1,0,5,0,5,1</v>
      </c>
      <c r="AI57" s="26" t="str">
        <f t="shared" ref="AI57" si="347">CO$12</f>
        <v>0,0,0,0,1,0,0,0,0,1</v>
      </c>
      <c r="AJ57" s="26" t="str">
        <f t="shared" ref="AJ57" si="348">CP$12</f>
        <v>0,0,0,0,5,0,0,0,0,5</v>
      </c>
      <c r="AK57" s="26" t="str">
        <f t="shared" ref="AK57" si="349">CQ$12</f>
        <v>100,1,1000,2,5,200,1,1000,2,5</v>
      </c>
      <c r="AL57" s="26" t="str">
        <f t="shared" ref="AL57" si="350">CR$12</f>
        <v>5,5,5,5,5,5,5,5,5,5</v>
      </c>
      <c r="AM57" s="7">
        <v>2001</v>
      </c>
      <c r="AO57">
        <f t="shared" ref="AO57" si="351">AQ57*100+9</f>
        <v>609</v>
      </c>
      <c r="AP57">
        <v>53</v>
      </c>
      <c r="AQ57">
        <f t="shared" si="13"/>
        <v>6</v>
      </c>
      <c r="AR57" s="17">
        <v>6</v>
      </c>
      <c r="AS57" s="17">
        <f t="shared" si="60"/>
        <v>105</v>
      </c>
      <c r="AT57" s="17">
        <v>5</v>
      </c>
      <c r="AU57">
        <f t="shared" si="14"/>
        <v>20</v>
      </c>
      <c r="AV57">
        <v>150</v>
      </c>
      <c r="AW57">
        <f t="shared" si="15"/>
        <v>15671.854079999999</v>
      </c>
      <c r="AX57">
        <f t="shared" si="104"/>
        <v>77004000</v>
      </c>
      <c r="AY57">
        <f t="shared" si="17"/>
        <v>1283.4000000000001</v>
      </c>
      <c r="AZ57">
        <f t="shared" si="18"/>
        <v>2566.8000000000002</v>
      </c>
      <c r="BA57">
        <f t="shared" si="19"/>
        <v>19872</v>
      </c>
      <c r="BB57">
        <f t="shared" si="20"/>
        <v>641.70000000000005</v>
      </c>
      <c r="BC57">
        <f t="shared" si="105"/>
        <v>77004000</v>
      </c>
      <c r="BD57">
        <f t="shared" si="22"/>
        <v>0.29411764705882348</v>
      </c>
      <c r="BE57" s="27">
        <f t="shared" si="106"/>
        <v>17640607.647600003</v>
      </c>
      <c r="BF57" s="30">
        <f t="shared" si="24"/>
        <v>0.31440000000000001</v>
      </c>
      <c r="BG57" s="27"/>
      <c r="BH57" s="27"/>
      <c r="BI57" s="27"/>
      <c r="CA57" s="20">
        <f t="shared" si="25"/>
        <v>125</v>
      </c>
      <c r="CB57" s="20">
        <f t="shared" si="26"/>
        <v>12500</v>
      </c>
      <c r="CC57" s="31"/>
      <c r="CD57" s="20">
        <v>106</v>
      </c>
      <c r="CE57" s="20" t="s">
        <v>172</v>
      </c>
      <c r="CF57" s="20">
        <v>33</v>
      </c>
      <c r="CG57" s="20">
        <v>6</v>
      </c>
      <c r="CH57" s="20">
        <v>0</v>
      </c>
      <c r="CI57" s="20">
        <v>0</v>
      </c>
      <c r="CJ57" s="20">
        <v>2</v>
      </c>
      <c r="CK57" s="20">
        <v>5</v>
      </c>
      <c r="CM57" s="20"/>
    </row>
    <row r="58" spans="1:91" x14ac:dyDescent="0.15">
      <c r="A58">
        <v>701</v>
      </c>
      <c r="B58" s="3" t="s">
        <v>108</v>
      </c>
      <c r="C58" s="4" t="s">
        <v>109</v>
      </c>
      <c r="D58" s="4" t="s">
        <v>110</v>
      </c>
      <c r="E58" s="5">
        <v>3</v>
      </c>
      <c r="F58" s="7" t="s">
        <v>141</v>
      </c>
      <c r="G58" s="5">
        <v>2.5</v>
      </c>
      <c r="H58" s="7" t="s">
        <v>194</v>
      </c>
      <c r="I58" s="5">
        <v>0</v>
      </c>
      <c r="J58" s="5">
        <v>0</v>
      </c>
      <c r="K58">
        <v>2</v>
      </c>
      <c r="L58">
        <v>1.5</v>
      </c>
      <c r="M58" s="5">
        <v>1.5</v>
      </c>
      <c r="N58" s="5">
        <v>10</v>
      </c>
      <c r="O58" s="5">
        <f t="shared" si="9"/>
        <v>10922</v>
      </c>
      <c r="P58" s="5">
        <f t="shared" si="10"/>
        <v>53568000</v>
      </c>
      <c r="Q58" s="5">
        <f t="shared" si="11"/>
        <v>892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70011</v>
      </c>
      <c r="X58" s="6" t="s">
        <v>179</v>
      </c>
      <c r="Y58" s="5">
        <v>300</v>
      </c>
      <c r="Z58" s="5">
        <v>1</v>
      </c>
      <c r="AA58" s="5">
        <v>4497172</v>
      </c>
      <c r="AB58" s="16" t="s">
        <v>111</v>
      </c>
      <c r="AC58" s="7" t="s">
        <v>112</v>
      </c>
      <c r="AD58" s="7" t="s">
        <v>112</v>
      </c>
      <c r="AE58" s="7" t="s">
        <v>112</v>
      </c>
      <c r="AF58" s="6" t="s">
        <v>113</v>
      </c>
      <c r="AG58" s="26" t="str">
        <f t="shared" ref="AG58" si="352">CM$4</f>
        <v>4,33,28,33,6,4,33,28,33,6</v>
      </c>
      <c r="AH58" s="26" t="str">
        <f t="shared" ref="AH58" si="353">CN$4</f>
        <v>0,8,0,8,1,0,8,0,8,1</v>
      </c>
      <c r="AI58" s="26" t="str">
        <f t="shared" ref="AI58" si="354">CO$4</f>
        <v>0,0,0,0,1,0,0,0,0,1</v>
      </c>
      <c r="AJ58" s="26" t="str">
        <f t="shared" ref="AJ58" si="355">CP$4</f>
        <v>0,0,0,0,5,0,0,0,0,5</v>
      </c>
      <c r="AK58" s="26" t="str">
        <f t="shared" ref="AK58" si="356">CQ$4</f>
        <v>100,1,1000,2,5,200,1,1000,2,5</v>
      </c>
      <c r="AL58" s="26" t="str">
        <f t="shared" ref="AL58" si="357">CR$4</f>
        <v>5,5,5,5,5,5,5,5,5,5</v>
      </c>
      <c r="AM58" s="7">
        <v>2001</v>
      </c>
      <c r="AO58">
        <f t="shared" ref="AO58" si="358">AQ58*100+1</f>
        <v>701</v>
      </c>
      <c r="AP58">
        <v>54</v>
      </c>
      <c r="AQ58">
        <f t="shared" si="13"/>
        <v>7</v>
      </c>
      <c r="AR58" s="17">
        <v>6</v>
      </c>
      <c r="AS58" s="17">
        <f t="shared" si="60"/>
        <v>70</v>
      </c>
      <c r="AT58" s="17">
        <v>5</v>
      </c>
      <c r="AU58">
        <f t="shared" si="14"/>
        <v>20</v>
      </c>
      <c r="AV58">
        <v>150</v>
      </c>
      <c r="AW58">
        <f t="shared" si="15"/>
        <v>10922.065919999999</v>
      </c>
      <c r="AX58">
        <f t="shared" si="104"/>
        <v>53568000.000000007</v>
      </c>
      <c r="AY58">
        <f t="shared" si="17"/>
        <v>892.80000000000007</v>
      </c>
      <c r="AZ58">
        <f t="shared" si="18"/>
        <v>1785.6000000000001</v>
      </c>
      <c r="BA58">
        <f t="shared" si="19"/>
        <v>13824</v>
      </c>
      <c r="BB58">
        <f t="shared" si="20"/>
        <v>446.40000000000003</v>
      </c>
      <c r="BC58">
        <f t="shared" si="105"/>
        <v>53568000.000000007</v>
      </c>
      <c r="BD58">
        <f t="shared" si="22"/>
        <v>0.29411764705882354</v>
      </c>
      <c r="BE58" s="27">
        <f t="shared" si="106"/>
        <v>8536853.6064000037</v>
      </c>
      <c r="BF58" s="30">
        <f t="shared" si="24"/>
        <v>0.31679999999999997</v>
      </c>
      <c r="BG58" s="27"/>
      <c r="BH58" s="27"/>
      <c r="BI58" s="27"/>
      <c r="CA58" s="20">
        <f t="shared" si="25"/>
        <v>130</v>
      </c>
      <c r="CB58" s="20">
        <f t="shared" si="26"/>
        <v>13000</v>
      </c>
      <c r="CC58" s="31"/>
      <c r="CD58" s="20">
        <v>106</v>
      </c>
      <c r="CE58" s="20" t="s">
        <v>155</v>
      </c>
      <c r="CF58" s="20">
        <v>6</v>
      </c>
      <c r="CG58" s="20">
        <v>1</v>
      </c>
      <c r="CH58" s="20">
        <v>1</v>
      </c>
      <c r="CI58" s="20">
        <v>5</v>
      </c>
      <c r="CJ58" s="20">
        <v>5</v>
      </c>
      <c r="CK58" s="20">
        <v>5</v>
      </c>
      <c r="CM58" s="20"/>
    </row>
    <row r="59" spans="1:91" x14ac:dyDescent="0.15">
      <c r="A59">
        <v>702</v>
      </c>
      <c r="B59" s="3" t="s">
        <v>115</v>
      </c>
      <c r="C59" s="4" t="s">
        <v>109</v>
      </c>
      <c r="D59" s="6" t="s">
        <v>110</v>
      </c>
      <c r="E59" s="5">
        <v>3</v>
      </c>
      <c r="F59" s="7" t="s">
        <v>142</v>
      </c>
      <c r="G59" s="5">
        <v>3</v>
      </c>
      <c r="H59" s="7" t="s">
        <v>188</v>
      </c>
      <c r="I59" s="5">
        <v>0</v>
      </c>
      <c r="J59" s="5">
        <v>0</v>
      </c>
      <c r="K59">
        <v>2</v>
      </c>
      <c r="L59">
        <v>1.5</v>
      </c>
      <c r="M59" s="5">
        <v>1.5</v>
      </c>
      <c r="N59" s="5">
        <v>10</v>
      </c>
      <c r="O59" s="5">
        <f t="shared" si="9"/>
        <v>11604</v>
      </c>
      <c r="P59" s="5">
        <f t="shared" si="10"/>
        <v>56916000</v>
      </c>
      <c r="Q59" s="5">
        <f t="shared" si="11"/>
        <v>948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70021</v>
      </c>
      <c r="X59" s="6" t="s">
        <v>180</v>
      </c>
      <c r="Y59" s="5">
        <v>300</v>
      </c>
      <c r="Z59" s="5">
        <v>1</v>
      </c>
      <c r="AA59" s="5">
        <v>1679499</v>
      </c>
      <c r="AB59" s="16" t="s">
        <v>111</v>
      </c>
      <c r="AC59" s="7" t="s">
        <v>112</v>
      </c>
      <c r="AD59" s="7" t="s">
        <v>112</v>
      </c>
      <c r="AE59" s="7" t="s">
        <v>112</v>
      </c>
      <c r="AF59" s="6" t="s">
        <v>113</v>
      </c>
      <c r="AG59" s="26" t="str">
        <f t="shared" ref="AG59" si="359">CM$5</f>
        <v>4,33,28,33,6,4,33,28,33,6</v>
      </c>
      <c r="AH59" s="26" t="str">
        <f t="shared" ref="AH59" si="360">CN$5</f>
        <v>0,7,0,7,1,0,7,0,7,1</v>
      </c>
      <c r="AI59" s="26" t="str">
        <f t="shared" ref="AI59" si="361">CO$5</f>
        <v>0,0,0,0,1,0,0,0,0,1</v>
      </c>
      <c r="AJ59" s="26" t="str">
        <f t="shared" ref="AJ59" si="362">CP$5</f>
        <v>0,0,0,0,5,0,0,0,0,5</v>
      </c>
      <c r="AK59" s="26" t="str">
        <f t="shared" ref="AK59" si="363">CQ$5</f>
        <v>100,1,1000,2,5,200,1,1000,2,5</v>
      </c>
      <c r="AL59" s="26" t="str">
        <f t="shared" ref="AL59" si="364">CR$5</f>
        <v>5,5,5,5,5,5,5,5,5,5</v>
      </c>
      <c r="AM59" s="7">
        <v>2001</v>
      </c>
      <c r="AO59">
        <f t="shared" ref="AO59" si="365">AQ59*100+2</f>
        <v>702</v>
      </c>
      <c r="AP59">
        <v>55</v>
      </c>
      <c r="AQ59">
        <f t="shared" si="13"/>
        <v>7</v>
      </c>
      <c r="AR59" s="17">
        <v>6</v>
      </c>
      <c r="AS59" s="17">
        <f t="shared" si="60"/>
        <v>75</v>
      </c>
      <c r="AT59" s="17">
        <v>5</v>
      </c>
      <c r="AU59">
        <f t="shared" si="14"/>
        <v>20</v>
      </c>
      <c r="AV59">
        <v>150</v>
      </c>
      <c r="AW59">
        <f t="shared" si="15"/>
        <v>11604.695039999999</v>
      </c>
      <c r="AX59">
        <f t="shared" si="104"/>
        <v>56916000</v>
      </c>
      <c r="AY59">
        <f t="shared" si="17"/>
        <v>948.6</v>
      </c>
      <c r="AZ59">
        <f t="shared" si="18"/>
        <v>1897.2</v>
      </c>
      <c r="BA59">
        <f t="shared" si="19"/>
        <v>14688</v>
      </c>
      <c r="BB59">
        <f t="shared" si="20"/>
        <v>474.3</v>
      </c>
      <c r="BC59">
        <f t="shared" si="105"/>
        <v>56916000</v>
      </c>
      <c r="BD59">
        <f t="shared" si="22"/>
        <v>0.29411764705882348</v>
      </c>
      <c r="BE59" s="27">
        <f t="shared" si="106"/>
        <v>9637307.3916000016</v>
      </c>
      <c r="BF59" s="30">
        <f t="shared" si="24"/>
        <v>0.31679999999999997</v>
      </c>
      <c r="BG59" s="27"/>
      <c r="BH59" s="27"/>
      <c r="BI59" s="27"/>
      <c r="CA59" s="20">
        <f t="shared" si="25"/>
        <v>130</v>
      </c>
      <c r="CB59" s="20">
        <f t="shared" si="26"/>
        <v>13000</v>
      </c>
      <c r="CC59" s="31"/>
      <c r="CD59" s="20">
        <v>106</v>
      </c>
      <c r="CE59" s="20" t="s">
        <v>153</v>
      </c>
      <c r="CF59" s="20">
        <v>4</v>
      </c>
      <c r="CG59" s="20">
        <v>0</v>
      </c>
      <c r="CH59" s="20">
        <v>0</v>
      </c>
      <c r="CI59" s="20">
        <v>0</v>
      </c>
      <c r="CJ59" s="20">
        <v>200</v>
      </c>
      <c r="CK59" s="20">
        <v>5</v>
      </c>
      <c r="CM59" s="20"/>
    </row>
    <row r="60" spans="1:91" x14ac:dyDescent="0.15">
      <c r="A60">
        <v>703</v>
      </c>
      <c r="B60" s="3" t="s">
        <v>117</v>
      </c>
      <c r="C60" s="4" t="s">
        <v>109</v>
      </c>
      <c r="D60" s="4" t="s">
        <v>110</v>
      </c>
      <c r="E60" s="5">
        <v>1</v>
      </c>
      <c r="F60" s="7" t="s">
        <v>144</v>
      </c>
      <c r="G60" s="5">
        <v>3</v>
      </c>
      <c r="H60" s="7" t="s">
        <v>189</v>
      </c>
      <c r="I60" s="5">
        <v>0</v>
      </c>
      <c r="J60" s="2">
        <v>0</v>
      </c>
      <c r="K60">
        <v>6</v>
      </c>
      <c r="L60">
        <v>1.5</v>
      </c>
      <c r="M60" s="5">
        <v>1.5</v>
      </c>
      <c r="N60" s="5">
        <v>10</v>
      </c>
      <c r="O60" s="5">
        <f t="shared" si="9"/>
        <v>12287</v>
      </c>
      <c r="P60" s="5">
        <f t="shared" si="10"/>
        <v>60264000</v>
      </c>
      <c r="Q60" s="5">
        <f t="shared" si="11"/>
        <v>1004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70031</v>
      </c>
      <c r="X60" s="6" t="s">
        <v>181</v>
      </c>
      <c r="Y60" s="5">
        <v>300</v>
      </c>
      <c r="Z60" s="5">
        <v>1</v>
      </c>
      <c r="AA60" s="5">
        <v>1998743</v>
      </c>
      <c r="AB60" s="16" t="s">
        <v>111</v>
      </c>
      <c r="AC60" s="7" t="s">
        <v>112</v>
      </c>
      <c r="AD60" s="7" t="s">
        <v>112</v>
      </c>
      <c r="AE60" s="7" t="s">
        <v>112</v>
      </c>
      <c r="AF60" s="6" t="s">
        <v>113</v>
      </c>
      <c r="AG60" s="26" t="str">
        <f t="shared" ref="AG60" si="366">CM$6</f>
        <v>4,28,6,28,6,4,28,6,28,6</v>
      </c>
      <c r="AH60" s="26" t="str">
        <f t="shared" ref="AH60" si="367">CN$6</f>
        <v>0,0,1,0,1,0,0,1,0,1</v>
      </c>
      <c r="AI60" s="26" t="str">
        <f t="shared" ref="AI60" si="368">CO$6</f>
        <v>0,0,0,0,1,0,0,0,0,1</v>
      </c>
      <c r="AJ60" s="26" t="str">
        <f t="shared" ref="AJ60" si="369">CP$6</f>
        <v>0,0,5,0,5,0,0,5,0,5</v>
      </c>
      <c r="AK60" s="26" t="str">
        <f t="shared" ref="AK60" si="370">CQ$6</f>
        <v>100,1000,5,1500,5,200,1000,5,1500,5</v>
      </c>
      <c r="AL60" s="26" t="str">
        <f t="shared" ref="AL60" si="371">CR$6</f>
        <v>5,5,5,5,5,5,5,5,5,5</v>
      </c>
      <c r="AM60" s="7">
        <v>2001</v>
      </c>
      <c r="AO60">
        <f t="shared" ref="AO60" si="372">AQ60*100+3</f>
        <v>703</v>
      </c>
      <c r="AP60">
        <v>56</v>
      </c>
      <c r="AQ60">
        <f t="shared" si="13"/>
        <v>7</v>
      </c>
      <c r="AR60" s="17">
        <v>6</v>
      </c>
      <c r="AS60" s="17">
        <f t="shared" si="60"/>
        <v>80</v>
      </c>
      <c r="AT60" s="17">
        <v>5</v>
      </c>
      <c r="AU60">
        <f t="shared" si="14"/>
        <v>20</v>
      </c>
      <c r="AV60">
        <v>150</v>
      </c>
      <c r="AW60">
        <f t="shared" si="15"/>
        <v>12287.324159999998</v>
      </c>
      <c r="AX60">
        <f t="shared" si="104"/>
        <v>60264000</v>
      </c>
      <c r="AY60">
        <f t="shared" si="17"/>
        <v>1004.4</v>
      </c>
      <c r="AZ60">
        <f t="shared" si="18"/>
        <v>2008.8</v>
      </c>
      <c r="BA60">
        <f t="shared" si="19"/>
        <v>15552</v>
      </c>
      <c r="BB60">
        <f t="shared" si="20"/>
        <v>502.2</v>
      </c>
      <c r="BC60">
        <f t="shared" si="105"/>
        <v>60264000</v>
      </c>
      <c r="BD60">
        <f t="shared" si="22"/>
        <v>0.29411764705882354</v>
      </c>
      <c r="BE60" s="27">
        <f t="shared" si="106"/>
        <v>10804455.345599998</v>
      </c>
      <c r="BF60" s="30">
        <f t="shared" si="24"/>
        <v>0.31679999999999997</v>
      </c>
      <c r="BG60" s="27"/>
      <c r="BH60" s="27"/>
      <c r="BI60" s="27"/>
      <c r="CA60" s="20">
        <f t="shared" si="25"/>
        <v>130</v>
      </c>
      <c r="CB60" s="20">
        <f t="shared" si="26"/>
        <v>13000</v>
      </c>
      <c r="CC60" s="31"/>
      <c r="CD60" s="20">
        <v>106</v>
      </c>
      <c r="CE60" s="20" t="s">
        <v>171</v>
      </c>
      <c r="CF60" s="20">
        <v>33</v>
      </c>
      <c r="CG60" s="20">
        <v>6</v>
      </c>
      <c r="CH60" s="20">
        <v>0</v>
      </c>
      <c r="CI60" s="20">
        <v>0</v>
      </c>
      <c r="CJ60" s="20">
        <v>1</v>
      </c>
      <c r="CK60" s="20">
        <v>5</v>
      </c>
      <c r="CM60" s="20"/>
    </row>
    <row r="61" spans="1:91" x14ac:dyDescent="0.15">
      <c r="A61">
        <v>704</v>
      </c>
      <c r="B61" s="3" t="s">
        <v>119</v>
      </c>
      <c r="C61" s="4" t="s">
        <v>109</v>
      </c>
      <c r="D61" s="6" t="s">
        <v>120</v>
      </c>
      <c r="E61" s="5">
        <v>3</v>
      </c>
      <c r="F61" s="7" t="s">
        <v>145</v>
      </c>
      <c r="G61" s="5">
        <v>3</v>
      </c>
      <c r="H61" s="7" t="s">
        <v>190</v>
      </c>
      <c r="I61" s="5">
        <v>0</v>
      </c>
      <c r="J61" s="5">
        <v>0</v>
      </c>
      <c r="K61">
        <v>2</v>
      </c>
      <c r="L61">
        <v>1.5</v>
      </c>
      <c r="M61" s="5">
        <v>1.5</v>
      </c>
      <c r="N61" s="5">
        <v>10</v>
      </c>
      <c r="O61" s="5">
        <f t="shared" si="9"/>
        <v>12969</v>
      </c>
      <c r="P61" s="5">
        <f t="shared" si="10"/>
        <v>63612000</v>
      </c>
      <c r="Q61" s="5">
        <f t="shared" si="11"/>
        <v>1060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70041</v>
      </c>
      <c r="X61" s="6" t="s">
        <v>182</v>
      </c>
      <c r="Y61" s="5">
        <v>300</v>
      </c>
      <c r="Z61" s="5">
        <v>1</v>
      </c>
      <c r="AA61" s="5">
        <v>2345747</v>
      </c>
      <c r="AB61" s="16" t="s">
        <v>111</v>
      </c>
      <c r="AC61" s="7" t="s">
        <v>112</v>
      </c>
      <c r="AD61" s="7" t="s">
        <v>112</v>
      </c>
      <c r="AE61" s="7" t="s">
        <v>112</v>
      </c>
      <c r="AF61" s="6" t="s">
        <v>113</v>
      </c>
      <c r="AG61" s="26" t="str">
        <f t="shared" ref="AG61" si="373">CM$7</f>
        <v>4,14,28,14,6,4,14,28,14,6</v>
      </c>
      <c r="AH61" s="26" t="str">
        <f t="shared" ref="AH61" si="374">CN$7</f>
        <v>0,0,0,0,1,0,0,0,0,1</v>
      </c>
      <c r="AI61" s="26" t="str">
        <f t="shared" ref="AI61" si="375">CO$7</f>
        <v>0,0,0,0,1,0,0,0,0,1</v>
      </c>
      <c r="AJ61" s="26" t="str">
        <f t="shared" ref="AJ61" si="376">CP$7</f>
        <v>0,0,0,0,5,0,0,0,0,5</v>
      </c>
      <c r="AK61" s="26" t="str">
        <f t="shared" ref="AK61" si="377">CQ$7</f>
        <v>100,1,1000,2,5,200,1,1000,2,5</v>
      </c>
      <c r="AL61" s="26" t="str">
        <f t="shared" ref="AL61" si="378">CR$7</f>
        <v>5,5,5,5,5,5,5,5,5,5</v>
      </c>
      <c r="AM61" s="7">
        <v>2001</v>
      </c>
      <c r="AO61">
        <f t="shared" ref="AO61" si="379">AQ61*100+4</f>
        <v>704</v>
      </c>
      <c r="AP61">
        <v>57</v>
      </c>
      <c r="AQ61">
        <f t="shared" si="13"/>
        <v>7</v>
      </c>
      <c r="AR61" s="17">
        <v>6</v>
      </c>
      <c r="AS61" s="17">
        <f t="shared" si="60"/>
        <v>85</v>
      </c>
      <c r="AT61" s="17">
        <v>5</v>
      </c>
      <c r="AU61">
        <f t="shared" si="14"/>
        <v>20</v>
      </c>
      <c r="AV61">
        <v>150</v>
      </c>
      <c r="AW61">
        <f t="shared" si="15"/>
        <v>12969.95328</v>
      </c>
      <c r="AX61">
        <f t="shared" si="104"/>
        <v>63612000</v>
      </c>
      <c r="AY61">
        <f t="shared" si="17"/>
        <v>1060.2</v>
      </c>
      <c r="AZ61">
        <f t="shared" si="18"/>
        <v>2120.4</v>
      </c>
      <c r="BA61">
        <f t="shared" si="19"/>
        <v>16416</v>
      </c>
      <c r="BB61">
        <f t="shared" si="20"/>
        <v>530.1</v>
      </c>
      <c r="BC61">
        <f t="shared" si="105"/>
        <v>63612000</v>
      </c>
      <c r="BD61">
        <f t="shared" si="22"/>
        <v>0.29411764705882348</v>
      </c>
      <c r="BE61" s="27">
        <f t="shared" si="106"/>
        <v>12038297.4684</v>
      </c>
      <c r="BF61" s="30">
        <f t="shared" si="24"/>
        <v>0.31679999999999997</v>
      </c>
      <c r="BG61" s="27"/>
      <c r="BH61" s="27"/>
      <c r="BI61" s="27"/>
      <c r="CA61" s="20">
        <f t="shared" si="25"/>
        <v>130</v>
      </c>
      <c r="CB61" s="20">
        <f t="shared" si="26"/>
        <v>13000</v>
      </c>
      <c r="CC61" s="31"/>
      <c r="CD61" s="20">
        <v>106</v>
      </c>
      <c r="CE61" s="20" t="s">
        <v>162</v>
      </c>
      <c r="CF61" s="20">
        <v>28</v>
      </c>
      <c r="CG61" s="20">
        <v>0</v>
      </c>
      <c r="CH61" s="20">
        <v>0</v>
      </c>
      <c r="CI61" s="20">
        <v>0</v>
      </c>
      <c r="CJ61" s="20">
        <v>1000</v>
      </c>
      <c r="CK61" s="20">
        <v>5</v>
      </c>
      <c r="CM61" s="20"/>
    </row>
    <row r="62" spans="1:91" x14ac:dyDescent="0.15">
      <c r="A62">
        <v>705</v>
      </c>
      <c r="B62" s="3" t="s">
        <v>122</v>
      </c>
      <c r="C62" s="4" t="s">
        <v>109</v>
      </c>
      <c r="D62" s="4" t="s">
        <v>110</v>
      </c>
      <c r="E62" s="5">
        <v>2</v>
      </c>
      <c r="F62" s="7" t="s">
        <v>146</v>
      </c>
      <c r="G62" s="5">
        <v>3</v>
      </c>
      <c r="H62" s="7" t="s">
        <v>191</v>
      </c>
      <c r="I62" s="5">
        <v>0</v>
      </c>
      <c r="J62" s="7" t="s">
        <v>148</v>
      </c>
      <c r="K62">
        <v>6</v>
      </c>
      <c r="L62">
        <v>1.5</v>
      </c>
      <c r="M62" s="5">
        <v>1.5</v>
      </c>
      <c r="N62" s="5">
        <v>10</v>
      </c>
      <c r="O62" s="5">
        <f t="shared" si="9"/>
        <v>13652</v>
      </c>
      <c r="P62" s="5">
        <f t="shared" si="10"/>
        <v>66960000</v>
      </c>
      <c r="Q62" s="5">
        <f t="shared" si="11"/>
        <v>1116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70051</v>
      </c>
      <c r="X62" s="6" t="s">
        <v>183</v>
      </c>
      <c r="Y62" s="5">
        <v>300</v>
      </c>
      <c r="Z62" s="5">
        <v>1</v>
      </c>
      <c r="AA62" s="5">
        <v>2720511</v>
      </c>
      <c r="AB62" s="16" t="s">
        <v>111</v>
      </c>
      <c r="AC62" s="7" t="s">
        <v>112</v>
      </c>
      <c r="AD62" s="7" t="s">
        <v>112</v>
      </c>
      <c r="AE62" s="7" t="s">
        <v>112</v>
      </c>
      <c r="AF62" s="6" t="s">
        <v>113</v>
      </c>
      <c r="AG62" s="26" t="str">
        <f t="shared" ref="AG62" si="380">CM$8</f>
        <v>4,19,28,19,6,4,19,28,19,6</v>
      </c>
      <c r="AH62" s="26" t="str">
        <f t="shared" ref="AH62" si="381">CN$8</f>
        <v>0,0,0,0,1,0,0,0,0,1</v>
      </c>
      <c r="AI62" s="26" t="str">
        <f t="shared" ref="AI62" si="382">CO$8</f>
        <v>0,0,0,0,1,0,0,0,0,1</v>
      </c>
      <c r="AJ62" s="26" t="str">
        <f t="shared" ref="AJ62" si="383">CP$8</f>
        <v>0,0,0,0,5,0,0,0,0,5</v>
      </c>
      <c r="AK62" s="26" t="str">
        <f t="shared" ref="AK62" si="384">CQ$8</f>
        <v>200,100,1000,200,5,200,100,1000,200,5</v>
      </c>
      <c r="AL62" s="26" t="str">
        <f t="shared" ref="AL62" si="385">CR$8</f>
        <v>5,5,5,5,5,5,5,5,5,5</v>
      </c>
      <c r="AM62" s="7">
        <v>2001</v>
      </c>
      <c r="AO62">
        <f t="shared" ref="AO62" si="386">AQ62*100+5</f>
        <v>705</v>
      </c>
      <c r="AP62">
        <v>58</v>
      </c>
      <c r="AQ62">
        <f t="shared" si="13"/>
        <v>7</v>
      </c>
      <c r="AR62" s="17">
        <v>6</v>
      </c>
      <c r="AS62" s="17">
        <f t="shared" si="60"/>
        <v>90</v>
      </c>
      <c r="AT62" s="17">
        <v>5</v>
      </c>
      <c r="AU62">
        <f t="shared" si="14"/>
        <v>20</v>
      </c>
      <c r="AV62">
        <v>150</v>
      </c>
      <c r="AW62">
        <f t="shared" si="15"/>
        <v>13652.582399999999</v>
      </c>
      <c r="AX62">
        <f t="shared" si="104"/>
        <v>66960000</v>
      </c>
      <c r="AY62">
        <f t="shared" si="17"/>
        <v>1116</v>
      </c>
      <c r="AZ62">
        <f t="shared" si="18"/>
        <v>2232</v>
      </c>
      <c r="BA62">
        <f t="shared" si="19"/>
        <v>17280</v>
      </c>
      <c r="BB62">
        <f t="shared" si="20"/>
        <v>558</v>
      </c>
      <c r="BC62">
        <f t="shared" si="105"/>
        <v>66960000</v>
      </c>
      <c r="BD62">
        <f t="shared" si="22"/>
        <v>0.29411764705882354</v>
      </c>
      <c r="BE62" s="27">
        <f t="shared" si="106"/>
        <v>13338833.76</v>
      </c>
      <c r="BF62" s="30">
        <f t="shared" si="24"/>
        <v>0.31679999999999997</v>
      </c>
      <c r="BG62" s="27"/>
      <c r="BH62" s="27"/>
      <c r="BI62" s="27"/>
      <c r="CA62" s="20">
        <f t="shared" si="25"/>
        <v>130</v>
      </c>
      <c r="CB62" s="20">
        <f t="shared" si="26"/>
        <v>13000</v>
      </c>
      <c r="CC62" s="31"/>
      <c r="CD62" s="20">
        <v>106</v>
      </c>
      <c r="CE62" s="20" t="s">
        <v>172</v>
      </c>
      <c r="CF62" s="20">
        <v>33</v>
      </c>
      <c r="CG62" s="20">
        <v>6</v>
      </c>
      <c r="CH62" s="20">
        <v>0</v>
      </c>
      <c r="CI62" s="20">
        <v>0</v>
      </c>
      <c r="CJ62" s="20">
        <v>2</v>
      </c>
      <c r="CK62" s="20">
        <v>5</v>
      </c>
      <c r="CM62" s="20"/>
    </row>
    <row r="63" spans="1:91" x14ac:dyDescent="0.15">
      <c r="A63">
        <v>706</v>
      </c>
      <c r="B63" s="3" t="s">
        <v>124</v>
      </c>
      <c r="C63" s="4" t="s">
        <v>109</v>
      </c>
      <c r="D63" s="6" t="s">
        <v>120</v>
      </c>
      <c r="E63" s="5">
        <v>1</v>
      </c>
      <c r="F63" s="7" t="s">
        <v>147</v>
      </c>
      <c r="G63" s="5">
        <v>3</v>
      </c>
      <c r="H63" s="7" t="s">
        <v>192</v>
      </c>
      <c r="I63" s="5">
        <v>0</v>
      </c>
      <c r="J63" s="7" t="s">
        <v>149</v>
      </c>
      <c r="K63">
        <v>6</v>
      </c>
      <c r="L63">
        <v>1.5</v>
      </c>
      <c r="M63" s="5">
        <v>1.5</v>
      </c>
      <c r="N63" s="5">
        <v>10</v>
      </c>
      <c r="O63" s="5">
        <f t="shared" si="9"/>
        <v>14335</v>
      </c>
      <c r="P63" s="5">
        <f t="shared" si="10"/>
        <v>70308000</v>
      </c>
      <c r="Q63" s="5">
        <f t="shared" si="11"/>
        <v>1171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70061</v>
      </c>
      <c r="X63" s="6" t="s">
        <v>184</v>
      </c>
      <c r="Y63" s="5">
        <v>300</v>
      </c>
      <c r="Z63" s="5">
        <v>1</v>
      </c>
      <c r="AA63" s="5">
        <v>3123036</v>
      </c>
      <c r="AB63" s="16" t="s">
        <v>111</v>
      </c>
      <c r="AC63" s="7" t="s">
        <v>112</v>
      </c>
      <c r="AD63" s="7" t="s">
        <v>112</v>
      </c>
      <c r="AE63" s="7" t="s">
        <v>112</v>
      </c>
      <c r="AF63" s="6" t="s">
        <v>113</v>
      </c>
      <c r="AG63" s="26" t="str">
        <f t="shared" ref="AG63" si="387">CM$9</f>
        <v>4,33,28,33,6,4,33,28,33,6</v>
      </c>
      <c r="AH63" s="26" t="str">
        <f t="shared" ref="AH63" si="388">CN$9</f>
        <v>0,6,0,6,1,0,6,0,6,1</v>
      </c>
      <c r="AI63" s="26" t="str">
        <f t="shared" ref="AI63" si="389">CO$9</f>
        <v>0,0,0,0,1,0,0,0,0,1</v>
      </c>
      <c r="AJ63" s="26" t="str">
        <f t="shared" ref="AJ63" si="390">CP$9</f>
        <v>0,0,0,0,5,0,0,0,0,5</v>
      </c>
      <c r="AK63" s="26" t="str">
        <f t="shared" ref="AK63" si="391">CQ$9</f>
        <v>200,1,1000,2,5,200,1,1000,2,5</v>
      </c>
      <c r="AL63" s="26" t="str">
        <f t="shared" ref="AL63" si="392">CR$9</f>
        <v>5,5,5,5,5,5,5,5,5,5</v>
      </c>
      <c r="AM63" s="7">
        <v>2001</v>
      </c>
      <c r="AO63">
        <f t="shared" ref="AO63" si="393">AQ63*100+6</f>
        <v>706</v>
      </c>
      <c r="AP63">
        <v>59</v>
      </c>
      <c r="AQ63">
        <f t="shared" si="13"/>
        <v>7</v>
      </c>
      <c r="AR63" s="17">
        <v>6</v>
      </c>
      <c r="AS63" s="17">
        <f t="shared" si="60"/>
        <v>95</v>
      </c>
      <c r="AT63" s="17">
        <v>5</v>
      </c>
      <c r="AU63">
        <f t="shared" si="14"/>
        <v>20</v>
      </c>
      <c r="AV63">
        <v>150</v>
      </c>
      <c r="AW63">
        <f t="shared" si="15"/>
        <v>14335.211519999999</v>
      </c>
      <c r="AX63">
        <f t="shared" si="104"/>
        <v>70308000</v>
      </c>
      <c r="AY63">
        <f t="shared" si="17"/>
        <v>1171.8</v>
      </c>
      <c r="AZ63">
        <f t="shared" si="18"/>
        <v>2343.6</v>
      </c>
      <c r="BA63">
        <f t="shared" si="19"/>
        <v>18144</v>
      </c>
      <c r="BB63">
        <f t="shared" si="20"/>
        <v>585.9</v>
      </c>
      <c r="BC63">
        <f t="shared" si="105"/>
        <v>70308000</v>
      </c>
      <c r="BD63">
        <f t="shared" si="22"/>
        <v>0.29411764705882354</v>
      </c>
      <c r="BE63" s="27">
        <f t="shared" si="106"/>
        <v>14706064.2204</v>
      </c>
      <c r="BF63" s="30">
        <f t="shared" si="24"/>
        <v>0.31679999999999997</v>
      </c>
      <c r="BG63" s="27"/>
      <c r="BH63" s="27"/>
      <c r="BI63" s="27"/>
      <c r="CA63" s="20">
        <f t="shared" si="25"/>
        <v>130</v>
      </c>
      <c r="CB63" s="20">
        <f t="shared" si="26"/>
        <v>13000</v>
      </c>
      <c r="CC63" s="31"/>
      <c r="CD63" s="20">
        <v>106</v>
      </c>
      <c r="CE63" s="20" t="s">
        <v>155</v>
      </c>
      <c r="CF63" s="20">
        <v>6</v>
      </c>
      <c r="CG63" s="20">
        <v>1</v>
      </c>
      <c r="CH63" s="20">
        <v>1</v>
      </c>
      <c r="CI63" s="20">
        <v>5</v>
      </c>
      <c r="CJ63" s="20">
        <v>5</v>
      </c>
      <c r="CK63" s="20">
        <v>5</v>
      </c>
      <c r="CM63" s="20"/>
    </row>
    <row r="64" spans="1:91" x14ac:dyDescent="0.15">
      <c r="A64">
        <v>707</v>
      </c>
      <c r="B64" s="3" t="s">
        <v>126</v>
      </c>
      <c r="C64" s="4" t="s">
        <v>109</v>
      </c>
      <c r="D64" s="4" t="s">
        <v>110</v>
      </c>
      <c r="E64" s="5">
        <v>2</v>
      </c>
      <c r="F64" s="7" t="s">
        <v>143</v>
      </c>
      <c r="G64" s="5">
        <v>3</v>
      </c>
      <c r="H64" s="7" t="s">
        <v>193</v>
      </c>
      <c r="I64" s="5">
        <v>0</v>
      </c>
      <c r="J64" s="5">
        <v>0</v>
      </c>
      <c r="K64">
        <v>2</v>
      </c>
      <c r="L64">
        <v>1.5</v>
      </c>
      <c r="M64" s="5">
        <v>1.5</v>
      </c>
      <c r="N64" s="5">
        <v>10</v>
      </c>
      <c r="O64" s="5">
        <f t="shared" si="9"/>
        <v>15017</v>
      </c>
      <c r="P64" s="5">
        <f t="shared" si="10"/>
        <v>73656000</v>
      </c>
      <c r="Q64" s="5">
        <f t="shared" si="11"/>
        <v>1227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70071</v>
      </c>
      <c r="X64" s="6" t="s">
        <v>185</v>
      </c>
      <c r="Y64" s="5">
        <v>300</v>
      </c>
      <c r="Z64" s="5">
        <v>1</v>
      </c>
      <c r="AA64" s="5">
        <v>3553321</v>
      </c>
      <c r="AB64" s="16" t="s">
        <v>111</v>
      </c>
      <c r="AC64" s="7" t="s">
        <v>112</v>
      </c>
      <c r="AD64" s="7" t="s">
        <v>112</v>
      </c>
      <c r="AE64" s="7" t="s">
        <v>112</v>
      </c>
      <c r="AF64" s="6" t="s">
        <v>113</v>
      </c>
      <c r="AG64" s="26" t="str">
        <f t="shared" ref="AG64" si="394">CM$10</f>
        <v>4,14,28,14,6,4,14,28,14,6</v>
      </c>
      <c r="AH64" s="26" t="str">
        <f t="shared" ref="AH64" si="395">CN$10</f>
        <v>0,0,0,0,1,0,0,0,0,1</v>
      </c>
      <c r="AI64" s="26" t="str">
        <f t="shared" ref="AI64" si="396">CO$10</f>
        <v>0,0,0,0,1,0,0,0,0,1</v>
      </c>
      <c r="AJ64" s="26" t="str">
        <f t="shared" ref="AJ64" si="397">CP$10</f>
        <v>0,0,0,0,5,0,0,0,0,5</v>
      </c>
      <c r="AK64" s="26" t="str">
        <f t="shared" ref="AK64" si="398">CQ$10</f>
        <v>200,1,1000,2,5,200,1,1000,2,5</v>
      </c>
      <c r="AL64" s="26" t="str">
        <f t="shared" ref="AL64" si="399">CR$10</f>
        <v>5,5,5,5,5,5,5,5,5,5</v>
      </c>
      <c r="AM64" s="7">
        <v>2001</v>
      </c>
      <c r="AO64">
        <f t="shared" ref="AO64" si="400">AQ64*100+7</f>
        <v>707</v>
      </c>
      <c r="AP64">
        <v>60</v>
      </c>
      <c r="AQ64">
        <f t="shared" si="13"/>
        <v>7</v>
      </c>
      <c r="AR64" s="17">
        <v>6</v>
      </c>
      <c r="AS64" s="17">
        <f t="shared" si="60"/>
        <v>100</v>
      </c>
      <c r="AT64" s="17">
        <v>5</v>
      </c>
      <c r="AU64">
        <f t="shared" si="14"/>
        <v>20</v>
      </c>
      <c r="AV64">
        <v>150</v>
      </c>
      <c r="AW64">
        <f t="shared" si="15"/>
        <v>15017.840639999999</v>
      </c>
      <c r="AX64">
        <f t="shared" si="104"/>
        <v>73656000.000000015</v>
      </c>
      <c r="AY64">
        <f t="shared" si="17"/>
        <v>1227.6000000000001</v>
      </c>
      <c r="AZ64">
        <f t="shared" si="18"/>
        <v>2455.2000000000003</v>
      </c>
      <c r="BA64">
        <f t="shared" si="19"/>
        <v>19008</v>
      </c>
      <c r="BB64">
        <f t="shared" si="20"/>
        <v>613.80000000000007</v>
      </c>
      <c r="BC64">
        <f t="shared" si="105"/>
        <v>73656000.000000015</v>
      </c>
      <c r="BD64">
        <f t="shared" si="22"/>
        <v>0.29411764705882354</v>
      </c>
      <c r="BE64" s="27">
        <f t="shared" si="106"/>
        <v>16139988.849600006</v>
      </c>
      <c r="BF64" s="30">
        <f t="shared" si="24"/>
        <v>0.31679999999999997</v>
      </c>
      <c r="BG64" s="27"/>
      <c r="BH64" s="27"/>
      <c r="BI64" s="27"/>
      <c r="CA64" s="20">
        <f t="shared" si="25"/>
        <v>130</v>
      </c>
      <c r="CB64" s="20">
        <f t="shared" si="26"/>
        <v>13000</v>
      </c>
      <c r="CC64" s="31" t="s">
        <v>173</v>
      </c>
      <c r="CD64" s="20">
        <v>107</v>
      </c>
      <c r="CE64" s="20" t="s">
        <v>152</v>
      </c>
      <c r="CF64" s="20">
        <v>4</v>
      </c>
      <c r="CG64" s="20">
        <v>0</v>
      </c>
      <c r="CH64" s="20">
        <v>0</v>
      </c>
      <c r="CI64" s="20">
        <v>0</v>
      </c>
      <c r="CJ64" s="20">
        <v>200</v>
      </c>
      <c r="CK64" s="20">
        <v>5</v>
      </c>
      <c r="CM64" s="20"/>
    </row>
    <row r="65" spans="1:91" x14ac:dyDescent="0.15">
      <c r="A65">
        <v>708</v>
      </c>
      <c r="B65" s="3" t="s">
        <v>128</v>
      </c>
      <c r="C65" s="4" t="s">
        <v>109</v>
      </c>
      <c r="D65" s="4" t="s">
        <v>110</v>
      </c>
      <c r="E65" s="5">
        <v>5</v>
      </c>
      <c r="F65" s="7" t="s">
        <v>129</v>
      </c>
      <c r="G65" s="5">
        <v>2</v>
      </c>
      <c r="H65" s="7" t="s">
        <v>130</v>
      </c>
      <c r="I65" s="5">
        <v>0</v>
      </c>
      <c r="J65" s="5">
        <v>0</v>
      </c>
      <c r="K65">
        <v>2</v>
      </c>
      <c r="L65">
        <v>1.5</v>
      </c>
      <c r="M65" s="5">
        <v>1.5</v>
      </c>
      <c r="N65" s="5">
        <v>10</v>
      </c>
      <c r="O65" s="5">
        <f t="shared" si="9"/>
        <v>15700</v>
      </c>
      <c r="P65" s="5">
        <f t="shared" si="10"/>
        <v>77004000</v>
      </c>
      <c r="Q65" s="5">
        <f t="shared" si="11"/>
        <v>1283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70081</v>
      </c>
      <c r="X65" s="6" t="s">
        <v>186</v>
      </c>
      <c r="Y65" s="5">
        <v>300</v>
      </c>
      <c r="Z65" s="5">
        <v>1</v>
      </c>
      <c r="AA65" s="5">
        <v>4011366</v>
      </c>
      <c r="AB65" s="16" t="s">
        <v>111</v>
      </c>
      <c r="AC65" s="7" t="s">
        <v>112</v>
      </c>
      <c r="AD65" s="7" t="s">
        <v>112</v>
      </c>
      <c r="AE65" s="7" t="s">
        <v>112</v>
      </c>
      <c r="AF65" s="6" t="s">
        <v>113</v>
      </c>
      <c r="AG65" s="26" t="str">
        <f t="shared" ref="AG65" si="401">CM$11</f>
        <v>4,28,6,28,6,4,28,6,28,6</v>
      </c>
      <c r="AH65" s="26" t="str">
        <f t="shared" ref="AH65" si="402">CN$11</f>
        <v>0,0,1,0,1,0,0,1,0,1</v>
      </c>
      <c r="AI65" s="26" t="str">
        <f t="shared" ref="AI65" si="403">CO$11</f>
        <v>0,0,1,0,1,0,0,1,0,1</v>
      </c>
      <c r="AJ65" s="26" t="str">
        <f t="shared" ref="AJ65" si="404">CP$11</f>
        <v>0,0,5,0,5,0,0,5,0,5</v>
      </c>
      <c r="AK65" s="26" t="str">
        <f t="shared" ref="AK65" si="405">CQ$11</f>
        <v>100,1000,5,1500,5,200,1000,5,1500,5</v>
      </c>
      <c r="AL65" s="26" t="str">
        <f t="shared" ref="AL65" si="406">CR$11</f>
        <v>5,5,5,5,5,5,5,5,5,5</v>
      </c>
      <c r="AM65" s="7">
        <v>2001</v>
      </c>
      <c r="AO65">
        <f t="shared" ref="AO65" si="407">AQ65*100+8</f>
        <v>708</v>
      </c>
      <c r="AP65">
        <v>61</v>
      </c>
      <c r="AQ65">
        <f t="shared" si="13"/>
        <v>7</v>
      </c>
      <c r="AR65" s="17">
        <v>6</v>
      </c>
      <c r="AS65" s="17">
        <f t="shared" si="60"/>
        <v>105</v>
      </c>
      <c r="AT65" s="17">
        <v>5</v>
      </c>
      <c r="AU65">
        <f t="shared" si="14"/>
        <v>20</v>
      </c>
      <c r="AV65">
        <v>150</v>
      </c>
      <c r="AW65">
        <f t="shared" si="15"/>
        <v>15700.469759999998</v>
      </c>
      <c r="AX65">
        <f t="shared" si="104"/>
        <v>77004000</v>
      </c>
      <c r="AY65">
        <f t="shared" si="17"/>
        <v>1283.4000000000001</v>
      </c>
      <c r="AZ65">
        <f t="shared" si="18"/>
        <v>2566.8000000000002</v>
      </c>
      <c r="BA65">
        <f t="shared" si="19"/>
        <v>19872</v>
      </c>
      <c r="BB65">
        <f t="shared" si="20"/>
        <v>641.70000000000005</v>
      </c>
      <c r="BC65">
        <f t="shared" si="105"/>
        <v>77004000</v>
      </c>
      <c r="BD65">
        <f t="shared" si="22"/>
        <v>0.29411764705882348</v>
      </c>
      <c r="BE65" s="27">
        <f t="shared" si="106"/>
        <v>17640607.647600003</v>
      </c>
      <c r="BF65" s="30">
        <f t="shared" si="24"/>
        <v>0.31679999999999997</v>
      </c>
      <c r="BG65" s="27"/>
      <c r="BH65" s="27"/>
      <c r="BI65" s="27"/>
      <c r="CA65" s="20">
        <f t="shared" si="25"/>
        <v>130</v>
      </c>
      <c r="CB65" s="20">
        <f t="shared" si="26"/>
        <v>13000</v>
      </c>
      <c r="CC65" s="31"/>
      <c r="CD65" s="20">
        <v>107</v>
      </c>
      <c r="CE65" s="20" t="s">
        <v>165</v>
      </c>
      <c r="CF65" s="20">
        <v>14</v>
      </c>
      <c r="CG65" s="20">
        <v>0</v>
      </c>
      <c r="CH65" s="20">
        <v>0</v>
      </c>
      <c r="CI65" s="20">
        <v>0</v>
      </c>
      <c r="CJ65" s="20">
        <v>1</v>
      </c>
      <c r="CK65" s="20">
        <v>5</v>
      </c>
      <c r="CM65" s="20"/>
    </row>
    <row r="66" spans="1:91" x14ac:dyDescent="0.15">
      <c r="A66">
        <v>709</v>
      </c>
      <c r="B66" s="3" t="s">
        <v>132</v>
      </c>
      <c r="C66" s="4" t="s">
        <v>109</v>
      </c>
      <c r="D66" s="4" t="s">
        <v>110</v>
      </c>
      <c r="E66" s="5">
        <v>5</v>
      </c>
      <c r="F66" s="7" t="s">
        <v>140</v>
      </c>
      <c r="G66" s="5">
        <v>3</v>
      </c>
      <c r="H66" s="7" t="s">
        <v>140</v>
      </c>
      <c r="I66" s="5">
        <v>0</v>
      </c>
      <c r="J66" s="7">
        <v>0</v>
      </c>
      <c r="K66">
        <v>6</v>
      </c>
      <c r="L66">
        <v>1.5</v>
      </c>
      <c r="M66" s="5">
        <v>1.5</v>
      </c>
      <c r="N66" s="5">
        <v>10</v>
      </c>
      <c r="O66" s="5">
        <f t="shared" si="9"/>
        <v>16383</v>
      </c>
      <c r="P66" s="5">
        <f t="shared" si="10"/>
        <v>80352000</v>
      </c>
      <c r="Q66" s="5">
        <f t="shared" si="11"/>
        <v>1339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70091</v>
      </c>
      <c r="X66" s="6" t="s">
        <v>187</v>
      </c>
      <c r="Y66" s="5">
        <v>300</v>
      </c>
      <c r="Z66" s="5">
        <v>1</v>
      </c>
      <c r="AA66" s="5">
        <v>4497172</v>
      </c>
      <c r="AB66" s="16" t="s">
        <v>111</v>
      </c>
      <c r="AC66" s="7" t="s">
        <v>112</v>
      </c>
      <c r="AD66" s="7" t="s">
        <v>112</v>
      </c>
      <c r="AE66" s="7" t="s">
        <v>112</v>
      </c>
      <c r="AF66" s="6" t="s">
        <v>113</v>
      </c>
      <c r="AG66" s="26" t="str">
        <f t="shared" ref="AG66" si="408">CM$12</f>
        <v>4,33,28,33,6,4,33,28,33,6</v>
      </c>
      <c r="AH66" s="26" t="str">
        <f t="shared" ref="AH66" si="409">CN$12</f>
        <v>0,5,0,5,1,0,5,0,5,1</v>
      </c>
      <c r="AI66" s="26" t="str">
        <f t="shared" ref="AI66" si="410">CO$12</f>
        <v>0,0,0,0,1,0,0,0,0,1</v>
      </c>
      <c r="AJ66" s="26" t="str">
        <f t="shared" ref="AJ66" si="411">CP$12</f>
        <v>0,0,0,0,5,0,0,0,0,5</v>
      </c>
      <c r="AK66" s="26" t="str">
        <f t="shared" ref="AK66" si="412">CQ$12</f>
        <v>100,1,1000,2,5,200,1,1000,2,5</v>
      </c>
      <c r="AL66" s="26" t="str">
        <f t="shared" ref="AL66" si="413">CR$12</f>
        <v>5,5,5,5,5,5,5,5,5,5</v>
      </c>
      <c r="AM66" s="7">
        <v>2001</v>
      </c>
      <c r="AO66">
        <f t="shared" ref="AO66" si="414">AQ66*100+9</f>
        <v>709</v>
      </c>
      <c r="AP66">
        <v>62</v>
      </c>
      <c r="AQ66">
        <f t="shared" si="13"/>
        <v>7</v>
      </c>
      <c r="AR66" s="17">
        <v>6</v>
      </c>
      <c r="AS66" s="17">
        <f t="shared" si="60"/>
        <v>110</v>
      </c>
      <c r="AT66" s="17">
        <v>5</v>
      </c>
      <c r="AU66">
        <f t="shared" si="14"/>
        <v>20</v>
      </c>
      <c r="AV66">
        <v>150</v>
      </c>
      <c r="AW66">
        <f t="shared" si="15"/>
        <v>16383.09888</v>
      </c>
      <c r="AX66">
        <f t="shared" si="104"/>
        <v>80352000</v>
      </c>
      <c r="AY66">
        <f t="shared" si="17"/>
        <v>1339.2</v>
      </c>
      <c r="AZ66">
        <f t="shared" si="18"/>
        <v>2678.4</v>
      </c>
      <c r="BA66">
        <f t="shared" si="19"/>
        <v>20736</v>
      </c>
      <c r="BB66">
        <f t="shared" si="20"/>
        <v>669.6</v>
      </c>
      <c r="BC66">
        <f t="shared" si="105"/>
        <v>80352000</v>
      </c>
      <c r="BD66">
        <f t="shared" si="22"/>
        <v>0.29411764705882348</v>
      </c>
      <c r="BE66" s="27">
        <f t="shared" si="106"/>
        <v>19207920.614399999</v>
      </c>
      <c r="BF66" s="30">
        <f t="shared" si="24"/>
        <v>0.31679999999999997</v>
      </c>
      <c r="BG66" s="27"/>
      <c r="BH66" s="27"/>
      <c r="BI66" s="27"/>
      <c r="CA66" s="20">
        <f t="shared" si="25"/>
        <v>130</v>
      </c>
      <c r="CB66" s="20">
        <f t="shared" si="26"/>
        <v>13000</v>
      </c>
      <c r="CC66" s="31"/>
      <c r="CD66" s="20">
        <v>107</v>
      </c>
      <c r="CE66" s="20" t="s">
        <v>162</v>
      </c>
      <c r="CF66" s="20">
        <v>28</v>
      </c>
      <c r="CG66" s="20">
        <v>0</v>
      </c>
      <c r="CH66" s="20">
        <v>0</v>
      </c>
      <c r="CI66" s="20">
        <v>0</v>
      </c>
      <c r="CJ66" s="20">
        <v>1000</v>
      </c>
      <c r="CK66" s="20">
        <v>5</v>
      </c>
      <c r="CM66" s="20"/>
    </row>
    <row r="67" spans="1:91" x14ac:dyDescent="0.15">
      <c r="A67">
        <v>801</v>
      </c>
      <c r="B67" s="3" t="s">
        <v>108</v>
      </c>
      <c r="C67" s="4" t="s">
        <v>109</v>
      </c>
      <c r="D67" s="4" t="s">
        <v>110</v>
      </c>
      <c r="E67" s="5">
        <v>3</v>
      </c>
      <c r="F67" s="7" t="s">
        <v>141</v>
      </c>
      <c r="G67" s="5">
        <v>2.5</v>
      </c>
      <c r="H67" s="7" t="s">
        <v>194</v>
      </c>
      <c r="I67" s="5">
        <v>0</v>
      </c>
      <c r="J67" s="5">
        <v>0</v>
      </c>
      <c r="K67">
        <v>2</v>
      </c>
      <c r="L67">
        <v>1.5</v>
      </c>
      <c r="M67" s="5">
        <v>1.5</v>
      </c>
      <c r="N67" s="5">
        <v>10</v>
      </c>
      <c r="O67" s="5">
        <f t="shared" si="9"/>
        <v>11625</v>
      </c>
      <c r="P67" s="5">
        <f t="shared" si="10"/>
        <v>56916000</v>
      </c>
      <c r="Q67" s="5">
        <f t="shared" si="11"/>
        <v>948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70011</v>
      </c>
      <c r="X67" s="6" t="s">
        <v>179</v>
      </c>
      <c r="Y67" s="5">
        <v>300</v>
      </c>
      <c r="Z67" s="5">
        <v>1</v>
      </c>
      <c r="AA67" s="5">
        <v>5010738</v>
      </c>
      <c r="AB67" s="16" t="s">
        <v>111</v>
      </c>
      <c r="AC67" s="7" t="s">
        <v>112</v>
      </c>
      <c r="AD67" s="7" t="s">
        <v>112</v>
      </c>
      <c r="AE67" s="7" t="s">
        <v>112</v>
      </c>
      <c r="AF67" s="6" t="s">
        <v>113</v>
      </c>
      <c r="AG67" s="26" t="str">
        <f t="shared" ref="AG67" si="415">CM$4</f>
        <v>4,33,28,33,6,4,33,28,33,6</v>
      </c>
      <c r="AH67" s="26" t="str">
        <f t="shared" ref="AH67" si="416">CN$4</f>
        <v>0,8,0,8,1,0,8,0,8,1</v>
      </c>
      <c r="AI67" s="26" t="str">
        <f t="shared" ref="AI67" si="417">CO$4</f>
        <v>0,0,0,0,1,0,0,0,0,1</v>
      </c>
      <c r="AJ67" s="26" t="str">
        <f t="shared" ref="AJ67" si="418">CP$4</f>
        <v>0,0,0,0,5,0,0,0,0,5</v>
      </c>
      <c r="AK67" s="26" t="str">
        <f t="shared" ref="AK67" si="419">CQ$4</f>
        <v>100,1,1000,2,5,200,1,1000,2,5</v>
      </c>
      <c r="AL67" s="26" t="str">
        <f t="shared" ref="AL67" si="420">CR$4</f>
        <v>5,5,5,5,5,5,5,5,5,5</v>
      </c>
      <c r="AM67" s="7">
        <v>2001</v>
      </c>
      <c r="AO67">
        <f t="shared" ref="AO67" si="421">AQ67*100+1</f>
        <v>801</v>
      </c>
      <c r="AP67">
        <v>63</v>
      </c>
      <c r="AQ67">
        <f t="shared" si="13"/>
        <v>8</v>
      </c>
      <c r="AR67" s="17">
        <v>6</v>
      </c>
      <c r="AS67" s="17">
        <f t="shared" si="60"/>
        <v>75</v>
      </c>
      <c r="AT67" s="17">
        <v>5</v>
      </c>
      <c r="AU67">
        <f t="shared" si="14"/>
        <v>20</v>
      </c>
      <c r="AV67">
        <v>150</v>
      </c>
      <c r="AW67">
        <f t="shared" si="15"/>
        <v>11625.845759999998</v>
      </c>
      <c r="AX67">
        <f t="shared" si="104"/>
        <v>56916000</v>
      </c>
      <c r="AY67">
        <f t="shared" si="17"/>
        <v>948.6</v>
      </c>
      <c r="AZ67">
        <f t="shared" si="18"/>
        <v>1897.2</v>
      </c>
      <c r="BA67">
        <f t="shared" si="19"/>
        <v>14688</v>
      </c>
      <c r="BB67">
        <f t="shared" si="20"/>
        <v>474.3</v>
      </c>
      <c r="BC67">
        <f t="shared" si="105"/>
        <v>56916000</v>
      </c>
      <c r="BD67">
        <f t="shared" si="22"/>
        <v>0.29411764705882348</v>
      </c>
      <c r="BE67" s="27">
        <f t="shared" si="106"/>
        <v>9637307.3916000016</v>
      </c>
      <c r="BF67" s="30">
        <f t="shared" si="24"/>
        <v>0.31919999999999998</v>
      </c>
      <c r="BG67" s="27"/>
      <c r="BH67" s="27"/>
      <c r="BI67" s="27"/>
      <c r="CA67" s="20">
        <f t="shared" si="25"/>
        <v>135</v>
      </c>
      <c r="CB67" s="20">
        <f t="shared" si="26"/>
        <v>13500</v>
      </c>
      <c r="CC67" s="31"/>
      <c r="CD67" s="20">
        <v>107</v>
      </c>
      <c r="CE67" s="20" t="s">
        <v>166</v>
      </c>
      <c r="CF67" s="20">
        <v>14</v>
      </c>
      <c r="CG67" s="20">
        <v>0</v>
      </c>
      <c r="CH67" s="20">
        <v>0</v>
      </c>
      <c r="CI67" s="20">
        <v>0</v>
      </c>
      <c r="CJ67" s="20">
        <v>2</v>
      </c>
      <c r="CK67" s="20">
        <v>5</v>
      </c>
      <c r="CM67" s="20"/>
    </row>
    <row r="68" spans="1:91" x14ac:dyDescent="0.15">
      <c r="A68">
        <v>802</v>
      </c>
      <c r="B68" s="3" t="s">
        <v>115</v>
      </c>
      <c r="C68" s="4" t="s">
        <v>109</v>
      </c>
      <c r="D68" s="6" t="s">
        <v>110</v>
      </c>
      <c r="E68" s="5">
        <v>3</v>
      </c>
      <c r="F68" s="7" t="s">
        <v>142</v>
      </c>
      <c r="G68" s="5">
        <v>3</v>
      </c>
      <c r="H68" s="7" t="s">
        <v>188</v>
      </c>
      <c r="I68" s="5">
        <v>0</v>
      </c>
      <c r="J68" s="5">
        <v>0</v>
      </c>
      <c r="K68">
        <v>2</v>
      </c>
      <c r="L68">
        <v>1.5</v>
      </c>
      <c r="M68" s="5">
        <v>1.5</v>
      </c>
      <c r="N68" s="5">
        <v>10</v>
      </c>
      <c r="O68" s="5">
        <f t="shared" si="9"/>
        <v>12309</v>
      </c>
      <c r="P68" s="5">
        <f t="shared" si="10"/>
        <v>60264000</v>
      </c>
      <c r="Q68" s="5">
        <f t="shared" si="11"/>
        <v>1004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70021</v>
      </c>
      <c r="X68" s="6" t="s">
        <v>180</v>
      </c>
      <c r="Y68" s="5">
        <v>300</v>
      </c>
      <c r="Z68" s="5">
        <v>1</v>
      </c>
      <c r="AA68" s="5">
        <v>1998743</v>
      </c>
      <c r="AB68" s="16" t="s">
        <v>111</v>
      </c>
      <c r="AC68" s="7" t="s">
        <v>112</v>
      </c>
      <c r="AD68" s="7" t="s">
        <v>112</v>
      </c>
      <c r="AE68" s="7" t="s">
        <v>112</v>
      </c>
      <c r="AF68" s="6" t="s">
        <v>113</v>
      </c>
      <c r="AG68" s="26" t="str">
        <f t="shared" ref="AG68" si="422">CM$5</f>
        <v>4,33,28,33,6,4,33,28,33,6</v>
      </c>
      <c r="AH68" s="26" t="str">
        <f t="shared" ref="AH68" si="423">CN$5</f>
        <v>0,7,0,7,1,0,7,0,7,1</v>
      </c>
      <c r="AI68" s="26" t="str">
        <f t="shared" ref="AI68" si="424">CO$5</f>
        <v>0,0,0,0,1,0,0,0,0,1</v>
      </c>
      <c r="AJ68" s="26" t="str">
        <f t="shared" ref="AJ68" si="425">CP$5</f>
        <v>0,0,0,0,5,0,0,0,0,5</v>
      </c>
      <c r="AK68" s="26" t="str">
        <f t="shared" ref="AK68" si="426">CQ$5</f>
        <v>100,1,1000,2,5,200,1,1000,2,5</v>
      </c>
      <c r="AL68" s="26" t="str">
        <f t="shared" ref="AL68" si="427">CR$5</f>
        <v>5,5,5,5,5,5,5,5,5,5</v>
      </c>
      <c r="AM68" s="7">
        <v>2001</v>
      </c>
      <c r="AO68">
        <f t="shared" ref="AO68" si="428">AQ68*100+2</f>
        <v>802</v>
      </c>
      <c r="AP68">
        <v>64</v>
      </c>
      <c r="AQ68">
        <f t="shared" si="13"/>
        <v>8</v>
      </c>
      <c r="AR68" s="17">
        <v>6</v>
      </c>
      <c r="AS68" s="17">
        <f t="shared" si="60"/>
        <v>80</v>
      </c>
      <c r="AT68" s="17">
        <v>5</v>
      </c>
      <c r="AU68">
        <f t="shared" si="14"/>
        <v>20</v>
      </c>
      <c r="AV68">
        <v>150</v>
      </c>
      <c r="AW68">
        <f t="shared" si="15"/>
        <v>12309.719039999998</v>
      </c>
      <c r="AX68">
        <f t="shared" si="104"/>
        <v>60264000</v>
      </c>
      <c r="AY68">
        <f t="shared" si="17"/>
        <v>1004.4</v>
      </c>
      <c r="AZ68">
        <f t="shared" si="18"/>
        <v>2008.8</v>
      </c>
      <c r="BA68">
        <f t="shared" si="19"/>
        <v>15552</v>
      </c>
      <c r="BB68">
        <f t="shared" si="20"/>
        <v>502.2</v>
      </c>
      <c r="BC68">
        <f t="shared" si="105"/>
        <v>60264000</v>
      </c>
      <c r="BD68">
        <f t="shared" si="22"/>
        <v>0.29411764705882354</v>
      </c>
      <c r="BE68" s="27">
        <f t="shared" si="106"/>
        <v>10804455.345599998</v>
      </c>
      <c r="BF68" s="30">
        <f t="shared" si="24"/>
        <v>0.31919999999999998</v>
      </c>
      <c r="BG68" s="27"/>
      <c r="BH68" s="27"/>
      <c r="BI68" s="27"/>
      <c r="CA68" s="20">
        <f t="shared" si="25"/>
        <v>135</v>
      </c>
      <c r="CB68" s="20">
        <f t="shared" si="26"/>
        <v>13500</v>
      </c>
      <c r="CC68" s="31"/>
      <c r="CD68" s="20">
        <v>107</v>
      </c>
      <c r="CE68" s="20" t="s">
        <v>155</v>
      </c>
      <c r="CF68" s="20">
        <v>6</v>
      </c>
      <c r="CG68" s="20">
        <v>1</v>
      </c>
      <c r="CH68" s="20">
        <v>1</v>
      </c>
      <c r="CI68" s="20">
        <v>5</v>
      </c>
      <c r="CJ68" s="20">
        <v>5</v>
      </c>
      <c r="CK68" s="20">
        <v>5</v>
      </c>
      <c r="CM68" s="20"/>
    </row>
    <row r="69" spans="1:91" x14ac:dyDescent="0.15">
      <c r="A69">
        <v>803</v>
      </c>
      <c r="B69" s="3" t="s">
        <v>117</v>
      </c>
      <c r="C69" s="4" t="s">
        <v>109</v>
      </c>
      <c r="D69" s="4" t="s">
        <v>110</v>
      </c>
      <c r="E69" s="5">
        <v>1</v>
      </c>
      <c r="F69" s="7" t="s">
        <v>144</v>
      </c>
      <c r="G69" s="5">
        <v>3</v>
      </c>
      <c r="H69" s="7" t="s">
        <v>189</v>
      </c>
      <c r="I69" s="5">
        <v>0</v>
      </c>
      <c r="J69" s="2">
        <v>0</v>
      </c>
      <c r="K69">
        <v>6</v>
      </c>
      <c r="L69">
        <v>1.5</v>
      </c>
      <c r="M69" s="5">
        <v>1.5</v>
      </c>
      <c r="N69" s="5">
        <v>10</v>
      </c>
      <c r="O69" s="5">
        <f t="shared" ref="O69:O132" si="429">FLOOR(AW69,1)</f>
        <v>12993</v>
      </c>
      <c r="P69" s="5">
        <f t="shared" ref="P69:P132" si="430">FLOOR(BC69,1)</f>
        <v>63612000</v>
      </c>
      <c r="Q69" s="5">
        <f t="shared" ref="Q69:Q132" si="431">FLOOR(AY69,1)</f>
        <v>1060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70031</v>
      </c>
      <c r="X69" s="6" t="s">
        <v>181</v>
      </c>
      <c r="Y69" s="5">
        <v>300</v>
      </c>
      <c r="Z69" s="5">
        <v>1</v>
      </c>
      <c r="AA69" s="5">
        <v>2345747</v>
      </c>
      <c r="AB69" s="16" t="s">
        <v>111</v>
      </c>
      <c r="AC69" s="7" t="s">
        <v>112</v>
      </c>
      <c r="AD69" s="7" t="s">
        <v>112</v>
      </c>
      <c r="AE69" s="7" t="s">
        <v>112</v>
      </c>
      <c r="AF69" s="6" t="s">
        <v>113</v>
      </c>
      <c r="AG69" s="26" t="str">
        <f t="shared" ref="AG69" si="432">CM$6</f>
        <v>4,28,6,28,6,4,28,6,28,6</v>
      </c>
      <c r="AH69" s="26" t="str">
        <f t="shared" ref="AH69" si="433">CN$6</f>
        <v>0,0,1,0,1,0,0,1,0,1</v>
      </c>
      <c r="AI69" s="26" t="str">
        <f t="shared" ref="AI69" si="434">CO$6</f>
        <v>0,0,0,0,1,0,0,0,0,1</v>
      </c>
      <c r="AJ69" s="26" t="str">
        <f t="shared" ref="AJ69" si="435">CP$6</f>
        <v>0,0,5,0,5,0,0,5,0,5</v>
      </c>
      <c r="AK69" s="26" t="str">
        <f t="shared" ref="AK69" si="436">CQ$6</f>
        <v>100,1000,5,1500,5,200,1000,5,1500,5</v>
      </c>
      <c r="AL69" s="26" t="str">
        <f t="shared" ref="AL69" si="437">CR$6</f>
        <v>5,5,5,5,5,5,5,5,5,5</v>
      </c>
      <c r="AM69" s="7">
        <v>2001</v>
      </c>
      <c r="AO69">
        <f t="shared" ref="AO69" si="438">AQ69*100+3</f>
        <v>803</v>
      </c>
      <c r="AP69">
        <v>65</v>
      </c>
      <c r="AQ69">
        <f t="shared" ref="AQ69:AQ132" si="439">FLOOR(AP69/9+1,1)</f>
        <v>8</v>
      </c>
      <c r="AR69" s="17">
        <v>6</v>
      </c>
      <c r="AS69" s="17">
        <f t="shared" si="60"/>
        <v>85</v>
      </c>
      <c r="AT69" s="17">
        <v>5</v>
      </c>
      <c r="AU69">
        <f t="shared" ref="AU69:AU132" si="440">20+FLOOR(AQ69/10,1)*2</f>
        <v>20</v>
      </c>
      <c r="AV69">
        <v>150</v>
      </c>
      <c r="AW69">
        <f t="shared" ref="AW69:AW132" si="441">BA69*0.6*(1+BF69)</f>
        <v>12993.59232</v>
      </c>
      <c r="AX69">
        <f t="shared" si="104"/>
        <v>63612000</v>
      </c>
      <c r="AY69">
        <f t="shared" ref="AY69:AY132" si="442">BB69*2</f>
        <v>1060.2</v>
      </c>
      <c r="AZ69">
        <f t="shared" ref="AZ69:AZ132" si="443">(INDEX($BO$2:$BO$15,MATCH($AR69,$BK$2:$BK$15,0))+INDEX($BP$2:$BP$15,MATCH($AR69,$BK$2:$BK$15,0))*$AS69)*(1+INDEX($BZ$2:$BZ$15,MATCH($AT69,$BX$2:$BX$15,0)))</f>
        <v>2120.4</v>
      </c>
      <c r="BA69">
        <f t="shared" ref="BA69:BA132" si="444">INDEX($BQ$2:$BQ$15,MATCH($AR69,$BK$2:$BK$15,0))+INDEX($BR$2:$BR$15,MATCH($AR69,$BK$2:$BK$15,0))*$AS69</f>
        <v>16416</v>
      </c>
      <c r="BB69">
        <f t="shared" ref="BB69:BB132" si="445">(INDEX($BS$2:$BS$15,MATCH($AR69,$BK$2:$BK$15,0))+INDEX($BT$2:$BT$15,MATCH($AR69,$BK$2:$BK$15,0))*$AS69)*(1+INDEX($BZ$2:$BZ$15,MATCH($AT69,$BX$2:$BX$15,0)))</f>
        <v>530.1</v>
      </c>
      <c r="BC69">
        <f t="shared" si="105"/>
        <v>63612000</v>
      </c>
      <c r="BD69">
        <f t="shared" ref="BD69:BD132" si="446">1/(1+AZ69*3/(5*BB69))</f>
        <v>0.29411764705882348</v>
      </c>
      <c r="BE69" s="27">
        <f t="shared" si="106"/>
        <v>12038297.4684</v>
      </c>
      <c r="BF69" s="30">
        <f t="shared" ref="BF69:BF132" si="447">0.3+AQ69*0.0024</f>
        <v>0.31919999999999998</v>
      </c>
      <c r="BG69" s="27"/>
      <c r="BH69" s="27"/>
      <c r="BI69" s="27"/>
      <c r="CA69" s="20">
        <f t="shared" ref="CA69:CA132" si="448">$CA$2+(AQ69-1)*5</f>
        <v>135</v>
      </c>
      <c r="CB69" s="20">
        <f t="shared" ref="CB69:CB132" si="449">$CB$2+(AQ69-1)*500</f>
        <v>13500</v>
      </c>
      <c r="CC69" s="31"/>
      <c r="CD69" s="20">
        <v>107</v>
      </c>
      <c r="CE69" s="20" t="s">
        <v>153</v>
      </c>
      <c r="CF69" s="20">
        <v>4</v>
      </c>
      <c r="CG69" s="20">
        <v>0</v>
      </c>
      <c r="CH69" s="20">
        <v>0</v>
      </c>
      <c r="CI69" s="20">
        <v>0</v>
      </c>
      <c r="CJ69" s="20">
        <v>200</v>
      </c>
      <c r="CK69" s="20">
        <v>5</v>
      </c>
      <c r="CM69" s="20"/>
    </row>
    <row r="70" spans="1:91" x14ac:dyDescent="0.15">
      <c r="A70">
        <v>804</v>
      </c>
      <c r="B70" s="3" t="s">
        <v>119</v>
      </c>
      <c r="C70" s="4" t="s">
        <v>109</v>
      </c>
      <c r="D70" s="6" t="s">
        <v>120</v>
      </c>
      <c r="E70" s="5">
        <v>3</v>
      </c>
      <c r="F70" s="7" t="s">
        <v>145</v>
      </c>
      <c r="G70" s="5">
        <v>3</v>
      </c>
      <c r="H70" s="7" t="s">
        <v>190</v>
      </c>
      <c r="I70" s="5">
        <v>0</v>
      </c>
      <c r="J70" s="5">
        <v>0</v>
      </c>
      <c r="K70">
        <v>2</v>
      </c>
      <c r="L70">
        <v>1.5</v>
      </c>
      <c r="M70" s="5">
        <v>1.5</v>
      </c>
      <c r="N70" s="5">
        <v>10</v>
      </c>
      <c r="O70" s="5">
        <f t="shared" si="429"/>
        <v>13677</v>
      </c>
      <c r="P70" s="5">
        <f t="shared" si="430"/>
        <v>66960000</v>
      </c>
      <c r="Q70" s="5">
        <f t="shared" si="431"/>
        <v>1116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70041</v>
      </c>
      <c r="X70" s="6" t="s">
        <v>182</v>
      </c>
      <c r="Y70" s="5">
        <v>300</v>
      </c>
      <c r="Z70" s="5">
        <v>1</v>
      </c>
      <c r="AA70" s="5">
        <v>2720511</v>
      </c>
      <c r="AB70" s="16" t="s">
        <v>111</v>
      </c>
      <c r="AC70" s="7" t="s">
        <v>112</v>
      </c>
      <c r="AD70" s="7" t="s">
        <v>112</v>
      </c>
      <c r="AE70" s="7" t="s">
        <v>112</v>
      </c>
      <c r="AF70" s="6" t="s">
        <v>113</v>
      </c>
      <c r="AG70" s="26" t="str">
        <f t="shared" ref="AG70" si="450">CM$7</f>
        <v>4,14,28,14,6,4,14,28,14,6</v>
      </c>
      <c r="AH70" s="26" t="str">
        <f t="shared" ref="AH70" si="451">CN$7</f>
        <v>0,0,0,0,1,0,0,0,0,1</v>
      </c>
      <c r="AI70" s="26" t="str">
        <f t="shared" ref="AI70" si="452">CO$7</f>
        <v>0,0,0,0,1,0,0,0,0,1</v>
      </c>
      <c r="AJ70" s="26" t="str">
        <f t="shared" ref="AJ70" si="453">CP$7</f>
        <v>0,0,0,0,5,0,0,0,0,5</v>
      </c>
      <c r="AK70" s="26" t="str">
        <f t="shared" ref="AK70" si="454">CQ$7</f>
        <v>100,1,1000,2,5,200,1,1000,2,5</v>
      </c>
      <c r="AL70" s="26" t="str">
        <f t="shared" ref="AL70" si="455">CR$7</f>
        <v>5,5,5,5,5,5,5,5,5,5</v>
      </c>
      <c r="AM70" s="7">
        <v>2001</v>
      </c>
      <c r="AO70">
        <f t="shared" ref="AO70" si="456">AQ70*100+4</f>
        <v>804</v>
      </c>
      <c r="AP70">
        <v>66</v>
      </c>
      <c r="AQ70">
        <f t="shared" si="439"/>
        <v>8</v>
      </c>
      <c r="AR70" s="17">
        <v>6</v>
      </c>
      <c r="AS70" s="17">
        <f t="shared" si="60"/>
        <v>90</v>
      </c>
      <c r="AT70" s="17">
        <v>5</v>
      </c>
      <c r="AU70">
        <f t="shared" si="440"/>
        <v>20</v>
      </c>
      <c r="AV70">
        <v>150</v>
      </c>
      <c r="AW70">
        <f t="shared" si="441"/>
        <v>13677.4656</v>
      </c>
      <c r="AX70">
        <f t="shared" si="104"/>
        <v>66960000</v>
      </c>
      <c r="AY70">
        <f t="shared" si="442"/>
        <v>1116</v>
      </c>
      <c r="AZ70">
        <f t="shared" si="443"/>
        <v>2232</v>
      </c>
      <c r="BA70">
        <f t="shared" si="444"/>
        <v>17280</v>
      </c>
      <c r="BB70">
        <f t="shared" si="445"/>
        <v>558</v>
      </c>
      <c r="BC70">
        <f t="shared" si="105"/>
        <v>66960000</v>
      </c>
      <c r="BD70">
        <f t="shared" si="446"/>
        <v>0.29411764705882354</v>
      </c>
      <c r="BE70" s="27">
        <f t="shared" si="106"/>
        <v>13338833.76</v>
      </c>
      <c r="BF70" s="30">
        <f t="shared" si="447"/>
        <v>0.31919999999999998</v>
      </c>
      <c r="BG70" s="27"/>
      <c r="BH70" s="27"/>
      <c r="BI70" s="27"/>
      <c r="CA70" s="20">
        <f t="shared" si="448"/>
        <v>135</v>
      </c>
      <c r="CB70" s="20">
        <f t="shared" si="449"/>
        <v>13500</v>
      </c>
      <c r="CC70" s="31"/>
      <c r="CD70" s="20">
        <v>107</v>
      </c>
      <c r="CE70" s="20" t="s">
        <v>165</v>
      </c>
      <c r="CF70" s="20">
        <v>14</v>
      </c>
      <c r="CG70" s="20">
        <v>0</v>
      </c>
      <c r="CH70" s="20">
        <v>0</v>
      </c>
      <c r="CI70" s="20">
        <v>0</v>
      </c>
      <c r="CJ70" s="20">
        <v>1</v>
      </c>
      <c r="CK70" s="20">
        <v>5</v>
      </c>
      <c r="CM70" s="20"/>
    </row>
    <row r="71" spans="1:91" x14ac:dyDescent="0.15">
      <c r="A71">
        <v>805</v>
      </c>
      <c r="B71" s="3" t="s">
        <v>122</v>
      </c>
      <c r="C71" s="4" t="s">
        <v>109</v>
      </c>
      <c r="D71" s="4" t="s">
        <v>110</v>
      </c>
      <c r="E71" s="5">
        <v>2</v>
      </c>
      <c r="F71" s="7" t="s">
        <v>146</v>
      </c>
      <c r="G71" s="5">
        <v>3</v>
      </c>
      <c r="H71" s="7" t="s">
        <v>191</v>
      </c>
      <c r="I71" s="5">
        <v>0</v>
      </c>
      <c r="J71" s="7" t="s">
        <v>148</v>
      </c>
      <c r="K71">
        <v>6</v>
      </c>
      <c r="L71">
        <v>1.5</v>
      </c>
      <c r="M71" s="5">
        <v>1.5</v>
      </c>
      <c r="N71" s="5">
        <v>10</v>
      </c>
      <c r="O71" s="5">
        <f t="shared" si="429"/>
        <v>14361</v>
      </c>
      <c r="P71" s="5">
        <f t="shared" si="430"/>
        <v>70308000</v>
      </c>
      <c r="Q71" s="5">
        <f t="shared" si="431"/>
        <v>1171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70051</v>
      </c>
      <c r="X71" s="6" t="s">
        <v>183</v>
      </c>
      <c r="Y71" s="5">
        <v>300</v>
      </c>
      <c r="Z71" s="5">
        <v>1</v>
      </c>
      <c r="AA71" s="5">
        <v>3123036</v>
      </c>
      <c r="AB71" s="16" t="s">
        <v>111</v>
      </c>
      <c r="AC71" s="7" t="s">
        <v>112</v>
      </c>
      <c r="AD71" s="7" t="s">
        <v>112</v>
      </c>
      <c r="AE71" s="7" t="s">
        <v>112</v>
      </c>
      <c r="AF71" s="6" t="s">
        <v>113</v>
      </c>
      <c r="AG71" s="26" t="str">
        <f t="shared" ref="AG71" si="457">CM$8</f>
        <v>4,19,28,19,6,4,19,28,19,6</v>
      </c>
      <c r="AH71" s="26" t="str">
        <f t="shared" ref="AH71" si="458">CN$8</f>
        <v>0,0,0,0,1,0,0,0,0,1</v>
      </c>
      <c r="AI71" s="26" t="str">
        <f t="shared" ref="AI71" si="459">CO$8</f>
        <v>0,0,0,0,1,0,0,0,0,1</v>
      </c>
      <c r="AJ71" s="26" t="str">
        <f t="shared" ref="AJ71" si="460">CP$8</f>
        <v>0,0,0,0,5,0,0,0,0,5</v>
      </c>
      <c r="AK71" s="26" t="str">
        <f t="shared" ref="AK71" si="461">CQ$8</f>
        <v>200,100,1000,200,5,200,100,1000,200,5</v>
      </c>
      <c r="AL71" s="26" t="str">
        <f t="shared" ref="AL71" si="462">CR$8</f>
        <v>5,5,5,5,5,5,5,5,5,5</v>
      </c>
      <c r="AM71" s="7">
        <v>2001</v>
      </c>
      <c r="AO71">
        <f t="shared" ref="AO71" si="463">AQ71*100+5</f>
        <v>805</v>
      </c>
      <c r="AP71">
        <v>67</v>
      </c>
      <c r="AQ71">
        <f t="shared" si="439"/>
        <v>8</v>
      </c>
      <c r="AR71" s="17">
        <v>6</v>
      </c>
      <c r="AS71" s="17">
        <f t="shared" si="60"/>
        <v>95</v>
      </c>
      <c r="AT71" s="17">
        <v>5</v>
      </c>
      <c r="AU71">
        <f t="shared" si="440"/>
        <v>20</v>
      </c>
      <c r="AV71">
        <v>150</v>
      </c>
      <c r="AW71">
        <f t="shared" si="441"/>
        <v>14361.338879999999</v>
      </c>
      <c r="AX71">
        <f t="shared" si="104"/>
        <v>70308000</v>
      </c>
      <c r="AY71">
        <f t="shared" si="442"/>
        <v>1171.8</v>
      </c>
      <c r="AZ71">
        <f t="shared" si="443"/>
        <v>2343.6</v>
      </c>
      <c r="BA71">
        <f t="shared" si="444"/>
        <v>18144</v>
      </c>
      <c r="BB71">
        <f t="shared" si="445"/>
        <v>585.9</v>
      </c>
      <c r="BC71">
        <f t="shared" si="105"/>
        <v>70308000</v>
      </c>
      <c r="BD71">
        <f t="shared" si="446"/>
        <v>0.29411764705882354</v>
      </c>
      <c r="BE71" s="27">
        <f t="shared" si="106"/>
        <v>14706064.2204</v>
      </c>
      <c r="BF71" s="30">
        <f t="shared" si="447"/>
        <v>0.31919999999999998</v>
      </c>
      <c r="BG71" s="27"/>
      <c r="BH71" s="27"/>
      <c r="BI71" s="27"/>
      <c r="CA71" s="20">
        <f t="shared" si="448"/>
        <v>135</v>
      </c>
      <c r="CB71" s="20">
        <f t="shared" si="449"/>
        <v>13500</v>
      </c>
      <c r="CC71" s="31"/>
      <c r="CD71" s="20">
        <v>107</v>
      </c>
      <c r="CE71" s="20" t="s">
        <v>162</v>
      </c>
      <c r="CF71" s="20">
        <v>28</v>
      </c>
      <c r="CG71" s="20">
        <v>0</v>
      </c>
      <c r="CH71" s="20">
        <v>0</v>
      </c>
      <c r="CI71" s="20">
        <v>0</v>
      </c>
      <c r="CJ71" s="20">
        <v>1000</v>
      </c>
      <c r="CK71" s="20">
        <v>5</v>
      </c>
      <c r="CM71" s="20"/>
    </row>
    <row r="72" spans="1:91" x14ac:dyDescent="0.15">
      <c r="A72">
        <v>806</v>
      </c>
      <c r="B72" s="3" t="s">
        <v>124</v>
      </c>
      <c r="C72" s="4" t="s">
        <v>109</v>
      </c>
      <c r="D72" s="6" t="s">
        <v>120</v>
      </c>
      <c r="E72" s="5">
        <v>1</v>
      </c>
      <c r="F72" s="7" t="s">
        <v>147</v>
      </c>
      <c r="G72" s="5">
        <v>3</v>
      </c>
      <c r="H72" s="7" t="s">
        <v>192</v>
      </c>
      <c r="I72" s="5">
        <v>0</v>
      </c>
      <c r="J72" s="7" t="s">
        <v>149</v>
      </c>
      <c r="K72">
        <v>6</v>
      </c>
      <c r="L72">
        <v>1.5</v>
      </c>
      <c r="M72" s="5">
        <v>1.5</v>
      </c>
      <c r="N72" s="5">
        <v>10</v>
      </c>
      <c r="O72" s="5">
        <f t="shared" si="429"/>
        <v>15045</v>
      </c>
      <c r="P72" s="5">
        <f t="shared" si="430"/>
        <v>73656000</v>
      </c>
      <c r="Q72" s="5">
        <f t="shared" si="431"/>
        <v>1227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70061</v>
      </c>
      <c r="X72" s="6" t="s">
        <v>184</v>
      </c>
      <c r="Y72" s="5">
        <v>300</v>
      </c>
      <c r="Z72" s="5">
        <v>1</v>
      </c>
      <c r="AA72" s="5">
        <v>3553321</v>
      </c>
      <c r="AB72" s="16" t="s">
        <v>111</v>
      </c>
      <c r="AC72" s="7" t="s">
        <v>112</v>
      </c>
      <c r="AD72" s="7" t="s">
        <v>112</v>
      </c>
      <c r="AE72" s="7" t="s">
        <v>112</v>
      </c>
      <c r="AF72" s="6" t="s">
        <v>113</v>
      </c>
      <c r="AG72" s="26" t="str">
        <f t="shared" ref="AG72" si="464">CM$9</f>
        <v>4,33,28,33,6,4,33,28,33,6</v>
      </c>
      <c r="AH72" s="26" t="str">
        <f t="shared" ref="AH72" si="465">CN$9</f>
        <v>0,6,0,6,1,0,6,0,6,1</v>
      </c>
      <c r="AI72" s="26" t="str">
        <f t="shared" ref="AI72" si="466">CO$9</f>
        <v>0,0,0,0,1,0,0,0,0,1</v>
      </c>
      <c r="AJ72" s="26" t="str">
        <f t="shared" ref="AJ72" si="467">CP$9</f>
        <v>0,0,0,0,5,0,0,0,0,5</v>
      </c>
      <c r="AK72" s="26" t="str">
        <f t="shared" ref="AK72" si="468">CQ$9</f>
        <v>200,1,1000,2,5,200,1,1000,2,5</v>
      </c>
      <c r="AL72" s="26" t="str">
        <f t="shared" ref="AL72" si="469">CR$9</f>
        <v>5,5,5,5,5,5,5,5,5,5</v>
      </c>
      <c r="AM72" s="7">
        <v>2001</v>
      </c>
      <c r="AO72">
        <f t="shared" ref="AO72" si="470">AQ72*100+6</f>
        <v>806</v>
      </c>
      <c r="AP72">
        <v>68</v>
      </c>
      <c r="AQ72">
        <f t="shared" si="439"/>
        <v>8</v>
      </c>
      <c r="AR72" s="17">
        <v>6</v>
      </c>
      <c r="AS72" s="17">
        <f t="shared" si="60"/>
        <v>100</v>
      </c>
      <c r="AT72" s="17">
        <v>5</v>
      </c>
      <c r="AU72">
        <f t="shared" si="440"/>
        <v>20</v>
      </c>
      <c r="AV72">
        <v>150</v>
      </c>
      <c r="AW72">
        <f t="shared" si="441"/>
        <v>15045.212159999999</v>
      </c>
      <c r="AX72">
        <f t="shared" si="104"/>
        <v>73656000.000000015</v>
      </c>
      <c r="AY72">
        <f t="shared" si="442"/>
        <v>1227.6000000000001</v>
      </c>
      <c r="AZ72">
        <f t="shared" si="443"/>
        <v>2455.2000000000003</v>
      </c>
      <c r="BA72">
        <f t="shared" si="444"/>
        <v>19008</v>
      </c>
      <c r="BB72">
        <f t="shared" si="445"/>
        <v>613.80000000000007</v>
      </c>
      <c r="BC72">
        <f t="shared" si="105"/>
        <v>73656000.000000015</v>
      </c>
      <c r="BD72">
        <f t="shared" si="446"/>
        <v>0.29411764705882354</v>
      </c>
      <c r="BE72" s="27">
        <f t="shared" si="106"/>
        <v>16139988.849600006</v>
      </c>
      <c r="BF72" s="30">
        <f t="shared" si="447"/>
        <v>0.31919999999999998</v>
      </c>
      <c r="BG72" s="27"/>
      <c r="BH72" s="27"/>
      <c r="BI72" s="27"/>
      <c r="CA72" s="20">
        <f t="shared" si="448"/>
        <v>135</v>
      </c>
      <c r="CB72" s="20">
        <f t="shared" si="449"/>
        <v>13500</v>
      </c>
      <c r="CC72" s="31"/>
      <c r="CD72" s="20">
        <v>107</v>
      </c>
      <c r="CE72" s="20" t="s">
        <v>166</v>
      </c>
      <c r="CF72" s="20">
        <v>14</v>
      </c>
      <c r="CG72" s="20">
        <v>0</v>
      </c>
      <c r="CH72" s="20">
        <v>0</v>
      </c>
      <c r="CI72" s="20">
        <v>0</v>
      </c>
      <c r="CJ72" s="20">
        <v>2</v>
      </c>
      <c r="CK72" s="20">
        <v>5</v>
      </c>
      <c r="CM72" s="20"/>
    </row>
    <row r="73" spans="1:91" x14ac:dyDescent="0.15">
      <c r="A73">
        <v>807</v>
      </c>
      <c r="B73" s="3" t="s">
        <v>126</v>
      </c>
      <c r="C73" s="4" t="s">
        <v>109</v>
      </c>
      <c r="D73" s="4" t="s">
        <v>110</v>
      </c>
      <c r="E73" s="5">
        <v>2</v>
      </c>
      <c r="F73" s="7" t="s">
        <v>143</v>
      </c>
      <c r="G73" s="5">
        <v>3</v>
      </c>
      <c r="H73" s="7" t="s">
        <v>193</v>
      </c>
      <c r="I73" s="5">
        <v>0</v>
      </c>
      <c r="J73" s="5">
        <v>0</v>
      </c>
      <c r="K73">
        <v>2</v>
      </c>
      <c r="L73">
        <v>1.5</v>
      </c>
      <c r="M73" s="5">
        <v>1.5</v>
      </c>
      <c r="N73" s="5">
        <v>10</v>
      </c>
      <c r="O73" s="5">
        <f t="shared" si="429"/>
        <v>15729</v>
      </c>
      <c r="P73" s="5">
        <f t="shared" si="430"/>
        <v>77004000</v>
      </c>
      <c r="Q73" s="5">
        <f t="shared" si="431"/>
        <v>1283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70071</v>
      </c>
      <c r="X73" s="6" t="s">
        <v>185</v>
      </c>
      <c r="Y73" s="5">
        <v>300</v>
      </c>
      <c r="Z73" s="5">
        <v>1</v>
      </c>
      <c r="AA73" s="5">
        <v>4011366</v>
      </c>
      <c r="AB73" s="16" t="s">
        <v>111</v>
      </c>
      <c r="AC73" s="7" t="s">
        <v>112</v>
      </c>
      <c r="AD73" s="7" t="s">
        <v>112</v>
      </c>
      <c r="AE73" s="7" t="s">
        <v>112</v>
      </c>
      <c r="AF73" s="6" t="s">
        <v>113</v>
      </c>
      <c r="AG73" s="26" t="str">
        <f t="shared" ref="AG73" si="471">CM$10</f>
        <v>4,14,28,14,6,4,14,28,14,6</v>
      </c>
      <c r="AH73" s="26" t="str">
        <f t="shared" ref="AH73" si="472">CN$10</f>
        <v>0,0,0,0,1,0,0,0,0,1</v>
      </c>
      <c r="AI73" s="26" t="str">
        <f t="shared" ref="AI73" si="473">CO$10</f>
        <v>0,0,0,0,1,0,0,0,0,1</v>
      </c>
      <c r="AJ73" s="26" t="str">
        <f t="shared" ref="AJ73" si="474">CP$10</f>
        <v>0,0,0,0,5,0,0,0,0,5</v>
      </c>
      <c r="AK73" s="26" t="str">
        <f t="shared" ref="AK73" si="475">CQ$10</f>
        <v>200,1,1000,2,5,200,1,1000,2,5</v>
      </c>
      <c r="AL73" s="26" t="str">
        <f t="shared" ref="AL73" si="476">CR$10</f>
        <v>5,5,5,5,5,5,5,5,5,5</v>
      </c>
      <c r="AM73" s="7">
        <v>2001</v>
      </c>
      <c r="AO73">
        <f t="shared" ref="AO73" si="477">AQ73*100+7</f>
        <v>807</v>
      </c>
      <c r="AP73">
        <v>69</v>
      </c>
      <c r="AQ73">
        <f t="shared" si="439"/>
        <v>8</v>
      </c>
      <c r="AR73" s="17">
        <v>6</v>
      </c>
      <c r="AS73" s="17">
        <f t="shared" si="60"/>
        <v>105</v>
      </c>
      <c r="AT73" s="17">
        <v>5</v>
      </c>
      <c r="AU73">
        <f t="shared" si="440"/>
        <v>20</v>
      </c>
      <c r="AV73">
        <v>150</v>
      </c>
      <c r="AW73">
        <f t="shared" si="441"/>
        <v>15729.085439999997</v>
      </c>
      <c r="AX73">
        <f t="shared" si="104"/>
        <v>77004000</v>
      </c>
      <c r="AY73">
        <f t="shared" si="442"/>
        <v>1283.4000000000001</v>
      </c>
      <c r="AZ73">
        <f t="shared" si="443"/>
        <v>2566.8000000000002</v>
      </c>
      <c r="BA73">
        <f t="shared" si="444"/>
        <v>19872</v>
      </c>
      <c r="BB73">
        <f t="shared" si="445"/>
        <v>641.70000000000005</v>
      </c>
      <c r="BC73">
        <f t="shared" si="105"/>
        <v>77004000</v>
      </c>
      <c r="BD73">
        <f t="shared" si="446"/>
        <v>0.29411764705882348</v>
      </c>
      <c r="BE73" s="27">
        <f t="shared" si="106"/>
        <v>17640607.647600003</v>
      </c>
      <c r="BF73" s="30">
        <f t="shared" si="447"/>
        <v>0.31919999999999998</v>
      </c>
      <c r="BG73" s="27"/>
      <c r="BH73" s="27"/>
      <c r="BI73" s="27"/>
      <c r="CA73" s="20">
        <f t="shared" si="448"/>
        <v>135</v>
      </c>
      <c r="CB73" s="20">
        <f t="shared" si="449"/>
        <v>13500</v>
      </c>
      <c r="CC73" s="31"/>
      <c r="CD73" s="20">
        <v>107</v>
      </c>
      <c r="CE73" s="20" t="s">
        <v>155</v>
      </c>
      <c r="CF73" s="20">
        <v>6</v>
      </c>
      <c r="CG73" s="20">
        <v>1</v>
      </c>
      <c r="CH73" s="20">
        <v>1</v>
      </c>
      <c r="CI73" s="20">
        <v>5</v>
      </c>
      <c r="CJ73" s="20">
        <v>5</v>
      </c>
      <c r="CK73" s="20">
        <v>5</v>
      </c>
      <c r="CM73" s="20"/>
    </row>
    <row r="74" spans="1:91" x14ac:dyDescent="0.15">
      <c r="A74">
        <v>808</v>
      </c>
      <c r="B74" s="3" t="s">
        <v>128</v>
      </c>
      <c r="C74" s="4" t="s">
        <v>109</v>
      </c>
      <c r="D74" s="4" t="s">
        <v>110</v>
      </c>
      <c r="E74" s="5">
        <v>5</v>
      </c>
      <c r="F74" s="7" t="s">
        <v>129</v>
      </c>
      <c r="G74" s="5">
        <v>2</v>
      </c>
      <c r="H74" s="7" t="s">
        <v>130</v>
      </c>
      <c r="I74" s="5">
        <v>0</v>
      </c>
      <c r="J74" s="5">
        <v>0</v>
      </c>
      <c r="K74">
        <v>2</v>
      </c>
      <c r="L74">
        <v>1.5</v>
      </c>
      <c r="M74" s="5">
        <v>1.5</v>
      </c>
      <c r="N74" s="5">
        <v>10</v>
      </c>
      <c r="O74" s="5">
        <f t="shared" si="429"/>
        <v>16412</v>
      </c>
      <c r="P74" s="5">
        <f t="shared" si="430"/>
        <v>80352000</v>
      </c>
      <c r="Q74" s="5">
        <f t="shared" si="431"/>
        <v>1339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70081</v>
      </c>
      <c r="X74" s="6" t="s">
        <v>186</v>
      </c>
      <c r="Y74" s="5">
        <v>300</v>
      </c>
      <c r="Z74" s="5">
        <v>1</v>
      </c>
      <c r="AA74" s="5">
        <v>4497172</v>
      </c>
      <c r="AB74" s="16" t="s">
        <v>111</v>
      </c>
      <c r="AC74" s="7" t="s">
        <v>112</v>
      </c>
      <c r="AD74" s="7" t="s">
        <v>112</v>
      </c>
      <c r="AE74" s="7" t="s">
        <v>112</v>
      </c>
      <c r="AF74" s="6" t="s">
        <v>113</v>
      </c>
      <c r="AG74" s="26" t="str">
        <f t="shared" ref="AG74" si="478">CM$11</f>
        <v>4,28,6,28,6,4,28,6,28,6</v>
      </c>
      <c r="AH74" s="26" t="str">
        <f t="shared" ref="AH74" si="479">CN$11</f>
        <v>0,0,1,0,1,0,0,1,0,1</v>
      </c>
      <c r="AI74" s="26" t="str">
        <f t="shared" ref="AI74" si="480">CO$11</f>
        <v>0,0,1,0,1,0,0,1,0,1</v>
      </c>
      <c r="AJ74" s="26" t="str">
        <f t="shared" ref="AJ74" si="481">CP$11</f>
        <v>0,0,5,0,5,0,0,5,0,5</v>
      </c>
      <c r="AK74" s="26" t="str">
        <f t="shared" ref="AK74" si="482">CQ$11</f>
        <v>100,1000,5,1500,5,200,1000,5,1500,5</v>
      </c>
      <c r="AL74" s="26" t="str">
        <f t="shared" ref="AL74" si="483">CR$11</f>
        <v>5,5,5,5,5,5,5,5,5,5</v>
      </c>
      <c r="AM74" s="7">
        <v>2001</v>
      </c>
      <c r="AO74">
        <f t="shared" ref="AO74" si="484">AQ74*100+8</f>
        <v>808</v>
      </c>
      <c r="AP74">
        <v>70</v>
      </c>
      <c r="AQ74">
        <f t="shared" si="439"/>
        <v>8</v>
      </c>
      <c r="AR74" s="17">
        <v>6</v>
      </c>
      <c r="AS74" s="17">
        <f t="shared" si="60"/>
        <v>110</v>
      </c>
      <c r="AT74" s="17">
        <v>5</v>
      </c>
      <c r="AU74">
        <f t="shared" si="440"/>
        <v>20</v>
      </c>
      <c r="AV74">
        <v>150</v>
      </c>
      <c r="AW74">
        <f t="shared" si="441"/>
        <v>16412.958719999999</v>
      </c>
      <c r="AX74">
        <f t="shared" si="104"/>
        <v>80352000</v>
      </c>
      <c r="AY74">
        <f t="shared" si="442"/>
        <v>1339.2</v>
      </c>
      <c r="AZ74">
        <f t="shared" si="443"/>
        <v>2678.4</v>
      </c>
      <c r="BA74">
        <f t="shared" si="444"/>
        <v>20736</v>
      </c>
      <c r="BB74">
        <f t="shared" si="445"/>
        <v>669.6</v>
      </c>
      <c r="BC74">
        <f t="shared" si="105"/>
        <v>80352000</v>
      </c>
      <c r="BD74">
        <f t="shared" si="446"/>
        <v>0.29411764705882348</v>
      </c>
      <c r="BE74" s="27">
        <f t="shared" si="106"/>
        <v>19207920.614399999</v>
      </c>
      <c r="BF74" s="30">
        <f t="shared" si="447"/>
        <v>0.31919999999999998</v>
      </c>
      <c r="BG74" s="27"/>
      <c r="BH74" s="27"/>
      <c r="BI74" s="27"/>
      <c r="CA74" s="20">
        <f t="shared" si="448"/>
        <v>135</v>
      </c>
      <c r="CB74" s="20">
        <f t="shared" si="449"/>
        <v>13500</v>
      </c>
      <c r="CC74" s="31" t="s">
        <v>174</v>
      </c>
      <c r="CD74" s="20">
        <v>108</v>
      </c>
      <c r="CE74" s="20" t="s">
        <v>152</v>
      </c>
      <c r="CF74" s="20">
        <v>4</v>
      </c>
      <c r="CG74" s="20">
        <v>0</v>
      </c>
      <c r="CH74" s="20">
        <v>0</v>
      </c>
      <c r="CI74" s="20">
        <v>0</v>
      </c>
      <c r="CJ74" s="20">
        <v>100</v>
      </c>
      <c r="CK74" s="20">
        <v>5</v>
      </c>
      <c r="CM74" s="20"/>
    </row>
    <row r="75" spans="1:91" x14ac:dyDescent="0.15">
      <c r="A75">
        <v>809</v>
      </c>
      <c r="B75" s="3" t="s">
        <v>132</v>
      </c>
      <c r="C75" s="4" t="s">
        <v>109</v>
      </c>
      <c r="D75" s="4" t="s">
        <v>110</v>
      </c>
      <c r="E75" s="5">
        <v>5</v>
      </c>
      <c r="F75" s="7" t="s">
        <v>140</v>
      </c>
      <c r="G75" s="5">
        <v>3</v>
      </c>
      <c r="H75" s="7" t="s">
        <v>140</v>
      </c>
      <c r="I75" s="5">
        <v>0</v>
      </c>
      <c r="J75" s="7">
        <v>0</v>
      </c>
      <c r="K75">
        <v>6</v>
      </c>
      <c r="L75">
        <v>1.5</v>
      </c>
      <c r="M75" s="5">
        <v>1.5</v>
      </c>
      <c r="N75" s="5">
        <v>10</v>
      </c>
      <c r="O75" s="5">
        <f t="shared" si="429"/>
        <v>17096</v>
      </c>
      <c r="P75" s="5">
        <f t="shared" si="430"/>
        <v>83700000</v>
      </c>
      <c r="Q75" s="5">
        <f t="shared" si="431"/>
        <v>1395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70091</v>
      </c>
      <c r="X75" s="6" t="s">
        <v>187</v>
      </c>
      <c r="Y75" s="5">
        <v>300</v>
      </c>
      <c r="Z75" s="5">
        <v>1</v>
      </c>
      <c r="AA75" s="5">
        <v>5010738</v>
      </c>
      <c r="AB75" s="16" t="s">
        <v>111</v>
      </c>
      <c r="AC75" s="7" t="s">
        <v>112</v>
      </c>
      <c r="AD75" s="7" t="s">
        <v>112</v>
      </c>
      <c r="AE75" s="7" t="s">
        <v>112</v>
      </c>
      <c r="AF75" s="6" t="s">
        <v>113</v>
      </c>
      <c r="AG75" s="26" t="str">
        <f t="shared" ref="AG75" si="485">CM$12</f>
        <v>4,33,28,33,6,4,33,28,33,6</v>
      </c>
      <c r="AH75" s="26" t="str">
        <f t="shared" ref="AH75" si="486">CN$12</f>
        <v>0,5,0,5,1,0,5,0,5,1</v>
      </c>
      <c r="AI75" s="26" t="str">
        <f t="shared" ref="AI75" si="487">CO$12</f>
        <v>0,0,0,0,1,0,0,0,0,1</v>
      </c>
      <c r="AJ75" s="26" t="str">
        <f t="shared" ref="AJ75" si="488">CP$12</f>
        <v>0,0,0,0,5,0,0,0,0,5</v>
      </c>
      <c r="AK75" s="26" t="str">
        <f t="shared" ref="AK75" si="489">CQ$12</f>
        <v>100,1,1000,2,5,200,1,1000,2,5</v>
      </c>
      <c r="AL75" s="26" t="str">
        <f t="shared" ref="AL75" si="490">CR$12</f>
        <v>5,5,5,5,5,5,5,5,5,5</v>
      </c>
      <c r="AM75" s="7">
        <v>2001</v>
      </c>
      <c r="AO75">
        <f t="shared" ref="AO75" si="491">AQ75*100+9</f>
        <v>809</v>
      </c>
      <c r="AP75">
        <v>71</v>
      </c>
      <c r="AQ75">
        <f t="shared" si="439"/>
        <v>8</v>
      </c>
      <c r="AR75" s="17">
        <v>6</v>
      </c>
      <c r="AS75" s="17">
        <f t="shared" si="60"/>
        <v>115</v>
      </c>
      <c r="AT75" s="17">
        <v>5</v>
      </c>
      <c r="AU75">
        <f t="shared" si="440"/>
        <v>20</v>
      </c>
      <c r="AV75">
        <v>150</v>
      </c>
      <c r="AW75">
        <f t="shared" si="441"/>
        <v>17096.831999999999</v>
      </c>
      <c r="AX75">
        <f t="shared" si="104"/>
        <v>83700000</v>
      </c>
      <c r="AY75">
        <f t="shared" si="442"/>
        <v>1395</v>
      </c>
      <c r="AZ75">
        <f t="shared" si="443"/>
        <v>2790</v>
      </c>
      <c r="BA75">
        <f t="shared" si="444"/>
        <v>21600</v>
      </c>
      <c r="BB75">
        <f t="shared" si="445"/>
        <v>697.5</v>
      </c>
      <c r="BC75">
        <f t="shared" si="105"/>
        <v>83700000</v>
      </c>
      <c r="BD75">
        <f t="shared" si="446"/>
        <v>0.29411764705882354</v>
      </c>
      <c r="BE75" s="27">
        <f t="shared" si="106"/>
        <v>20841927.750000004</v>
      </c>
      <c r="BF75" s="30">
        <f t="shared" si="447"/>
        <v>0.31919999999999998</v>
      </c>
      <c r="BG75" s="27"/>
      <c r="BH75" s="27"/>
      <c r="BI75" s="27"/>
      <c r="CA75" s="20">
        <f t="shared" si="448"/>
        <v>135</v>
      </c>
      <c r="CB75" s="20">
        <f t="shared" si="449"/>
        <v>13500</v>
      </c>
      <c r="CC75" s="31"/>
      <c r="CD75" s="20">
        <v>108</v>
      </c>
      <c r="CE75" s="20" t="s">
        <v>162</v>
      </c>
      <c r="CF75" s="20">
        <v>28</v>
      </c>
      <c r="CG75" s="20">
        <v>0</v>
      </c>
      <c r="CH75" s="20">
        <v>0</v>
      </c>
      <c r="CI75" s="20">
        <v>0</v>
      </c>
      <c r="CJ75" s="20">
        <v>1000</v>
      </c>
      <c r="CK75" s="20">
        <v>5</v>
      </c>
      <c r="CM75" s="20"/>
    </row>
    <row r="76" spans="1:91" x14ac:dyDescent="0.15">
      <c r="A76">
        <v>901</v>
      </c>
      <c r="B76" s="3" t="s">
        <v>108</v>
      </c>
      <c r="C76" s="4" t="s">
        <v>109</v>
      </c>
      <c r="D76" s="4" t="s">
        <v>110</v>
      </c>
      <c r="E76" s="5">
        <v>3</v>
      </c>
      <c r="F76" s="7" t="s">
        <v>141</v>
      </c>
      <c r="G76" s="5">
        <v>2.5</v>
      </c>
      <c r="H76" s="7" t="s">
        <v>194</v>
      </c>
      <c r="I76" s="5">
        <v>0</v>
      </c>
      <c r="J76" s="5">
        <v>0</v>
      </c>
      <c r="K76">
        <v>2</v>
      </c>
      <c r="L76">
        <v>1.5</v>
      </c>
      <c r="M76" s="5">
        <v>1.5</v>
      </c>
      <c r="N76" s="5">
        <v>10</v>
      </c>
      <c r="O76" s="5">
        <f t="shared" si="429"/>
        <v>12332</v>
      </c>
      <c r="P76" s="5">
        <f t="shared" si="430"/>
        <v>60264000</v>
      </c>
      <c r="Q76" s="5">
        <f t="shared" si="431"/>
        <v>1004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70011</v>
      </c>
      <c r="X76" s="6" t="s">
        <v>179</v>
      </c>
      <c r="Y76" s="5">
        <v>300</v>
      </c>
      <c r="Z76" s="5">
        <v>1</v>
      </c>
      <c r="AA76" s="5">
        <v>5552064</v>
      </c>
      <c r="AB76" s="16" t="s">
        <v>111</v>
      </c>
      <c r="AC76" s="7" t="s">
        <v>112</v>
      </c>
      <c r="AD76" s="7" t="s">
        <v>112</v>
      </c>
      <c r="AE76" s="7" t="s">
        <v>112</v>
      </c>
      <c r="AF76" s="6" t="s">
        <v>113</v>
      </c>
      <c r="AG76" s="26" t="str">
        <f t="shared" ref="AG76" si="492">CM$4</f>
        <v>4,33,28,33,6,4,33,28,33,6</v>
      </c>
      <c r="AH76" s="26" t="str">
        <f t="shared" ref="AH76" si="493">CN$4</f>
        <v>0,8,0,8,1,0,8,0,8,1</v>
      </c>
      <c r="AI76" s="26" t="str">
        <f t="shared" ref="AI76" si="494">CO$4</f>
        <v>0,0,0,0,1,0,0,0,0,1</v>
      </c>
      <c r="AJ76" s="26" t="str">
        <f t="shared" ref="AJ76" si="495">CP$4</f>
        <v>0,0,0,0,5,0,0,0,0,5</v>
      </c>
      <c r="AK76" s="26" t="str">
        <f t="shared" ref="AK76" si="496">CQ$4</f>
        <v>100,1,1000,2,5,200,1,1000,2,5</v>
      </c>
      <c r="AL76" s="26" t="str">
        <f t="shared" ref="AL76" si="497">CR$4</f>
        <v>5,5,5,5,5,5,5,5,5,5</v>
      </c>
      <c r="AM76" s="7">
        <v>2001</v>
      </c>
      <c r="AO76">
        <f t="shared" ref="AO76" si="498">AQ76*100+1</f>
        <v>901</v>
      </c>
      <c r="AP76">
        <v>72</v>
      </c>
      <c r="AQ76">
        <f t="shared" si="439"/>
        <v>9</v>
      </c>
      <c r="AR76" s="17">
        <v>6</v>
      </c>
      <c r="AS76" s="17">
        <f t="shared" si="60"/>
        <v>80</v>
      </c>
      <c r="AT76" s="17">
        <v>5</v>
      </c>
      <c r="AU76">
        <f t="shared" si="440"/>
        <v>20</v>
      </c>
      <c r="AV76">
        <v>150</v>
      </c>
      <c r="AW76">
        <f t="shared" si="441"/>
        <v>12332.11392</v>
      </c>
      <c r="AX76">
        <f t="shared" si="104"/>
        <v>60264000</v>
      </c>
      <c r="AY76">
        <f t="shared" si="442"/>
        <v>1004.4</v>
      </c>
      <c r="AZ76">
        <f t="shared" si="443"/>
        <v>2008.8</v>
      </c>
      <c r="BA76">
        <f t="shared" si="444"/>
        <v>15552</v>
      </c>
      <c r="BB76">
        <f t="shared" si="445"/>
        <v>502.2</v>
      </c>
      <c r="BC76">
        <f t="shared" si="105"/>
        <v>60264000</v>
      </c>
      <c r="BD76">
        <f t="shared" si="446"/>
        <v>0.29411764705882354</v>
      </c>
      <c r="BE76" s="27">
        <f t="shared" si="106"/>
        <v>10804455.345599998</v>
      </c>
      <c r="BF76" s="30">
        <f t="shared" si="447"/>
        <v>0.3216</v>
      </c>
      <c r="BG76" s="27"/>
      <c r="BH76" s="27"/>
      <c r="BI76" s="27"/>
      <c r="CA76" s="20">
        <f t="shared" si="448"/>
        <v>140</v>
      </c>
      <c r="CB76" s="20">
        <f t="shared" si="449"/>
        <v>14000</v>
      </c>
      <c r="CC76" s="31"/>
      <c r="CD76" s="20">
        <v>108</v>
      </c>
      <c r="CE76" s="20" t="s">
        <v>198</v>
      </c>
      <c r="CF76" s="20">
        <v>6</v>
      </c>
      <c r="CG76" s="20">
        <v>1</v>
      </c>
      <c r="CH76" s="20">
        <v>1</v>
      </c>
      <c r="CI76" s="20">
        <v>5</v>
      </c>
      <c r="CJ76" s="20">
        <v>5</v>
      </c>
      <c r="CK76" s="20">
        <v>5</v>
      </c>
      <c r="CM76" s="20"/>
    </row>
    <row r="77" spans="1:91" x14ac:dyDescent="0.15">
      <c r="A77">
        <v>902</v>
      </c>
      <c r="B77" s="3" t="s">
        <v>115</v>
      </c>
      <c r="C77" s="4" t="s">
        <v>109</v>
      </c>
      <c r="D77" s="6" t="s">
        <v>110</v>
      </c>
      <c r="E77" s="5">
        <v>3</v>
      </c>
      <c r="F77" s="7" t="s">
        <v>142</v>
      </c>
      <c r="G77" s="5">
        <v>3</v>
      </c>
      <c r="H77" s="7" t="s">
        <v>188</v>
      </c>
      <c r="I77" s="5">
        <v>0</v>
      </c>
      <c r="J77" s="5">
        <v>0</v>
      </c>
      <c r="K77">
        <v>2</v>
      </c>
      <c r="L77">
        <v>1.5</v>
      </c>
      <c r="M77" s="5">
        <v>1.5</v>
      </c>
      <c r="N77" s="5">
        <v>10</v>
      </c>
      <c r="O77" s="5">
        <f t="shared" si="429"/>
        <v>13017</v>
      </c>
      <c r="P77" s="5">
        <f t="shared" si="430"/>
        <v>63612000</v>
      </c>
      <c r="Q77" s="5">
        <f t="shared" si="431"/>
        <v>1060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70021</v>
      </c>
      <c r="X77" s="6" t="s">
        <v>180</v>
      </c>
      <c r="Y77" s="5">
        <v>300</v>
      </c>
      <c r="Z77" s="5">
        <v>1</v>
      </c>
      <c r="AA77" s="5">
        <v>2345747</v>
      </c>
      <c r="AB77" s="16" t="s">
        <v>111</v>
      </c>
      <c r="AC77" s="7" t="s">
        <v>112</v>
      </c>
      <c r="AD77" s="7" t="s">
        <v>112</v>
      </c>
      <c r="AE77" s="7" t="s">
        <v>112</v>
      </c>
      <c r="AF77" s="6" t="s">
        <v>113</v>
      </c>
      <c r="AG77" s="26" t="str">
        <f t="shared" ref="AG77" si="499">CM$5</f>
        <v>4,33,28,33,6,4,33,28,33,6</v>
      </c>
      <c r="AH77" s="26" t="str">
        <f t="shared" ref="AH77" si="500">CN$5</f>
        <v>0,7,0,7,1,0,7,0,7,1</v>
      </c>
      <c r="AI77" s="26" t="str">
        <f t="shared" ref="AI77" si="501">CO$5</f>
        <v>0,0,0,0,1,0,0,0,0,1</v>
      </c>
      <c r="AJ77" s="26" t="str">
        <f t="shared" ref="AJ77" si="502">CP$5</f>
        <v>0,0,0,0,5,0,0,0,0,5</v>
      </c>
      <c r="AK77" s="26" t="str">
        <f t="shared" ref="AK77" si="503">CQ$5</f>
        <v>100,1,1000,2,5,200,1,1000,2,5</v>
      </c>
      <c r="AL77" s="26" t="str">
        <f t="shared" ref="AL77" si="504">CR$5</f>
        <v>5,5,5,5,5,5,5,5,5,5</v>
      </c>
      <c r="AM77" s="7">
        <v>2001</v>
      </c>
      <c r="AO77">
        <f t="shared" ref="AO77" si="505">AQ77*100+2</f>
        <v>902</v>
      </c>
      <c r="AP77">
        <v>73</v>
      </c>
      <c r="AQ77">
        <f t="shared" si="439"/>
        <v>9</v>
      </c>
      <c r="AR77" s="17">
        <v>6</v>
      </c>
      <c r="AS77" s="17">
        <f t="shared" si="60"/>
        <v>85</v>
      </c>
      <c r="AT77" s="17">
        <v>5</v>
      </c>
      <c r="AU77">
        <f t="shared" si="440"/>
        <v>20</v>
      </c>
      <c r="AV77">
        <v>150</v>
      </c>
      <c r="AW77">
        <f t="shared" si="441"/>
        <v>13017.231360000002</v>
      </c>
      <c r="AX77">
        <f t="shared" si="104"/>
        <v>63612000</v>
      </c>
      <c r="AY77">
        <f t="shared" si="442"/>
        <v>1060.2</v>
      </c>
      <c r="AZ77">
        <f t="shared" si="443"/>
        <v>2120.4</v>
      </c>
      <c r="BA77">
        <f t="shared" si="444"/>
        <v>16416</v>
      </c>
      <c r="BB77">
        <f t="shared" si="445"/>
        <v>530.1</v>
      </c>
      <c r="BC77">
        <f t="shared" si="105"/>
        <v>63612000</v>
      </c>
      <c r="BD77">
        <f t="shared" si="446"/>
        <v>0.29411764705882348</v>
      </c>
      <c r="BE77" s="27">
        <f t="shared" si="106"/>
        <v>12038297.4684</v>
      </c>
      <c r="BF77" s="30">
        <f t="shared" si="447"/>
        <v>0.3216</v>
      </c>
      <c r="BG77" s="27"/>
      <c r="BH77" s="27"/>
      <c r="BI77" s="27"/>
      <c r="CA77" s="20">
        <f t="shared" si="448"/>
        <v>140</v>
      </c>
      <c r="CB77" s="20">
        <f t="shared" si="449"/>
        <v>14000</v>
      </c>
      <c r="CC77" s="31"/>
      <c r="CD77" s="20">
        <v>108</v>
      </c>
      <c r="CE77" s="20" t="s">
        <v>163</v>
      </c>
      <c r="CF77" s="20">
        <v>28</v>
      </c>
      <c r="CG77" s="20">
        <v>0</v>
      </c>
      <c r="CH77" s="20">
        <v>0</v>
      </c>
      <c r="CI77" s="20">
        <v>0</v>
      </c>
      <c r="CJ77" s="20">
        <v>1500</v>
      </c>
      <c r="CK77" s="20">
        <v>5</v>
      </c>
      <c r="CM77" s="20"/>
    </row>
    <row r="78" spans="1:91" x14ac:dyDescent="0.15">
      <c r="A78">
        <v>903</v>
      </c>
      <c r="B78" s="3" t="s">
        <v>117</v>
      </c>
      <c r="C78" s="4" t="s">
        <v>109</v>
      </c>
      <c r="D78" s="4" t="s">
        <v>110</v>
      </c>
      <c r="E78" s="5">
        <v>1</v>
      </c>
      <c r="F78" s="7" t="s">
        <v>144</v>
      </c>
      <c r="G78" s="5">
        <v>3</v>
      </c>
      <c r="H78" s="7" t="s">
        <v>189</v>
      </c>
      <c r="I78" s="5">
        <v>0</v>
      </c>
      <c r="J78" s="2">
        <v>0</v>
      </c>
      <c r="K78">
        <v>6</v>
      </c>
      <c r="L78">
        <v>1.5</v>
      </c>
      <c r="M78" s="5">
        <v>1.5</v>
      </c>
      <c r="N78" s="5">
        <v>10</v>
      </c>
      <c r="O78" s="5">
        <f t="shared" si="429"/>
        <v>13702</v>
      </c>
      <c r="P78" s="5">
        <f t="shared" si="430"/>
        <v>66960000</v>
      </c>
      <c r="Q78" s="5">
        <f t="shared" si="431"/>
        <v>1116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70031</v>
      </c>
      <c r="X78" s="6" t="s">
        <v>181</v>
      </c>
      <c r="Y78" s="5">
        <v>300</v>
      </c>
      <c r="Z78" s="5">
        <v>1</v>
      </c>
      <c r="AA78" s="5">
        <v>2720511</v>
      </c>
      <c r="AB78" s="16" t="s">
        <v>111</v>
      </c>
      <c r="AC78" s="7" t="s">
        <v>112</v>
      </c>
      <c r="AD78" s="7" t="s">
        <v>112</v>
      </c>
      <c r="AE78" s="7" t="s">
        <v>112</v>
      </c>
      <c r="AF78" s="6" t="s">
        <v>113</v>
      </c>
      <c r="AG78" s="26" t="str">
        <f t="shared" ref="AG78" si="506">CM$6</f>
        <v>4,28,6,28,6,4,28,6,28,6</v>
      </c>
      <c r="AH78" s="26" t="str">
        <f t="shared" ref="AH78" si="507">CN$6</f>
        <v>0,0,1,0,1,0,0,1,0,1</v>
      </c>
      <c r="AI78" s="26" t="str">
        <f t="shared" ref="AI78" si="508">CO$6</f>
        <v>0,0,0,0,1,0,0,0,0,1</v>
      </c>
      <c r="AJ78" s="26" t="str">
        <f t="shared" ref="AJ78" si="509">CP$6</f>
        <v>0,0,5,0,5,0,0,5,0,5</v>
      </c>
      <c r="AK78" s="26" t="str">
        <f t="shared" ref="AK78" si="510">CQ$6</f>
        <v>100,1000,5,1500,5,200,1000,5,1500,5</v>
      </c>
      <c r="AL78" s="26" t="str">
        <f t="shared" ref="AL78" si="511">CR$6</f>
        <v>5,5,5,5,5,5,5,5,5,5</v>
      </c>
      <c r="AM78" s="7">
        <v>2001</v>
      </c>
      <c r="AO78">
        <f t="shared" ref="AO78" si="512">AQ78*100+3</f>
        <v>903</v>
      </c>
      <c r="AP78">
        <v>74</v>
      </c>
      <c r="AQ78">
        <f t="shared" si="439"/>
        <v>9</v>
      </c>
      <c r="AR78" s="17">
        <v>6</v>
      </c>
      <c r="AS78" s="17">
        <f t="shared" si="60"/>
        <v>90</v>
      </c>
      <c r="AT78" s="17">
        <v>5</v>
      </c>
      <c r="AU78">
        <f t="shared" si="440"/>
        <v>20</v>
      </c>
      <c r="AV78">
        <v>150</v>
      </c>
      <c r="AW78">
        <f t="shared" si="441"/>
        <v>13702.348800000002</v>
      </c>
      <c r="AX78">
        <f t="shared" si="104"/>
        <v>66960000</v>
      </c>
      <c r="AY78">
        <f t="shared" si="442"/>
        <v>1116</v>
      </c>
      <c r="AZ78">
        <f t="shared" si="443"/>
        <v>2232</v>
      </c>
      <c r="BA78">
        <f t="shared" si="444"/>
        <v>17280</v>
      </c>
      <c r="BB78">
        <f t="shared" si="445"/>
        <v>558</v>
      </c>
      <c r="BC78">
        <f t="shared" si="105"/>
        <v>66960000</v>
      </c>
      <c r="BD78">
        <f t="shared" si="446"/>
        <v>0.29411764705882354</v>
      </c>
      <c r="BE78" s="27">
        <f t="shared" si="106"/>
        <v>13338833.76</v>
      </c>
      <c r="BF78" s="30">
        <f t="shared" si="447"/>
        <v>0.3216</v>
      </c>
      <c r="BG78" s="27"/>
      <c r="BH78" s="27"/>
      <c r="BI78" s="27"/>
      <c r="CA78" s="20">
        <f t="shared" si="448"/>
        <v>140</v>
      </c>
      <c r="CB78" s="20">
        <f t="shared" si="449"/>
        <v>14000</v>
      </c>
      <c r="CC78" s="31"/>
      <c r="CD78" s="20">
        <v>108</v>
      </c>
      <c r="CE78" s="20" t="s">
        <v>155</v>
      </c>
      <c r="CF78" s="20">
        <v>6</v>
      </c>
      <c r="CG78" s="20">
        <v>1</v>
      </c>
      <c r="CH78" s="20">
        <v>1</v>
      </c>
      <c r="CI78" s="20">
        <v>5</v>
      </c>
      <c r="CJ78" s="20">
        <v>5</v>
      </c>
      <c r="CK78" s="20">
        <v>5</v>
      </c>
      <c r="CM78" s="20"/>
    </row>
    <row r="79" spans="1:91" x14ac:dyDescent="0.15">
      <c r="A79">
        <v>904</v>
      </c>
      <c r="B79" s="3" t="s">
        <v>119</v>
      </c>
      <c r="C79" s="4" t="s">
        <v>109</v>
      </c>
      <c r="D79" s="6" t="s">
        <v>120</v>
      </c>
      <c r="E79" s="5">
        <v>3</v>
      </c>
      <c r="F79" s="7" t="s">
        <v>145</v>
      </c>
      <c r="G79" s="5">
        <v>3</v>
      </c>
      <c r="H79" s="7" t="s">
        <v>190</v>
      </c>
      <c r="I79" s="5">
        <v>0</v>
      </c>
      <c r="J79" s="5">
        <v>0</v>
      </c>
      <c r="K79">
        <v>2</v>
      </c>
      <c r="L79">
        <v>1.5</v>
      </c>
      <c r="M79" s="5">
        <v>1.5</v>
      </c>
      <c r="N79" s="5">
        <v>10</v>
      </c>
      <c r="O79" s="5">
        <f t="shared" si="429"/>
        <v>14387</v>
      </c>
      <c r="P79" s="5">
        <f t="shared" si="430"/>
        <v>70308000</v>
      </c>
      <c r="Q79" s="5">
        <f t="shared" si="431"/>
        <v>1171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70041</v>
      </c>
      <c r="X79" s="6" t="s">
        <v>182</v>
      </c>
      <c r="Y79" s="5">
        <v>300</v>
      </c>
      <c r="Z79" s="5">
        <v>1</v>
      </c>
      <c r="AA79" s="5">
        <v>3123036</v>
      </c>
      <c r="AB79" s="16" t="s">
        <v>111</v>
      </c>
      <c r="AC79" s="7" t="s">
        <v>112</v>
      </c>
      <c r="AD79" s="7" t="s">
        <v>112</v>
      </c>
      <c r="AE79" s="7" t="s">
        <v>112</v>
      </c>
      <c r="AF79" s="6" t="s">
        <v>113</v>
      </c>
      <c r="AG79" s="26" t="str">
        <f t="shared" ref="AG79" si="513">CM$7</f>
        <v>4,14,28,14,6,4,14,28,14,6</v>
      </c>
      <c r="AH79" s="26" t="str">
        <f t="shared" ref="AH79" si="514">CN$7</f>
        <v>0,0,0,0,1,0,0,0,0,1</v>
      </c>
      <c r="AI79" s="26" t="str">
        <f t="shared" ref="AI79" si="515">CO$7</f>
        <v>0,0,0,0,1,0,0,0,0,1</v>
      </c>
      <c r="AJ79" s="26" t="str">
        <f t="shared" ref="AJ79" si="516">CP$7</f>
        <v>0,0,0,0,5,0,0,0,0,5</v>
      </c>
      <c r="AK79" s="26" t="str">
        <f t="shared" ref="AK79" si="517">CQ$7</f>
        <v>100,1,1000,2,5,200,1,1000,2,5</v>
      </c>
      <c r="AL79" s="26" t="str">
        <f t="shared" ref="AL79" si="518">CR$7</f>
        <v>5,5,5,5,5,5,5,5,5,5</v>
      </c>
      <c r="AM79" s="7">
        <v>2001</v>
      </c>
      <c r="AO79">
        <f t="shared" ref="AO79" si="519">AQ79*100+4</f>
        <v>904</v>
      </c>
      <c r="AP79">
        <v>75</v>
      </c>
      <c r="AQ79">
        <f t="shared" si="439"/>
        <v>9</v>
      </c>
      <c r="AR79" s="17">
        <v>6</v>
      </c>
      <c r="AS79" s="17">
        <f t="shared" ref="AS79:AS142" si="520">AS70+5</f>
        <v>95</v>
      </c>
      <c r="AT79" s="17">
        <v>5</v>
      </c>
      <c r="AU79">
        <f t="shared" si="440"/>
        <v>20</v>
      </c>
      <c r="AV79">
        <v>150</v>
      </c>
      <c r="AW79">
        <f t="shared" si="441"/>
        <v>14387.466240000002</v>
      </c>
      <c r="AX79">
        <f t="shared" si="104"/>
        <v>70308000</v>
      </c>
      <c r="AY79">
        <f t="shared" si="442"/>
        <v>1171.8</v>
      </c>
      <c r="AZ79">
        <f t="shared" si="443"/>
        <v>2343.6</v>
      </c>
      <c r="BA79">
        <f t="shared" si="444"/>
        <v>18144</v>
      </c>
      <c r="BB79">
        <f t="shared" si="445"/>
        <v>585.9</v>
      </c>
      <c r="BC79">
        <f t="shared" si="105"/>
        <v>70308000</v>
      </c>
      <c r="BD79">
        <f t="shared" si="446"/>
        <v>0.29411764705882354</v>
      </c>
      <c r="BE79" s="27">
        <f t="shared" si="106"/>
        <v>14706064.2204</v>
      </c>
      <c r="BF79" s="30">
        <f t="shared" si="447"/>
        <v>0.3216</v>
      </c>
      <c r="BG79" s="27"/>
      <c r="BH79" s="27"/>
      <c r="BI79" s="27"/>
      <c r="CA79" s="20">
        <f t="shared" si="448"/>
        <v>140</v>
      </c>
      <c r="CB79" s="20">
        <f t="shared" si="449"/>
        <v>14000</v>
      </c>
      <c r="CC79" s="31"/>
      <c r="CD79" s="20">
        <v>108</v>
      </c>
      <c r="CE79" s="20" t="s">
        <v>153</v>
      </c>
      <c r="CF79" s="20">
        <v>4</v>
      </c>
      <c r="CG79" s="20">
        <v>0</v>
      </c>
      <c r="CH79" s="20">
        <v>0</v>
      </c>
      <c r="CI79" s="20">
        <v>0</v>
      </c>
      <c r="CJ79" s="20">
        <v>200</v>
      </c>
      <c r="CK79" s="20">
        <v>5</v>
      </c>
      <c r="CM79" s="20"/>
    </row>
    <row r="80" spans="1:91" x14ac:dyDescent="0.15">
      <c r="A80">
        <v>905</v>
      </c>
      <c r="B80" s="3" t="s">
        <v>122</v>
      </c>
      <c r="C80" s="4" t="s">
        <v>109</v>
      </c>
      <c r="D80" s="4" t="s">
        <v>110</v>
      </c>
      <c r="E80" s="5">
        <v>2</v>
      </c>
      <c r="F80" s="7" t="s">
        <v>146</v>
      </c>
      <c r="G80" s="5">
        <v>3</v>
      </c>
      <c r="H80" s="7" t="s">
        <v>191</v>
      </c>
      <c r="I80" s="5">
        <v>0</v>
      </c>
      <c r="J80" s="7" t="s">
        <v>148</v>
      </c>
      <c r="K80">
        <v>6</v>
      </c>
      <c r="L80">
        <v>1.5</v>
      </c>
      <c r="M80" s="5">
        <v>1.5</v>
      </c>
      <c r="N80" s="5">
        <v>10</v>
      </c>
      <c r="O80" s="5">
        <f t="shared" si="429"/>
        <v>15072</v>
      </c>
      <c r="P80" s="5">
        <f t="shared" si="430"/>
        <v>73656000</v>
      </c>
      <c r="Q80" s="5">
        <f t="shared" si="431"/>
        <v>1227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70051</v>
      </c>
      <c r="X80" s="6" t="s">
        <v>183</v>
      </c>
      <c r="Y80" s="5">
        <v>300</v>
      </c>
      <c r="Z80" s="5">
        <v>1</v>
      </c>
      <c r="AA80" s="5">
        <v>3553321</v>
      </c>
      <c r="AB80" s="16" t="s">
        <v>111</v>
      </c>
      <c r="AC80" s="7" t="s">
        <v>112</v>
      </c>
      <c r="AD80" s="7" t="s">
        <v>112</v>
      </c>
      <c r="AE80" s="7" t="s">
        <v>112</v>
      </c>
      <c r="AF80" s="6" t="s">
        <v>113</v>
      </c>
      <c r="AG80" s="26" t="str">
        <f t="shared" ref="AG80" si="521">CM$8</f>
        <v>4,19,28,19,6,4,19,28,19,6</v>
      </c>
      <c r="AH80" s="26" t="str">
        <f t="shared" ref="AH80" si="522">CN$8</f>
        <v>0,0,0,0,1,0,0,0,0,1</v>
      </c>
      <c r="AI80" s="26" t="str">
        <f t="shared" ref="AI80" si="523">CO$8</f>
        <v>0,0,0,0,1,0,0,0,0,1</v>
      </c>
      <c r="AJ80" s="26" t="str">
        <f t="shared" ref="AJ80" si="524">CP$8</f>
        <v>0,0,0,0,5,0,0,0,0,5</v>
      </c>
      <c r="AK80" s="26" t="str">
        <f t="shared" ref="AK80" si="525">CQ$8</f>
        <v>200,100,1000,200,5,200,100,1000,200,5</v>
      </c>
      <c r="AL80" s="26" t="str">
        <f t="shared" ref="AL80" si="526">CR$8</f>
        <v>5,5,5,5,5,5,5,5,5,5</v>
      </c>
      <c r="AM80" s="7">
        <v>2001</v>
      </c>
      <c r="AO80">
        <f t="shared" ref="AO80" si="527">AQ80*100+5</f>
        <v>905</v>
      </c>
      <c r="AP80">
        <v>76</v>
      </c>
      <c r="AQ80">
        <f t="shared" si="439"/>
        <v>9</v>
      </c>
      <c r="AR80" s="17">
        <v>6</v>
      </c>
      <c r="AS80" s="17">
        <f t="shared" si="520"/>
        <v>100</v>
      </c>
      <c r="AT80" s="17">
        <v>5</v>
      </c>
      <c r="AU80">
        <f t="shared" si="440"/>
        <v>20</v>
      </c>
      <c r="AV80">
        <v>150</v>
      </c>
      <c r="AW80">
        <f t="shared" si="441"/>
        <v>15072.58368</v>
      </c>
      <c r="AX80">
        <f t="shared" si="104"/>
        <v>73656000.000000015</v>
      </c>
      <c r="AY80">
        <f t="shared" si="442"/>
        <v>1227.6000000000001</v>
      </c>
      <c r="AZ80">
        <f t="shared" si="443"/>
        <v>2455.2000000000003</v>
      </c>
      <c r="BA80">
        <f t="shared" si="444"/>
        <v>19008</v>
      </c>
      <c r="BB80">
        <f t="shared" si="445"/>
        <v>613.80000000000007</v>
      </c>
      <c r="BC80">
        <f t="shared" si="105"/>
        <v>73656000.000000015</v>
      </c>
      <c r="BD80">
        <f t="shared" si="446"/>
        <v>0.29411764705882354</v>
      </c>
      <c r="BE80" s="27">
        <f t="shared" si="106"/>
        <v>16139988.849600006</v>
      </c>
      <c r="BF80" s="30">
        <f t="shared" si="447"/>
        <v>0.3216</v>
      </c>
      <c r="BG80" s="27"/>
      <c r="BH80" s="27"/>
      <c r="BI80" s="27"/>
      <c r="CA80" s="20">
        <f t="shared" si="448"/>
        <v>140</v>
      </c>
      <c r="CB80" s="20">
        <f t="shared" si="449"/>
        <v>14000</v>
      </c>
      <c r="CC80" s="31"/>
      <c r="CD80" s="20">
        <v>108</v>
      </c>
      <c r="CE80" s="20" t="s">
        <v>162</v>
      </c>
      <c r="CF80" s="20">
        <v>28</v>
      </c>
      <c r="CG80" s="20">
        <v>0</v>
      </c>
      <c r="CH80" s="20">
        <v>0</v>
      </c>
      <c r="CI80" s="20">
        <v>0</v>
      </c>
      <c r="CJ80" s="20">
        <v>1000</v>
      </c>
      <c r="CK80" s="20">
        <v>5</v>
      </c>
      <c r="CM80" s="20"/>
    </row>
    <row r="81" spans="1:91" x14ac:dyDescent="0.15">
      <c r="A81">
        <v>906</v>
      </c>
      <c r="B81" s="3" t="s">
        <v>124</v>
      </c>
      <c r="C81" s="4" t="s">
        <v>109</v>
      </c>
      <c r="D81" s="6" t="s">
        <v>120</v>
      </c>
      <c r="E81" s="5">
        <v>1</v>
      </c>
      <c r="F81" s="7" t="s">
        <v>147</v>
      </c>
      <c r="G81" s="5">
        <v>3</v>
      </c>
      <c r="H81" s="7" t="s">
        <v>192</v>
      </c>
      <c r="I81" s="5">
        <v>0</v>
      </c>
      <c r="J81" s="7" t="s">
        <v>149</v>
      </c>
      <c r="K81">
        <v>6</v>
      </c>
      <c r="L81">
        <v>1.5</v>
      </c>
      <c r="M81" s="5">
        <v>1.5</v>
      </c>
      <c r="N81" s="5">
        <v>10</v>
      </c>
      <c r="O81" s="5">
        <f t="shared" si="429"/>
        <v>15757</v>
      </c>
      <c r="P81" s="5">
        <f t="shared" si="430"/>
        <v>77004000</v>
      </c>
      <c r="Q81" s="5">
        <f t="shared" si="431"/>
        <v>1283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70061</v>
      </c>
      <c r="X81" s="6" t="s">
        <v>184</v>
      </c>
      <c r="Y81" s="5">
        <v>300</v>
      </c>
      <c r="Z81" s="5">
        <v>1</v>
      </c>
      <c r="AA81" s="5">
        <v>4011366</v>
      </c>
      <c r="AB81" s="16" t="s">
        <v>111</v>
      </c>
      <c r="AC81" s="7" t="s">
        <v>112</v>
      </c>
      <c r="AD81" s="7" t="s">
        <v>112</v>
      </c>
      <c r="AE81" s="7" t="s">
        <v>112</v>
      </c>
      <c r="AF81" s="6" t="s">
        <v>113</v>
      </c>
      <c r="AG81" s="26" t="str">
        <f t="shared" ref="AG81" si="528">CM$9</f>
        <v>4,33,28,33,6,4,33,28,33,6</v>
      </c>
      <c r="AH81" s="26" t="str">
        <f t="shared" ref="AH81" si="529">CN$9</f>
        <v>0,6,0,6,1,0,6,0,6,1</v>
      </c>
      <c r="AI81" s="26" t="str">
        <f t="shared" ref="AI81" si="530">CO$9</f>
        <v>0,0,0,0,1,0,0,0,0,1</v>
      </c>
      <c r="AJ81" s="26" t="str">
        <f t="shared" ref="AJ81" si="531">CP$9</f>
        <v>0,0,0,0,5,0,0,0,0,5</v>
      </c>
      <c r="AK81" s="26" t="str">
        <f t="shared" ref="AK81" si="532">CQ$9</f>
        <v>200,1,1000,2,5,200,1,1000,2,5</v>
      </c>
      <c r="AL81" s="26" t="str">
        <f t="shared" ref="AL81" si="533">CR$9</f>
        <v>5,5,5,5,5,5,5,5,5,5</v>
      </c>
      <c r="AM81" s="7">
        <v>2001</v>
      </c>
      <c r="AO81">
        <f t="shared" ref="AO81" si="534">AQ81*100+6</f>
        <v>906</v>
      </c>
      <c r="AP81">
        <v>77</v>
      </c>
      <c r="AQ81">
        <f t="shared" si="439"/>
        <v>9</v>
      </c>
      <c r="AR81" s="17">
        <v>6</v>
      </c>
      <c r="AS81" s="17">
        <f t="shared" si="520"/>
        <v>105</v>
      </c>
      <c r="AT81" s="17">
        <v>5</v>
      </c>
      <c r="AU81">
        <f t="shared" si="440"/>
        <v>20</v>
      </c>
      <c r="AV81">
        <v>150</v>
      </c>
      <c r="AW81">
        <f t="shared" si="441"/>
        <v>15757.70112</v>
      </c>
      <c r="AX81">
        <f t="shared" si="104"/>
        <v>77004000</v>
      </c>
      <c r="AY81">
        <f t="shared" si="442"/>
        <v>1283.4000000000001</v>
      </c>
      <c r="AZ81">
        <f t="shared" si="443"/>
        <v>2566.8000000000002</v>
      </c>
      <c r="BA81">
        <f t="shared" si="444"/>
        <v>19872</v>
      </c>
      <c r="BB81">
        <f t="shared" si="445"/>
        <v>641.70000000000005</v>
      </c>
      <c r="BC81">
        <f t="shared" si="105"/>
        <v>77004000</v>
      </c>
      <c r="BD81">
        <f t="shared" si="446"/>
        <v>0.29411764705882348</v>
      </c>
      <c r="BE81" s="27">
        <f t="shared" si="106"/>
        <v>17640607.647600003</v>
      </c>
      <c r="BF81" s="30">
        <f t="shared" si="447"/>
        <v>0.3216</v>
      </c>
      <c r="BG81" s="27"/>
      <c r="BH81" s="27"/>
      <c r="BI81" s="27"/>
      <c r="CA81" s="20">
        <f t="shared" si="448"/>
        <v>140</v>
      </c>
      <c r="CB81" s="20">
        <f t="shared" si="449"/>
        <v>14000</v>
      </c>
      <c r="CC81" s="31"/>
      <c r="CD81" s="20">
        <v>108</v>
      </c>
      <c r="CE81" s="20" t="s">
        <v>198</v>
      </c>
      <c r="CF81" s="20">
        <v>6</v>
      </c>
      <c r="CG81" s="20">
        <v>1</v>
      </c>
      <c r="CH81" s="20">
        <v>1</v>
      </c>
      <c r="CI81" s="20">
        <v>5</v>
      </c>
      <c r="CJ81" s="20">
        <v>5</v>
      </c>
      <c r="CK81" s="20">
        <v>5</v>
      </c>
      <c r="CM81" s="20"/>
    </row>
    <row r="82" spans="1:91" x14ac:dyDescent="0.15">
      <c r="A82">
        <v>907</v>
      </c>
      <c r="B82" s="3" t="s">
        <v>126</v>
      </c>
      <c r="C82" s="4" t="s">
        <v>109</v>
      </c>
      <c r="D82" s="4" t="s">
        <v>110</v>
      </c>
      <c r="E82" s="5">
        <v>2</v>
      </c>
      <c r="F82" s="7" t="s">
        <v>143</v>
      </c>
      <c r="G82" s="5">
        <v>3</v>
      </c>
      <c r="H82" s="7" t="s">
        <v>193</v>
      </c>
      <c r="I82" s="5">
        <v>0</v>
      </c>
      <c r="J82" s="5">
        <v>0</v>
      </c>
      <c r="K82">
        <v>2</v>
      </c>
      <c r="L82">
        <v>1.5</v>
      </c>
      <c r="M82" s="5">
        <v>1.5</v>
      </c>
      <c r="N82" s="5">
        <v>10</v>
      </c>
      <c r="O82" s="5">
        <f t="shared" si="429"/>
        <v>16442</v>
      </c>
      <c r="P82" s="5">
        <f t="shared" si="430"/>
        <v>80352000</v>
      </c>
      <c r="Q82" s="5">
        <f t="shared" si="431"/>
        <v>1339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70071</v>
      </c>
      <c r="X82" s="6" t="s">
        <v>185</v>
      </c>
      <c r="Y82" s="5">
        <v>300</v>
      </c>
      <c r="Z82" s="5">
        <v>1</v>
      </c>
      <c r="AA82" s="5">
        <v>4497172</v>
      </c>
      <c r="AB82" s="16" t="s">
        <v>111</v>
      </c>
      <c r="AC82" s="7" t="s">
        <v>112</v>
      </c>
      <c r="AD82" s="7" t="s">
        <v>112</v>
      </c>
      <c r="AE82" s="7" t="s">
        <v>112</v>
      </c>
      <c r="AF82" s="6" t="s">
        <v>113</v>
      </c>
      <c r="AG82" s="26" t="str">
        <f t="shared" ref="AG82" si="535">CM$10</f>
        <v>4,14,28,14,6,4,14,28,14,6</v>
      </c>
      <c r="AH82" s="26" t="str">
        <f t="shared" ref="AH82" si="536">CN$10</f>
        <v>0,0,0,0,1,0,0,0,0,1</v>
      </c>
      <c r="AI82" s="26" t="str">
        <f t="shared" ref="AI82" si="537">CO$10</f>
        <v>0,0,0,0,1,0,0,0,0,1</v>
      </c>
      <c r="AJ82" s="26" t="str">
        <f t="shared" ref="AJ82" si="538">CP$10</f>
        <v>0,0,0,0,5,0,0,0,0,5</v>
      </c>
      <c r="AK82" s="26" t="str">
        <f t="shared" ref="AK82" si="539">CQ$10</f>
        <v>200,1,1000,2,5,200,1,1000,2,5</v>
      </c>
      <c r="AL82" s="26" t="str">
        <f t="shared" ref="AL82" si="540">CR$10</f>
        <v>5,5,5,5,5,5,5,5,5,5</v>
      </c>
      <c r="AM82" s="7">
        <v>2001</v>
      </c>
      <c r="AO82">
        <f t="shared" ref="AO82" si="541">AQ82*100+7</f>
        <v>907</v>
      </c>
      <c r="AP82">
        <v>78</v>
      </c>
      <c r="AQ82">
        <f t="shared" si="439"/>
        <v>9</v>
      </c>
      <c r="AR82" s="17">
        <v>6</v>
      </c>
      <c r="AS82" s="17">
        <f t="shared" si="520"/>
        <v>110</v>
      </c>
      <c r="AT82" s="17">
        <v>5</v>
      </c>
      <c r="AU82">
        <f t="shared" si="440"/>
        <v>20</v>
      </c>
      <c r="AV82">
        <v>150</v>
      </c>
      <c r="AW82">
        <f t="shared" si="441"/>
        <v>16442.818560000003</v>
      </c>
      <c r="AX82">
        <f t="shared" si="104"/>
        <v>80352000</v>
      </c>
      <c r="AY82">
        <f t="shared" si="442"/>
        <v>1339.2</v>
      </c>
      <c r="AZ82">
        <f t="shared" si="443"/>
        <v>2678.4</v>
      </c>
      <c r="BA82">
        <f t="shared" si="444"/>
        <v>20736</v>
      </c>
      <c r="BB82">
        <f t="shared" si="445"/>
        <v>669.6</v>
      </c>
      <c r="BC82">
        <f t="shared" si="105"/>
        <v>80352000</v>
      </c>
      <c r="BD82">
        <f t="shared" si="446"/>
        <v>0.29411764705882348</v>
      </c>
      <c r="BE82" s="27">
        <f t="shared" si="106"/>
        <v>19207920.614399999</v>
      </c>
      <c r="BF82" s="30">
        <f t="shared" si="447"/>
        <v>0.3216</v>
      </c>
      <c r="BG82" s="27"/>
      <c r="BH82" s="27"/>
      <c r="BI82" s="27"/>
      <c r="CA82" s="20">
        <f t="shared" si="448"/>
        <v>140</v>
      </c>
      <c r="CB82" s="20">
        <f t="shared" si="449"/>
        <v>14000</v>
      </c>
      <c r="CC82" s="31"/>
      <c r="CD82" s="20">
        <v>108</v>
      </c>
      <c r="CE82" s="20" t="s">
        <v>163</v>
      </c>
      <c r="CF82" s="20">
        <v>28</v>
      </c>
      <c r="CG82" s="20">
        <v>0</v>
      </c>
      <c r="CH82" s="20">
        <v>0</v>
      </c>
      <c r="CI82" s="20">
        <v>0</v>
      </c>
      <c r="CJ82" s="20">
        <v>1500</v>
      </c>
      <c r="CK82" s="20">
        <v>5</v>
      </c>
      <c r="CM82" s="20"/>
    </row>
    <row r="83" spans="1:91" x14ac:dyDescent="0.15">
      <c r="A83">
        <v>908</v>
      </c>
      <c r="B83" s="3" t="s">
        <v>128</v>
      </c>
      <c r="C83" s="4" t="s">
        <v>109</v>
      </c>
      <c r="D83" s="4" t="s">
        <v>110</v>
      </c>
      <c r="E83" s="5">
        <v>5</v>
      </c>
      <c r="F83" s="7" t="s">
        <v>129</v>
      </c>
      <c r="G83" s="5">
        <v>2</v>
      </c>
      <c r="H83" s="7" t="s">
        <v>130</v>
      </c>
      <c r="I83" s="5">
        <v>0</v>
      </c>
      <c r="J83" s="5">
        <v>0</v>
      </c>
      <c r="K83">
        <v>2</v>
      </c>
      <c r="L83">
        <v>1.5</v>
      </c>
      <c r="M83" s="5">
        <v>1.5</v>
      </c>
      <c r="N83" s="5">
        <v>10</v>
      </c>
      <c r="O83" s="5">
        <f t="shared" si="429"/>
        <v>17127</v>
      </c>
      <c r="P83" s="5">
        <f t="shared" si="430"/>
        <v>83700000</v>
      </c>
      <c r="Q83" s="5">
        <f t="shared" si="431"/>
        <v>1395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70081</v>
      </c>
      <c r="X83" s="6" t="s">
        <v>186</v>
      </c>
      <c r="Y83" s="5">
        <v>300</v>
      </c>
      <c r="Z83" s="5">
        <v>1</v>
      </c>
      <c r="AA83" s="5">
        <v>5010738</v>
      </c>
      <c r="AB83" s="16" t="s">
        <v>111</v>
      </c>
      <c r="AC83" s="7" t="s">
        <v>112</v>
      </c>
      <c r="AD83" s="7" t="s">
        <v>112</v>
      </c>
      <c r="AE83" s="7" t="s">
        <v>112</v>
      </c>
      <c r="AF83" s="6" t="s">
        <v>113</v>
      </c>
      <c r="AG83" s="26" t="str">
        <f t="shared" ref="AG83" si="542">CM$11</f>
        <v>4,28,6,28,6,4,28,6,28,6</v>
      </c>
      <c r="AH83" s="26" t="str">
        <f t="shared" ref="AH83" si="543">CN$11</f>
        <v>0,0,1,0,1,0,0,1,0,1</v>
      </c>
      <c r="AI83" s="26" t="str">
        <f t="shared" ref="AI83" si="544">CO$11</f>
        <v>0,0,1,0,1,0,0,1,0,1</v>
      </c>
      <c r="AJ83" s="26" t="str">
        <f t="shared" ref="AJ83" si="545">CP$11</f>
        <v>0,0,5,0,5,0,0,5,0,5</v>
      </c>
      <c r="AK83" s="26" t="str">
        <f t="shared" ref="AK83" si="546">CQ$11</f>
        <v>100,1000,5,1500,5,200,1000,5,1500,5</v>
      </c>
      <c r="AL83" s="26" t="str">
        <f t="shared" ref="AL83" si="547">CR$11</f>
        <v>5,5,5,5,5,5,5,5,5,5</v>
      </c>
      <c r="AM83" s="7">
        <v>2001</v>
      </c>
      <c r="AO83">
        <f t="shared" ref="AO83" si="548">AQ83*100+8</f>
        <v>908</v>
      </c>
      <c r="AP83">
        <v>79</v>
      </c>
      <c r="AQ83">
        <f t="shared" si="439"/>
        <v>9</v>
      </c>
      <c r="AR83" s="17">
        <v>6</v>
      </c>
      <c r="AS83" s="17">
        <f t="shared" si="520"/>
        <v>115</v>
      </c>
      <c r="AT83" s="17">
        <v>5</v>
      </c>
      <c r="AU83">
        <f t="shared" si="440"/>
        <v>20</v>
      </c>
      <c r="AV83">
        <v>150</v>
      </c>
      <c r="AW83">
        <f t="shared" si="441"/>
        <v>17127.936000000002</v>
      </c>
      <c r="AX83">
        <f t="shared" si="104"/>
        <v>83700000</v>
      </c>
      <c r="AY83">
        <f t="shared" si="442"/>
        <v>1395</v>
      </c>
      <c r="AZ83">
        <f t="shared" si="443"/>
        <v>2790</v>
      </c>
      <c r="BA83">
        <f t="shared" si="444"/>
        <v>21600</v>
      </c>
      <c r="BB83">
        <f t="shared" si="445"/>
        <v>697.5</v>
      </c>
      <c r="BC83">
        <f t="shared" si="105"/>
        <v>83700000</v>
      </c>
      <c r="BD83">
        <f t="shared" si="446"/>
        <v>0.29411764705882354</v>
      </c>
      <c r="BE83" s="27">
        <f t="shared" si="106"/>
        <v>20841927.750000004</v>
      </c>
      <c r="BF83" s="30">
        <f t="shared" si="447"/>
        <v>0.3216</v>
      </c>
      <c r="BG83" s="27"/>
      <c r="BH83" s="27"/>
      <c r="BI83" s="27"/>
      <c r="CA83" s="20">
        <f t="shared" si="448"/>
        <v>140</v>
      </c>
      <c r="CB83" s="20">
        <f t="shared" si="449"/>
        <v>14000</v>
      </c>
      <c r="CC83" s="31"/>
      <c r="CD83" s="20">
        <v>108</v>
      </c>
      <c r="CE83" s="20" t="s">
        <v>155</v>
      </c>
      <c r="CF83" s="20">
        <v>6</v>
      </c>
      <c r="CG83" s="20">
        <v>1</v>
      </c>
      <c r="CH83" s="20">
        <v>1</v>
      </c>
      <c r="CI83" s="20">
        <v>5</v>
      </c>
      <c r="CJ83" s="20">
        <v>5</v>
      </c>
      <c r="CK83" s="20">
        <v>5</v>
      </c>
      <c r="CM83" s="20"/>
    </row>
    <row r="84" spans="1:91" x14ac:dyDescent="0.15">
      <c r="A84">
        <v>909</v>
      </c>
      <c r="B84" s="3" t="s">
        <v>132</v>
      </c>
      <c r="C84" s="4" t="s">
        <v>109</v>
      </c>
      <c r="D84" s="4" t="s">
        <v>110</v>
      </c>
      <c r="E84" s="5">
        <v>5</v>
      </c>
      <c r="F84" s="7" t="s">
        <v>140</v>
      </c>
      <c r="G84" s="5">
        <v>3</v>
      </c>
      <c r="H84" s="7" t="s">
        <v>140</v>
      </c>
      <c r="I84" s="5">
        <v>0</v>
      </c>
      <c r="J84" s="7">
        <v>0</v>
      </c>
      <c r="K84">
        <v>6</v>
      </c>
      <c r="L84">
        <v>1.5</v>
      </c>
      <c r="M84" s="5">
        <v>1.5</v>
      </c>
      <c r="N84" s="5">
        <v>10</v>
      </c>
      <c r="O84" s="5">
        <f t="shared" si="429"/>
        <v>17813</v>
      </c>
      <c r="P84" s="5">
        <f t="shared" si="430"/>
        <v>87048000</v>
      </c>
      <c r="Q84" s="5">
        <f t="shared" si="431"/>
        <v>1450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70091</v>
      </c>
      <c r="X84" s="6" t="s">
        <v>187</v>
      </c>
      <c r="Y84" s="5">
        <v>300</v>
      </c>
      <c r="Z84" s="5">
        <v>1</v>
      </c>
      <c r="AA84" s="5">
        <v>5552064</v>
      </c>
      <c r="AB84" s="16" t="s">
        <v>111</v>
      </c>
      <c r="AC84" s="7" t="s">
        <v>112</v>
      </c>
      <c r="AD84" s="7" t="s">
        <v>112</v>
      </c>
      <c r="AE84" s="7" t="s">
        <v>112</v>
      </c>
      <c r="AF84" s="6" t="s">
        <v>113</v>
      </c>
      <c r="AG84" s="26" t="str">
        <f t="shared" ref="AG84" si="549">CM$12</f>
        <v>4,33,28,33,6,4,33,28,33,6</v>
      </c>
      <c r="AH84" s="26" t="str">
        <f t="shared" ref="AH84" si="550">CN$12</f>
        <v>0,5,0,5,1,0,5,0,5,1</v>
      </c>
      <c r="AI84" s="26" t="str">
        <f t="shared" ref="AI84" si="551">CO$12</f>
        <v>0,0,0,0,1,0,0,0,0,1</v>
      </c>
      <c r="AJ84" s="26" t="str">
        <f t="shared" ref="AJ84" si="552">CP$12</f>
        <v>0,0,0,0,5,0,0,0,0,5</v>
      </c>
      <c r="AK84" s="26" t="str">
        <f t="shared" ref="AK84" si="553">CQ$12</f>
        <v>100,1,1000,2,5,200,1,1000,2,5</v>
      </c>
      <c r="AL84" s="26" t="str">
        <f t="shared" ref="AL84" si="554">CR$12</f>
        <v>5,5,5,5,5,5,5,5,5,5</v>
      </c>
      <c r="AM84" s="7">
        <v>2001</v>
      </c>
      <c r="AO84">
        <f t="shared" ref="AO84" si="555">AQ84*100+9</f>
        <v>909</v>
      </c>
      <c r="AP84">
        <v>80</v>
      </c>
      <c r="AQ84">
        <f t="shared" si="439"/>
        <v>9</v>
      </c>
      <c r="AR84" s="17">
        <v>6</v>
      </c>
      <c r="AS84" s="17">
        <f t="shared" si="520"/>
        <v>120</v>
      </c>
      <c r="AT84" s="17">
        <v>5</v>
      </c>
      <c r="AU84">
        <f t="shared" si="440"/>
        <v>20</v>
      </c>
      <c r="AV84">
        <v>150</v>
      </c>
      <c r="AW84">
        <f t="shared" si="441"/>
        <v>17813.05344</v>
      </c>
      <c r="AX84">
        <f t="shared" si="104"/>
        <v>87048000</v>
      </c>
      <c r="AY84">
        <f t="shared" si="442"/>
        <v>1450.8</v>
      </c>
      <c r="AZ84">
        <f t="shared" si="443"/>
        <v>2901.6</v>
      </c>
      <c r="BA84">
        <f t="shared" si="444"/>
        <v>22464</v>
      </c>
      <c r="BB84">
        <f t="shared" si="445"/>
        <v>725.4</v>
      </c>
      <c r="BC84">
        <f t="shared" si="105"/>
        <v>87048000</v>
      </c>
      <c r="BD84">
        <f t="shared" si="446"/>
        <v>0.29411764705882354</v>
      </c>
      <c r="BE84" s="27">
        <f t="shared" si="106"/>
        <v>22542629.054400001</v>
      </c>
      <c r="BF84" s="30">
        <f t="shared" si="447"/>
        <v>0.3216</v>
      </c>
      <c r="BG84" s="27"/>
      <c r="BH84" s="27"/>
      <c r="BI84" s="27"/>
      <c r="CA84" s="20">
        <f t="shared" si="448"/>
        <v>140</v>
      </c>
      <c r="CB84" s="20">
        <f t="shared" si="449"/>
        <v>14000</v>
      </c>
      <c r="CC84" s="31" t="s">
        <v>175</v>
      </c>
      <c r="CD84" s="20">
        <v>109</v>
      </c>
      <c r="CE84" s="20" t="s">
        <v>152</v>
      </c>
      <c r="CF84" s="20">
        <v>4</v>
      </c>
      <c r="CG84" s="20">
        <v>0</v>
      </c>
      <c r="CH84" s="20">
        <v>0</v>
      </c>
      <c r="CI84" s="20">
        <v>0</v>
      </c>
      <c r="CJ84" s="20">
        <v>100</v>
      </c>
      <c r="CK84" s="20">
        <v>5</v>
      </c>
      <c r="CM84" s="20"/>
    </row>
    <row r="85" spans="1:91" x14ac:dyDescent="0.15">
      <c r="A85">
        <v>1001</v>
      </c>
      <c r="B85" s="3" t="s">
        <v>108</v>
      </c>
      <c r="C85" s="4" t="s">
        <v>109</v>
      </c>
      <c r="D85" s="4" t="s">
        <v>110</v>
      </c>
      <c r="E85" s="5">
        <v>3</v>
      </c>
      <c r="F85" s="7" t="s">
        <v>141</v>
      </c>
      <c r="G85" s="5">
        <v>2.5</v>
      </c>
      <c r="H85" s="7" t="s">
        <v>194</v>
      </c>
      <c r="I85" s="5">
        <v>0</v>
      </c>
      <c r="J85" s="5">
        <v>0</v>
      </c>
      <c r="K85">
        <v>2</v>
      </c>
      <c r="L85">
        <v>1.5</v>
      </c>
      <c r="M85" s="5">
        <v>1.5</v>
      </c>
      <c r="N85" s="5">
        <v>10</v>
      </c>
      <c r="O85" s="5">
        <f t="shared" si="429"/>
        <v>13040</v>
      </c>
      <c r="P85" s="5">
        <f t="shared" si="430"/>
        <v>63612000</v>
      </c>
      <c r="Q85" s="5">
        <f t="shared" si="431"/>
        <v>1060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70011</v>
      </c>
      <c r="X85" s="6" t="s">
        <v>179</v>
      </c>
      <c r="Y85" s="5">
        <v>300</v>
      </c>
      <c r="Z85" s="5">
        <v>1</v>
      </c>
      <c r="AA85" s="5">
        <v>6121151</v>
      </c>
      <c r="AB85" s="16" t="s">
        <v>111</v>
      </c>
      <c r="AC85" s="7" t="s">
        <v>112</v>
      </c>
      <c r="AD85" s="7" t="s">
        <v>112</v>
      </c>
      <c r="AE85" s="7" t="s">
        <v>112</v>
      </c>
      <c r="AF85" s="6" t="s">
        <v>113</v>
      </c>
      <c r="AG85" s="26" t="str">
        <f t="shared" ref="AG85" si="556">CM$4</f>
        <v>4,33,28,33,6,4,33,28,33,6</v>
      </c>
      <c r="AH85" s="26" t="str">
        <f t="shared" ref="AH85" si="557">CN$4</f>
        <v>0,8,0,8,1,0,8,0,8,1</v>
      </c>
      <c r="AI85" s="26" t="str">
        <f t="shared" ref="AI85" si="558">CO$4</f>
        <v>0,0,0,0,1,0,0,0,0,1</v>
      </c>
      <c r="AJ85" s="26" t="str">
        <f t="shared" ref="AJ85" si="559">CP$4</f>
        <v>0,0,0,0,5,0,0,0,0,5</v>
      </c>
      <c r="AK85" s="26" t="str">
        <f t="shared" ref="AK85" si="560">CQ$4</f>
        <v>100,1,1000,2,5,200,1,1000,2,5</v>
      </c>
      <c r="AL85" s="26" t="str">
        <f t="shared" ref="AL85" si="561">CR$4</f>
        <v>5,5,5,5,5,5,5,5,5,5</v>
      </c>
      <c r="AM85" s="7">
        <v>2001</v>
      </c>
      <c r="AO85">
        <f t="shared" ref="AO85" si="562">AQ85*100+1</f>
        <v>1001</v>
      </c>
      <c r="AP85">
        <v>81</v>
      </c>
      <c r="AQ85">
        <f t="shared" si="439"/>
        <v>10</v>
      </c>
      <c r="AR85" s="17">
        <v>6</v>
      </c>
      <c r="AS85" s="17">
        <f t="shared" si="520"/>
        <v>85</v>
      </c>
      <c r="AT85" s="17">
        <v>5</v>
      </c>
      <c r="AU85">
        <f t="shared" si="440"/>
        <v>22</v>
      </c>
      <c r="AV85">
        <v>150</v>
      </c>
      <c r="AW85">
        <f t="shared" si="441"/>
        <v>13040.870400000002</v>
      </c>
      <c r="AX85">
        <f t="shared" si="104"/>
        <v>63612000</v>
      </c>
      <c r="AY85">
        <f t="shared" si="442"/>
        <v>1060.2</v>
      </c>
      <c r="AZ85">
        <f t="shared" si="443"/>
        <v>2120.4</v>
      </c>
      <c r="BA85">
        <f t="shared" si="444"/>
        <v>16416</v>
      </c>
      <c r="BB85">
        <f t="shared" si="445"/>
        <v>530.1</v>
      </c>
      <c r="BC85">
        <f t="shared" si="105"/>
        <v>63612000</v>
      </c>
      <c r="BD85">
        <f t="shared" si="446"/>
        <v>0.29411764705882348</v>
      </c>
      <c r="BE85" s="27">
        <f t="shared" si="106"/>
        <v>12038297.4684</v>
      </c>
      <c r="BF85" s="30">
        <f t="shared" si="447"/>
        <v>0.32400000000000001</v>
      </c>
      <c r="BG85" s="27"/>
      <c r="BH85" s="27"/>
      <c r="BI85" s="27"/>
      <c r="CA85" s="20">
        <f t="shared" si="448"/>
        <v>145</v>
      </c>
      <c r="CB85" s="20">
        <f t="shared" si="449"/>
        <v>14500</v>
      </c>
      <c r="CC85" s="31"/>
      <c r="CD85" s="20">
        <v>109</v>
      </c>
      <c r="CE85" s="20" t="s">
        <v>176</v>
      </c>
      <c r="CF85" s="20">
        <v>33</v>
      </c>
      <c r="CG85" s="20">
        <v>5</v>
      </c>
      <c r="CH85" s="20">
        <v>0</v>
      </c>
      <c r="CI85" s="20">
        <v>0</v>
      </c>
      <c r="CJ85" s="20">
        <v>1</v>
      </c>
      <c r="CK85" s="20">
        <v>5</v>
      </c>
    </row>
    <row r="86" spans="1:91" x14ac:dyDescent="0.15">
      <c r="A86">
        <v>1002</v>
      </c>
      <c r="B86" s="3" t="s">
        <v>115</v>
      </c>
      <c r="C86" s="4" t="s">
        <v>109</v>
      </c>
      <c r="D86" s="6" t="s">
        <v>110</v>
      </c>
      <c r="E86" s="5">
        <v>3</v>
      </c>
      <c r="F86" s="7" t="s">
        <v>142</v>
      </c>
      <c r="G86" s="5">
        <v>3</v>
      </c>
      <c r="H86" s="7" t="s">
        <v>188</v>
      </c>
      <c r="I86" s="5">
        <v>0</v>
      </c>
      <c r="J86" s="5">
        <v>0</v>
      </c>
      <c r="K86">
        <v>2</v>
      </c>
      <c r="L86">
        <v>1.5</v>
      </c>
      <c r="M86" s="5">
        <v>1.5</v>
      </c>
      <c r="N86" s="5">
        <v>10</v>
      </c>
      <c r="O86" s="5">
        <f t="shared" si="429"/>
        <v>13727</v>
      </c>
      <c r="P86" s="5">
        <f t="shared" si="430"/>
        <v>66960000</v>
      </c>
      <c r="Q86" s="5">
        <f t="shared" si="431"/>
        <v>1116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70021</v>
      </c>
      <c r="X86" s="6" t="s">
        <v>180</v>
      </c>
      <c r="Y86" s="5">
        <v>300</v>
      </c>
      <c r="Z86" s="5">
        <v>1</v>
      </c>
      <c r="AA86" s="5">
        <v>2720511</v>
      </c>
      <c r="AB86" s="16" t="s">
        <v>111</v>
      </c>
      <c r="AC86" s="7" t="s">
        <v>112</v>
      </c>
      <c r="AD86" s="7" t="s">
        <v>112</v>
      </c>
      <c r="AE86" s="7" t="s">
        <v>112</v>
      </c>
      <c r="AF86" s="6" t="s">
        <v>113</v>
      </c>
      <c r="AG86" s="26" t="str">
        <f t="shared" ref="AG86" si="563">CM$5</f>
        <v>4,33,28,33,6,4,33,28,33,6</v>
      </c>
      <c r="AH86" s="26" t="str">
        <f t="shared" ref="AH86" si="564">CN$5</f>
        <v>0,7,0,7,1,0,7,0,7,1</v>
      </c>
      <c r="AI86" s="26" t="str">
        <f t="shared" ref="AI86" si="565">CO$5</f>
        <v>0,0,0,0,1,0,0,0,0,1</v>
      </c>
      <c r="AJ86" s="26" t="str">
        <f t="shared" ref="AJ86" si="566">CP$5</f>
        <v>0,0,0,0,5,0,0,0,0,5</v>
      </c>
      <c r="AK86" s="26" t="str">
        <f t="shared" ref="AK86" si="567">CQ$5</f>
        <v>100,1,1000,2,5,200,1,1000,2,5</v>
      </c>
      <c r="AL86" s="26" t="str">
        <f t="shared" ref="AL86" si="568">CR$5</f>
        <v>5,5,5,5,5,5,5,5,5,5</v>
      </c>
      <c r="AM86" s="7">
        <v>2001</v>
      </c>
      <c r="AO86">
        <f t="shared" ref="AO86" si="569">AQ86*100+2</f>
        <v>1002</v>
      </c>
      <c r="AP86">
        <v>82</v>
      </c>
      <c r="AQ86">
        <f t="shared" si="439"/>
        <v>10</v>
      </c>
      <c r="AR86" s="17">
        <v>6</v>
      </c>
      <c r="AS86" s="17">
        <f t="shared" si="520"/>
        <v>90</v>
      </c>
      <c r="AT86" s="17">
        <v>5</v>
      </c>
      <c r="AU86">
        <f t="shared" si="440"/>
        <v>22</v>
      </c>
      <c r="AV86">
        <v>150</v>
      </c>
      <c r="AW86">
        <f t="shared" si="441"/>
        <v>13727.232</v>
      </c>
      <c r="AX86">
        <f t="shared" ref="AX86:AX149" si="570">BC86</f>
        <v>66960000</v>
      </c>
      <c r="AY86">
        <f t="shared" si="442"/>
        <v>1116</v>
      </c>
      <c r="AZ86">
        <f t="shared" si="443"/>
        <v>2232</v>
      </c>
      <c r="BA86">
        <f t="shared" si="444"/>
        <v>17280</v>
      </c>
      <c r="BB86">
        <f t="shared" si="445"/>
        <v>558</v>
      </c>
      <c r="BC86">
        <f t="shared" ref="BC86:BC149" si="571">90/1.5*AZ86*(1/(1+AZ86/(5*BB86)))*6*AV86</f>
        <v>66960000</v>
      </c>
      <c r="BD86">
        <f t="shared" si="446"/>
        <v>0.29411764705882354</v>
      </c>
      <c r="BE86" s="27">
        <f t="shared" ref="BE86:BE149" si="572">BC86/10000/(1-BD86)/1*AZ86/L86*(1+0.1*0.5)*0.9*1</f>
        <v>13338833.76</v>
      </c>
      <c r="BF86" s="30">
        <f t="shared" si="447"/>
        <v>0.32400000000000001</v>
      </c>
      <c r="BG86" s="27"/>
      <c r="BH86" s="27"/>
      <c r="BI86" s="27"/>
      <c r="CA86" s="20">
        <f t="shared" si="448"/>
        <v>145</v>
      </c>
      <c r="CB86" s="20">
        <f t="shared" si="449"/>
        <v>14500</v>
      </c>
      <c r="CC86" s="31"/>
      <c r="CD86" s="20">
        <v>109</v>
      </c>
      <c r="CE86" s="20" t="s">
        <v>162</v>
      </c>
      <c r="CF86" s="20">
        <v>28</v>
      </c>
      <c r="CG86" s="20">
        <v>0</v>
      </c>
      <c r="CH86" s="20">
        <v>0</v>
      </c>
      <c r="CI86" s="20">
        <v>0</v>
      </c>
      <c r="CJ86" s="20">
        <v>1000</v>
      </c>
      <c r="CK86" s="20">
        <v>5</v>
      </c>
    </row>
    <row r="87" spans="1:91" x14ac:dyDescent="0.15">
      <c r="A87">
        <v>1003</v>
      </c>
      <c r="B87" s="3" t="s">
        <v>117</v>
      </c>
      <c r="C87" s="4" t="s">
        <v>109</v>
      </c>
      <c r="D87" s="4" t="s">
        <v>110</v>
      </c>
      <c r="E87" s="5">
        <v>1</v>
      </c>
      <c r="F87" s="7" t="s">
        <v>144</v>
      </c>
      <c r="G87" s="5">
        <v>3</v>
      </c>
      <c r="H87" s="7" t="s">
        <v>189</v>
      </c>
      <c r="I87" s="5">
        <v>0</v>
      </c>
      <c r="J87" s="2">
        <v>0</v>
      </c>
      <c r="K87">
        <v>6</v>
      </c>
      <c r="L87">
        <v>1.5</v>
      </c>
      <c r="M87" s="5">
        <v>1.5</v>
      </c>
      <c r="N87" s="5">
        <v>10</v>
      </c>
      <c r="O87" s="5">
        <f t="shared" si="429"/>
        <v>14413</v>
      </c>
      <c r="P87" s="5">
        <f t="shared" si="430"/>
        <v>70308000</v>
      </c>
      <c r="Q87" s="5">
        <f t="shared" si="431"/>
        <v>1171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70031</v>
      </c>
      <c r="X87" s="6" t="s">
        <v>181</v>
      </c>
      <c r="Y87" s="5">
        <v>300</v>
      </c>
      <c r="Z87" s="5">
        <v>1</v>
      </c>
      <c r="AA87" s="5">
        <v>3123036</v>
      </c>
      <c r="AB87" s="16" t="s">
        <v>111</v>
      </c>
      <c r="AC87" s="7" t="s">
        <v>112</v>
      </c>
      <c r="AD87" s="7" t="s">
        <v>112</v>
      </c>
      <c r="AE87" s="7" t="s">
        <v>112</v>
      </c>
      <c r="AF87" s="6" t="s">
        <v>113</v>
      </c>
      <c r="AG87" s="26" t="str">
        <f t="shared" ref="AG87" si="573">CM$6</f>
        <v>4,28,6,28,6,4,28,6,28,6</v>
      </c>
      <c r="AH87" s="26" t="str">
        <f t="shared" ref="AH87" si="574">CN$6</f>
        <v>0,0,1,0,1,0,0,1,0,1</v>
      </c>
      <c r="AI87" s="26" t="str">
        <f t="shared" ref="AI87" si="575">CO$6</f>
        <v>0,0,0,0,1,0,0,0,0,1</v>
      </c>
      <c r="AJ87" s="26" t="str">
        <f t="shared" ref="AJ87" si="576">CP$6</f>
        <v>0,0,5,0,5,0,0,5,0,5</v>
      </c>
      <c r="AK87" s="26" t="str">
        <f t="shared" ref="AK87" si="577">CQ$6</f>
        <v>100,1000,5,1500,5,200,1000,5,1500,5</v>
      </c>
      <c r="AL87" s="26" t="str">
        <f t="shared" ref="AL87" si="578">CR$6</f>
        <v>5,5,5,5,5,5,5,5,5,5</v>
      </c>
      <c r="AM87" s="7">
        <v>2001</v>
      </c>
      <c r="AO87">
        <f t="shared" ref="AO87" si="579">AQ87*100+3</f>
        <v>1003</v>
      </c>
      <c r="AP87">
        <v>83</v>
      </c>
      <c r="AQ87">
        <f t="shared" si="439"/>
        <v>10</v>
      </c>
      <c r="AR87" s="17">
        <v>6</v>
      </c>
      <c r="AS87" s="17">
        <f t="shared" si="520"/>
        <v>95</v>
      </c>
      <c r="AT87" s="17">
        <v>5</v>
      </c>
      <c r="AU87">
        <f t="shared" si="440"/>
        <v>22</v>
      </c>
      <c r="AV87">
        <v>150</v>
      </c>
      <c r="AW87">
        <f t="shared" si="441"/>
        <v>14413.5936</v>
      </c>
      <c r="AX87">
        <f t="shared" si="570"/>
        <v>70308000</v>
      </c>
      <c r="AY87">
        <f t="shared" si="442"/>
        <v>1171.8</v>
      </c>
      <c r="AZ87">
        <f t="shared" si="443"/>
        <v>2343.6</v>
      </c>
      <c r="BA87">
        <f t="shared" si="444"/>
        <v>18144</v>
      </c>
      <c r="BB87">
        <f t="shared" si="445"/>
        <v>585.9</v>
      </c>
      <c r="BC87">
        <f t="shared" si="571"/>
        <v>70308000</v>
      </c>
      <c r="BD87">
        <f t="shared" si="446"/>
        <v>0.29411764705882354</v>
      </c>
      <c r="BE87" s="27">
        <f t="shared" si="572"/>
        <v>14706064.2204</v>
      </c>
      <c r="BF87" s="30">
        <f t="shared" si="447"/>
        <v>0.32400000000000001</v>
      </c>
      <c r="BG87" s="27"/>
      <c r="BH87" s="27"/>
      <c r="BI87" s="27"/>
      <c r="CA87" s="20">
        <f t="shared" si="448"/>
        <v>145</v>
      </c>
      <c r="CB87" s="20">
        <f t="shared" si="449"/>
        <v>14500</v>
      </c>
      <c r="CC87" s="31"/>
      <c r="CD87" s="20">
        <v>109</v>
      </c>
      <c r="CE87" s="20" t="s">
        <v>177</v>
      </c>
      <c r="CF87" s="20">
        <v>33</v>
      </c>
      <c r="CG87" s="20">
        <v>5</v>
      </c>
      <c r="CH87" s="20">
        <v>0</v>
      </c>
      <c r="CI87" s="20">
        <v>0</v>
      </c>
      <c r="CJ87" s="20">
        <v>2</v>
      </c>
      <c r="CK87" s="20">
        <v>5</v>
      </c>
    </row>
    <row r="88" spans="1:91" x14ac:dyDescent="0.15">
      <c r="A88">
        <v>1004</v>
      </c>
      <c r="B88" s="3" t="s">
        <v>119</v>
      </c>
      <c r="C88" s="4" t="s">
        <v>109</v>
      </c>
      <c r="D88" s="6" t="s">
        <v>120</v>
      </c>
      <c r="E88" s="5">
        <v>3</v>
      </c>
      <c r="F88" s="7" t="s">
        <v>145</v>
      </c>
      <c r="G88" s="5">
        <v>3</v>
      </c>
      <c r="H88" s="7" t="s">
        <v>190</v>
      </c>
      <c r="I88" s="5">
        <v>0</v>
      </c>
      <c r="J88" s="5">
        <v>0</v>
      </c>
      <c r="K88">
        <v>2</v>
      </c>
      <c r="L88">
        <v>1.5</v>
      </c>
      <c r="M88" s="5">
        <v>1.5</v>
      </c>
      <c r="N88" s="5">
        <v>10</v>
      </c>
      <c r="O88" s="5">
        <f t="shared" si="429"/>
        <v>15099</v>
      </c>
      <c r="P88" s="5">
        <f t="shared" si="430"/>
        <v>73656000</v>
      </c>
      <c r="Q88" s="5">
        <f t="shared" si="431"/>
        <v>1227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70041</v>
      </c>
      <c r="X88" s="6" t="s">
        <v>182</v>
      </c>
      <c r="Y88" s="5">
        <v>300</v>
      </c>
      <c r="Z88" s="5">
        <v>1</v>
      </c>
      <c r="AA88" s="5">
        <v>3553321</v>
      </c>
      <c r="AB88" s="16" t="s">
        <v>111</v>
      </c>
      <c r="AC88" s="7" t="s">
        <v>112</v>
      </c>
      <c r="AD88" s="7" t="s">
        <v>112</v>
      </c>
      <c r="AE88" s="7" t="s">
        <v>112</v>
      </c>
      <c r="AF88" s="6" t="s">
        <v>113</v>
      </c>
      <c r="AG88" s="26" t="str">
        <f t="shared" ref="AG88" si="580">CM$7</f>
        <v>4,14,28,14,6,4,14,28,14,6</v>
      </c>
      <c r="AH88" s="26" t="str">
        <f t="shared" ref="AH88" si="581">CN$7</f>
        <v>0,0,0,0,1,0,0,0,0,1</v>
      </c>
      <c r="AI88" s="26" t="str">
        <f t="shared" ref="AI88" si="582">CO$7</f>
        <v>0,0,0,0,1,0,0,0,0,1</v>
      </c>
      <c r="AJ88" s="26" t="str">
        <f t="shared" ref="AJ88" si="583">CP$7</f>
        <v>0,0,0,0,5,0,0,0,0,5</v>
      </c>
      <c r="AK88" s="26" t="str">
        <f t="shared" ref="AK88" si="584">CQ$7</f>
        <v>100,1,1000,2,5,200,1,1000,2,5</v>
      </c>
      <c r="AL88" s="26" t="str">
        <f t="shared" ref="AL88" si="585">CR$7</f>
        <v>5,5,5,5,5,5,5,5,5,5</v>
      </c>
      <c r="AM88" s="7">
        <v>2001</v>
      </c>
      <c r="AO88">
        <f t="shared" ref="AO88" si="586">AQ88*100+4</f>
        <v>1004</v>
      </c>
      <c r="AP88">
        <v>84</v>
      </c>
      <c r="AQ88">
        <f t="shared" si="439"/>
        <v>10</v>
      </c>
      <c r="AR88" s="17">
        <v>6</v>
      </c>
      <c r="AS88" s="17">
        <f t="shared" si="520"/>
        <v>100</v>
      </c>
      <c r="AT88" s="17">
        <v>5</v>
      </c>
      <c r="AU88">
        <f t="shared" si="440"/>
        <v>22</v>
      </c>
      <c r="AV88">
        <v>150</v>
      </c>
      <c r="AW88">
        <f t="shared" si="441"/>
        <v>15099.9552</v>
      </c>
      <c r="AX88">
        <f t="shared" si="570"/>
        <v>73656000.000000015</v>
      </c>
      <c r="AY88">
        <f t="shared" si="442"/>
        <v>1227.6000000000001</v>
      </c>
      <c r="AZ88">
        <f t="shared" si="443"/>
        <v>2455.2000000000003</v>
      </c>
      <c r="BA88">
        <f t="shared" si="444"/>
        <v>19008</v>
      </c>
      <c r="BB88">
        <f t="shared" si="445"/>
        <v>613.80000000000007</v>
      </c>
      <c r="BC88">
        <f t="shared" si="571"/>
        <v>73656000.000000015</v>
      </c>
      <c r="BD88">
        <f t="shared" si="446"/>
        <v>0.29411764705882354</v>
      </c>
      <c r="BE88" s="27">
        <f t="shared" si="572"/>
        <v>16139988.849600006</v>
      </c>
      <c r="BF88" s="30">
        <f t="shared" si="447"/>
        <v>0.32400000000000001</v>
      </c>
      <c r="BG88" s="27"/>
      <c r="BH88" s="27"/>
      <c r="BI88" s="27"/>
      <c r="CA88" s="20">
        <f t="shared" si="448"/>
        <v>145</v>
      </c>
      <c r="CB88" s="20">
        <f t="shared" si="449"/>
        <v>14500</v>
      </c>
      <c r="CC88" s="31"/>
      <c r="CD88" s="20">
        <v>109</v>
      </c>
      <c r="CE88" s="20" t="s">
        <v>155</v>
      </c>
      <c r="CF88" s="20">
        <v>6</v>
      </c>
      <c r="CG88" s="20">
        <v>1</v>
      </c>
      <c r="CH88" s="20">
        <v>1</v>
      </c>
      <c r="CI88" s="20">
        <v>5</v>
      </c>
      <c r="CJ88" s="20">
        <v>5</v>
      </c>
      <c r="CK88" s="20">
        <v>5</v>
      </c>
    </row>
    <row r="89" spans="1:91" x14ac:dyDescent="0.15">
      <c r="A89">
        <v>1005</v>
      </c>
      <c r="B89" s="3" t="s">
        <v>122</v>
      </c>
      <c r="C89" s="4" t="s">
        <v>109</v>
      </c>
      <c r="D89" s="4" t="s">
        <v>110</v>
      </c>
      <c r="E89" s="5">
        <v>2</v>
      </c>
      <c r="F89" s="7" t="s">
        <v>146</v>
      </c>
      <c r="G89" s="5">
        <v>3</v>
      </c>
      <c r="H89" s="7" t="s">
        <v>191</v>
      </c>
      <c r="I89" s="5">
        <v>0</v>
      </c>
      <c r="J89" s="7" t="s">
        <v>148</v>
      </c>
      <c r="K89">
        <v>6</v>
      </c>
      <c r="L89">
        <v>1.5</v>
      </c>
      <c r="M89" s="5">
        <v>1.5</v>
      </c>
      <c r="N89" s="5">
        <v>10</v>
      </c>
      <c r="O89" s="5">
        <f t="shared" si="429"/>
        <v>15786</v>
      </c>
      <c r="P89" s="5">
        <f t="shared" si="430"/>
        <v>77004000</v>
      </c>
      <c r="Q89" s="5">
        <f t="shared" si="431"/>
        <v>1283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70051</v>
      </c>
      <c r="X89" s="6" t="s">
        <v>183</v>
      </c>
      <c r="Y89" s="5">
        <v>300</v>
      </c>
      <c r="Z89" s="5">
        <v>1</v>
      </c>
      <c r="AA89" s="5">
        <v>4011366</v>
      </c>
      <c r="AB89" s="16" t="s">
        <v>111</v>
      </c>
      <c r="AC89" s="7" t="s">
        <v>112</v>
      </c>
      <c r="AD89" s="7" t="s">
        <v>112</v>
      </c>
      <c r="AE89" s="7" t="s">
        <v>112</v>
      </c>
      <c r="AF89" s="6" t="s">
        <v>113</v>
      </c>
      <c r="AG89" s="26" t="str">
        <f t="shared" ref="AG89" si="587">CM$8</f>
        <v>4,19,28,19,6,4,19,28,19,6</v>
      </c>
      <c r="AH89" s="26" t="str">
        <f t="shared" ref="AH89" si="588">CN$8</f>
        <v>0,0,0,0,1,0,0,0,0,1</v>
      </c>
      <c r="AI89" s="26" t="str">
        <f t="shared" ref="AI89" si="589">CO$8</f>
        <v>0,0,0,0,1,0,0,0,0,1</v>
      </c>
      <c r="AJ89" s="26" t="str">
        <f t="shared" ref="AJ89" si="590">CP$8</f>
        <v>0,0,0,0,5,0,0,0,0,5</v>
      </c>
      <c r="AK89" s="26" t="str">
        <f t="shared" ref="AK89" si="591">CQ$8</f>
        <v>200,100,1000,200,5,200,100,1000,200,5</v>
      </c>
      <c r="AL89" s="26" t="str">
        <f t="shared" ref="AL89" si="592">CR$8</f>
        <v>5,5,5,5,5,5,5,5,5,5</v>
      </c>
      <c r="AM89" s="7">
        <v>2001</v>
      </c>
      <c r="AO89">
        <f t="shared" ref="AO89" si="593">AQ89*100+5</f>
        <v>1005</v>
      </c>
      <c r="AP89">
        <v>85</v>
      </c>
      <c r="AQ89">
        <f t="shared" si="439"/>
        <v>10</v>
      </c>
      <c r="AR89" s="17">
        <v>6</v>
      </c>
      <c r="AS89" s="17">
        <f t="shared" si="520"/>
        <v>105</v>
      </c>
      <c r="AT89" s="17">
        <v>5</v>
      </c>
      <c r="AU89">
        <f t="shared" si="440"/>
        <v>22</v>
      </c>
      <c r="AV89">
        <v>150</v>
      </c>
      <c r="AW89">
        <f t="shared" si="441"/>
        <v>15786.316799999999</v>
      </c>
      <c r="AX89">
        <f t="shared" si="570"/>
        <v>77004000</v>
      </c>
      <c r="AY89">
        <f t="shared" si="442"/>
        <v>1283.4000000000001</v>
      </c>
      <c r="AZ89">
        <f t="shared" si="443"/>
        <v>2566.8000000000002</v>
      </c>
      <c r="BA89">
        <f t="shared" si="444"/>
        <v>19872</v>
      </c>
      <c r="BB89">
        <f t="shared" si="445"/>
        <v>641.70000000000005</v>
      </c>
      <c r="BC89">
        <f t="shared" si="571"/>
        <v>77004000</v>
      </c>
      <c r="BD89">
        <f t="shared" si="446"/>
        <v>0.29411764705882348</v>
      </c>
      <c r="BE89" s="27">
        <f t="shared" si="572"/>
        <v>17640607.647600003</v>
      </c>
      <c r="BF89" s="30">
        <f t="shared" si="447"/>
        <v>0.32400000000000001</v>
      </c>
      <c r="BG89" s="27"/>
      <c r="BH89" s="27"/>
      <c r="BI89" s="27"/>
      <c r="CA89" s="20">
        <f t="shared" si="448"/>
        <v>145</v>
      </c>
      <c r="CB89" s="20">
        <f t="shared" si="449"/>
        <v>14500</v>
      </c>
      <c r="CC89" s="31"/>
      <c r="CD89" s="20">
        <v>109</v>
      </c>
      <c r="CE89" s="20" t="s">
        <v>153</v>
      </c>
      <c r="CF89" s="20">
        <v>4</v>
      </c>
      <c r="CG89" s="20">
        <v>0</v>
      </c>
      <c r="CH89" s="20">
        <v>0</v>
      </c>
      <c r="CI89" s="20">
        <v>0</v>
      </c>
      <c r="CJ89" s="20">
        <v>200</v>
      </c>
      <c r="CK89" s="20">
        <v>5</v>
      </c>
    </row>
    <row r="90" spans="1:91" x14ac:dyDescent="0.15">
      <c r="A90">
        <v>1006</v>
      </c>
      <c r="B90" s="3" t="s">
        <v>124</v>
      </c>
      <c r="C90" s="4" t="s">
        <v>109</v>
      </c>
      <c r="D90" s="6" t="s">
        <v>120</v>
      </c>
      <c r="E90" s="5">
        <v>1</v>
      </c>
      <c r="F90" s="7" t="s">
        <v>147</v>
      </c>
      <c r="G90" s="5">
        <v>3</v>
      </c>
      <c r="H90" s="7" t="s">
        <v>192</v>
      </c>
      <c r="I90" s="5">
        <v>0</v>
      </c>
      <c r="J90" s="7" t="s">
        <v>149</v>
      </c>
      <c r="K90">
        <v>6</v>
      </c>
      <c r="L90">
        <v>1.5</v>
      </c>
      <c r="M90" s="5">
        <v>1.5</v>
      </c>
      <c r="N90" s="5">
        <v>10</v>
      </c>
      <c r="O90" s="5">
        <f t="shared" si="429"/>
        <v>16472</v>
      </c>
      <c r="P90" s="5">
        <f t="shared" si="430"/>
        <v>80352000</v>
      </c>
      <c r="Q90" s="5">
        <f t="shared" si="431"/>
        <v>1339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70061</v>
      </c>
      <c r="X90" s="6" t="s">
        <v>184</v>
      </c>
      <c r="Y90" s="5">
        <v>300</v>
      </c>
      <c r="Z90" s="5">
        <v>1</v>
      </c>
      <c r="AA90" s="5">
        <v>4497172</v>
      </c>
      <c r="AB90" s="16" t="s">
        <v>111</v>
      </c>
      <c r="AC90" s="7" t="s">
        <v>112</v>
      </c>
      <c r="AD90" s="7" t="s">
        <v>112</v>
      </c>
      <c r="AE90" s="7" t="s">
        <v>112</v>
      </c>
      <c r="AF90" s="6" t="s">
        <v>113</v>
      </c>
      <c r="AG90" s="26" t="str">
        <f t="shared" ref="AG90" si="594">CM$9</f>
        <v>4,33,28,33,6,4,33,28,33,6</v>
      </c>
      <c r="AH90" s="26" t="str">
        <f t="shared" ref="AH90" si="595">CN$9</f>
        <v>0,6,0,6,1,0,6,0,6,1</v>
      </c>
      <c r="AI90" s="26" t="str">
        <f t="shared" ref="AI90" si="596">CO$9</f>
        <v>0,0,0,0,1,0,0,0,0,1</v>
      </c>
      <c r="AJ90" s="26" t="str">
        <f t="shared" ref="AJ90" si="597">CP$9</f>
        <v>0,0,0,0,5,0,0,0,0,5</v>
      </c>
      <c r="AK90" s="26" t="str">
        <f t="shared" ref="AK90" si="598">CQ$9</f>
        <v>200,1,1000,2,5,200,1,1000,2,5</v>
      </c>
      <c r="AL90" s="26" t="str">
        <f t="shared" ref="AL90" si="599">CR$9</f>
        <v>5,5,5,5,5,5,5,5,5,5</v>
      </c>
      <c r="AM90" s="7">
        <v>2001</v>
      </c>
      <c r="AO90">
        <f t="shared" ref="AO90" si="600">AQ90*100+6</f>
        <v>1006</v>
      </c>
      <c r="AP90">
        <v>86</v>
      </c>
      <c r="AQ90">
        <f t="shared" si="439"/>
        <v>10</v>
      </c>
      <c r="AR90" s="17">
        <v>6</v>
      </c>
      <c r="AS90" s="17">
        <f t="shared" si="520"/>
        <v>110</v>
      </c>
      <c r="AT90" s="17">
        <v>5</v>
      </c>
      <c r="AU90">
        <f t="shared" si="440"/>
        <v>22</v>
      </c>
      <c r="AV90">
        <v>150</v>
      </c>
      <c r="AW90">
        <f t="shared" si="441"/>
        <v>16472.678400000001</v>
      </c>
      <c r="AX90">
        <f t="shared" si="570"/>
        <v>80352000</v>
      </c>
      <c r="AY90">
        <f t="shared" si="442"/>
        <v>1339.2</v>
      </c>
      <c r="AZ90">
        <f t="shared" si="443"/>
        <v>2678.4</v>
      </c>
      <c r="BA90">
        <f t="shared" si="444"/>
        <v>20736</v>
      </c>
      <c r="BB90">
        <f t="shared" si="445"/>
        <v>669.6</v>
      </c>
      <c r="BC90">
        <f t="shared" si="571"/>
        <v>80352000</v>
      </c>
      <c r="BD90">
        <f t="shared" si="446"/>
        <v>0.29411764705882348</v>
      </c>
      <c r="BE90" s="27">
        <f t="shared" si="572"/>
        <v>19207920.614399999</v>
      </c>
      <c r="BF90" s="30">
        <f t="shared" si="447"/>
        <v>0.32400000000000001</v>
      </c>
      <c r="BG90" s="27"/>
      <c r="BH90" s="27"/>
      <c r="BI90" s="27"/>
      <c r="CA90" s="20">
        <f t="shared" si="448"/>
        <v>145</v>
      </c>
      <c r="CB90" s="20">
        <f t="shared" si="449"/>
        <v>14500</v>
      </c>
      <c r="CC90" s="31"/>
      <c r="CD90" s="20">
        <v>109</v>
      </c>
      <c r="CE90" s="20" t="s">
        <v>176</v>
      </c>
      <c r="CF90" s="20">
        <v>33</v>
      </c>
      <c r="CG90" s="20">
        <v>5</v>
      </c>
      <c r="CH90" s="20">
        <v>0</v>
      </c>
      <c r="CI90" s="20">
        <v>0</v>
      </c>
      <c r="CJ90" s="20">
        <v>1</v>
      </c>
      <c r="CK90" s="20">
        <v>5</v>
      </c>
    </row>
    <row r="91" spans="1:91" x14ac:dyDescent="0.15">
      <c r="A91">
        <v>1007</v>
      </c>
      <c r="B91" s="3" t="s">
        <v>126</v>
      </c>
      <c r="C91" s="4" t="s">
        <v>109</v>
      </c>
      <c r="D91" s="4" t="s">
        <v>110</v>
      </c>
      <c r="E91" s="5">
        <v>2</v>
      </c>
      <c r="F91" s="7" t="s">
        <v>143</v>
      </c>
      <c r="G91" s="5">
        <v>3</v>
      </c>
      <c r="H91" s="7" t="s">
        <v>193</v>
      </c>
      <c r="I91" s="5">
        <v>0</v>
      </c>
      <c r="J91" s="5">
        <v>0</v>
      </c>
      <c r="K91">
        <v>2</v>
      </c>
      <c r="L91">
        <v>1.5</v>
      </c>
      <c r="M91" s="5">
        <v>1.5</v>
      </c>
      <c r="N91" s="5">
        <v>10</v>
      </c>
      <c r="O91" s="5">
        <f t="shared" si="429"/>
        <v>17159</v>
      </c>
      <c r="P91" s="5">
        <f t="shared" si="430"/>
        <v>83700000</v>
      </c>
      <c r="Q91" s="5">
        <f t="shared" si="431"/>
        <v>1395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70071</v>
      </c>
      <c r="X91" s="6" t="s">
        <v>185</v>
      </c>
      <c r="Y91" s="5">
        <v>300</v>
      </c>
      <c r="Z91" s="5">
        <v>1</v>
      </c>
      <c r="AA91" s="5">
        <v>5010738</v>
      </c>
      <c r="AB91" s="16" t="s">
        <v>111</v>
      </c>
      <c r="AC91" s="7" t="s">
        <v>112</v>
      </c>
      <c r="AD91" s="7" t="s">
        <v>112</v>
      </c>
      <c r="AE91" s="7" t="s">
        <v>112</v>
      </c>
      <c r="AF91" s="6" t="s">
        <v>113</v>
      </c>
      <c r="AG91" s="26" t="str">
        <f t="shared" ref="AG91" si="601">CM$10</f>
        <v>4,14,28,14,6,4,14,28,14,6</v>
      </c>
      <c r="AH91" s="26" t="str">
        <f t="shared" ref="AH91" si="602">CN$10</f>
        <v>0,0,0,0,1,0,0,0,0,1</v>
      </c>
      <c r="AI91" s="26" t="str">
        <f t="shared" ref="AI91" si="603">CO$10</f>
        <v>0,0,0,0,1,0,0,0,0,1</v>
      </c>
      <c r="AJ91" s="26" t="str">
        <f t="shared" ref="AJ91" si="604">CP$10</f>
        <v>0,0,0,0,5,0,0,0,0,5</v>
      </c>
      <c r="AK91" s="26" t="str">
        <f t="shared" ref="AK91" si="605">CQ$10</f>
        <v>200,1,1000,2,5,200,1,1000,2,5</v>
      </c>
      <c r="AL91" s="26" t="str">
        <f t="shared" ref="AL91" si="606">CR$10</f>
        <v>5,5,5,5,5,5,5,5,5,5</v>
      </c>
      <c r="AM91" s="7">
        <v>2001</v>
      </c>
      <c r="AO91">
        <f t="shared" ref="AO91" si="607">AQ91*100+7</f>
        <v>1007</v>
      </c>
      <c r="AP91">
        <v>87</v>
      </c>
      <c r="AQ91">
        <f t="shared" si="439"/>
        <v>10</v>
      </c>
      <c r="AR91" s="17">
        <v>6</v>
      </c>
      <c r="AS91" s="17">
        <f t="shared" si="520"/>
        <v>115</v>
      </c>
      <c r="AT91" s="17">
        <v>5</v>
      </c>
      <c r="AU91">
        <f t="shared" si="440"/>
        <v>22</v>
      </c>
      <c r="AV91">
        <v>150</v>
      </c>
      <c r="AW91">
        <f t="shared" si="441"/>
        <v>17159.04</v>
      </c>
      <c r="AX91">
        <f t="shared" si="570"/>
        <v>83700000</v>
      </c>
      <c r="AY91">
        <f t="shared" si="442"/>
        <v>1395</v>
      </c>
      <c r="AZ91">
        <f t="shared" si="443"/>
        <v>2790</v>
      </c>
      <c r="BA91">
        <f t="shared" si="444"/>
        <v>21600</v>
      </c>
      <c r="BB91">
        <f t="shared" si="445"/>
        <v>697.5</v>
      </c>
      <c r="BC91">
        <f t="shared" si="571"/>
        <v>83700000</v>
      </c>
      <c r="BD91">
        <f t="shared" si="446"/>
        <v>0.29411764705882354</v>
      </c>
      <c r="BE91" s="27">
        <f t="shared" si="572"/>
        <v>20841927.750000004</v>
      </c>
      <c r="BF91" s="30">
        <f t="shared" si="447"/>
        <v>0.32400000000000001</v>
      </c>
      <c r="BG91" s="27"/>
      <c r="BH91" s="27"/>
      <c r="BI91" s="27"/>
      <c r="CA91" s="20">
        <f t="shared" si="448"/>
        <v>145</v>
      </c>
      <c r="CB91" s="20">
        <f t="shared" si="449"/>
        <v>14500</v>
      </c>
      <c r="CC91" s="31"/>
      <c r="CD91" s="20">
        <v>109</v>
      </c>
      <c r="CE91" s="20" t="s">
        <v>162</v>
      </c>
      <c r="CF91" s="20">
        <v>28</v>
      </c>
      <c r="CG91" s="20">
        <v>0</v>
      </c>
      <c r="CH91" s="20">
        <v>0</v>
      </c>
      <c r="CI91" s="20">
        <v>0</v>
      </c>
      <c r="CJ91" s="20">
        <v>1000</v>
      </c>
      <c r="CK91" s="20">
        <v>5</v>
      </c>
    </row>
    <row r="92" spans="1:91" x14ac:dyDescent="0.15">
      <c r="A92">
        <v>1008</v>
      </c>
      <c r="B92" s="3" t="s">
        <v>128</v>
      </c>
      <c r="C92" s="4" t="s">
        <v>109</v>
      </c>
      <c r="D92" s="4" t="s">
        <v>110</v>
      </c>
      <c r="E92" s="5">
        <v>5</v>
      </c>
      <c r="F92" s="7" t="s">
        <v>129</v>
      </c>
      <c r="G92" s="5">
        <v>2</v>
      </c>
      <c r="H92" s="7" t="s">
        <v>130</v>
      </c>
      <c r="I92" s="5">
        <v>0</v>
      </c>
      <c r="J92" s="5">
        <v>0</v>
      </c>
      <c r="K92">
        <v>2</v>
      </c>
      <c r="L92">
        <v>1.5</v>
      </c>
      <c r="M92" s="5">
        <v>1.5</v>
      </c>
      <c r="N92" s="5">
        <v>10</v>
      </c>
      <c r="O92" s="5">
        <f t="shared" si="429"/>
        <v>17845</v>
      </c>
      <c r="P92" s="5">
        <f t="shared" si="430"/>
        <v>87048000</v>
      </c>
      <c r="Q92" s="5">
        <f t="shared" si="431"/>
        <v>1450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70081</v>
      </c>
      <c r="X92" s="6" t="s">
        <v>186</v>
      </c>
      <c r="Y92" s="5">
        <v>300</v>
      </c>
      <c r="Z92" s="5">
        <v>1</v>
      </c>
      <c r="AA92" s="5">
        <v>5552064</v>
      </c>
      <c r="AB92" s="16" t="s">
        <v>111</v>
      </c>
      <c r="AC92" s="7" t="s">
        <v>112</v>
      </c>
      <c r="AD92" s="7" t="s">
        <v>112</v>
      </c>
      <c r="AE92" s="7" t="s">
        <v>112</v>
      </c>
      <c r="AF92" s="6" t="s">
        <v>113</v>
      </c>
      <c r="AG92" s="26" t="str">
        <f t="shared" ref="AG92" si="608">CM$11</f>
        <v>4,28,6,28,6,4,28,6,28,6</v>
      </c>
      <c r="AH92" s="26" t="str">
        <f t="shared" ref="AH92" si="609">CN$11</f>
        <v>0,0,1,0,1,0,0,1,0,1</v>
      </c>
      <c r="AI92" s="26" t="str">
        <f t="shared" ref="AI92" si="610">CO$11</f>
        <v>0,0,1,0,1,0,0,1,0,1</v>
      </c>
      <c r="AJ92" s="26" t="str">
        <f t="shared" ref="AJ92" si="611">CP$11</f>
        <v>0,0,5,0,5,0,0,5,0,5</v>
      </c>
      <c r="AK92" s="26" t="str">
        <f t="shared" ref="AK92" si="612">CQ$11</f>
        <v>100,1000,5,1500,5,200,1000,5,1500,5</v>
      </c>
      <c r="AL92" s="26" t="str">
        <f t="shared" ref="AL92" si="613">CR$11</f>
        <v>5,5,5,5,5,5,5,5,5,5</v>
      </c>
      <c r="AM92" s="7">
        <v>2001</v>
      </c>
      <c r="AO92">
        <f t="shared" ref="AO92" si="614">AQ92*100+8</f>
        <v>1008</v>
      </c>
      <c r="AP92">
        <v>88</v>
      </c>
      <c r="AQ92">
        <f t="shared" si="439"/>
        <v>10</v>
      </c>
      <c r="AR92" s="17">
        <v>6</v>
      </c>
      <c r="AS92" s="17">
        <f t="shared" si="520"/>
        <v>120</v>
      </c>
      <c r="AT92" s="17">
        <v>5</v>
      </c>
      <c r="AU92">
        <f t="shared" si="440"/>
        <v>22</v>
      </c>
      <c r="AV92">
        <v>150</v>
      </c>
      <c r="AW92">
        <f t="shared" si="441"/>
        <v>17845.401600000001</v>
      </c>
      <c r="AX92">
        <f t="shared" si="570"/>
        <v>87048000</v>
      </c>
      <c r="AY92">
        <f t="shared" si="442"/>
        <v>1450.8</v>
      </c>
      <c r="AZ92">
        <f t="shared" si="443"/>
        <v>2901.6</v>
      </c>
      <c r="BA92">
        <f t="shared" si="444"/>
        <v>22464</v>
      </c>
      <c r="BB92">
        <f t="shared" si="445"/>
        <v>725.4</v>
      </c>
      <c r="BC92">
        <f t="shared" si="571"/>
        <v>87048000</v>
      </c>
      <c r="BD92">
        <f t="shared" si="446"/>
        <v>0.29411764705882354</v>
      </c>
      <c r="BE92" s="27">
        <f t="shared" si="572"/>
        <v>22542629.054400001</v>
      </c>
      <c r="BF92" s="30">
        <f t="shared" si="447"/>
        <v>0.32400000000000001</v>
      </c>
      <c r="BG92" s="27"/>
      <c r="BH92" s="27"/>
      <c r="BI92" s="27"/>
      <c r="CA92" s="20">
        <f t="shared" si="448"/>
        <v>145</v>
      </c>
      <c r="CB92" s="20">
        <f t="shared" si="449"/>
        <v>14500</v>
      </c>
      <c r="CC92" s="31"/>
      <c r="CD92" s="20">
        <v>109</v>
      </c>
      <c r="CE92" s="20" t="s">
        <v>177</v>
      </c>
      <c r="CF92" s="20">
        <v>33</v>
      </c>
      <c r="CG92" s="20">
        <v>5</v>
      </c>
      <c r="CH92" s="20">
        <v>0</v>
      </c>
      <c r="CI92" s="20">
        <v>0</v>
      </c>
      <c r="CJ92" s="20">
        <v>2</v>
      </c>
      <c r="CK92" s="20">
        <v>5</v>
      </c>
    </row>
    <row r="93" spans="1:91" x14ac:dyDescent="0.15">
      <c r="A93">
        <v>1009</v>
      </c>
      <c r="B93" s="3" t="s">
        <v>132</v>
      </c>
      <c r="C93" s="4" t="s">
        <v>109</v>
      </c>
      <c r="D93" s="4" t="s">
        <v>110</v>
      </c>
      <c r="E93" s="5">
        <v>5</v>
      </c>
      <c r="F93" s="7" t="s">
        <v>140</v>
      </c>
      <c r="G93" s="5">
        <v>3</v>
      </c>
      <c r="H93" s="7" t="s">
        <v>140</v>
      </c>
      <c r="I93" s="5">
        <v>0</v>
      </c>
      <c r="J93" s="7">
        <v>0</v>
      </c>
      <c r="K93">
        <v>6</v>
      </c>
      <c r="L93">
        <v>1.5</v>
      </c>
      <c r="M93" s="5">
        <v>1.5</v>
      </c>
      <c r="N93" s="5">
        <v>10</v>
      </c>
      <c r="O93" s="5">
        <f t="shared" si="429"/>
        <v>18531</v>
      </c>
      <c r="P93" s="5">
        <f t="shared" si="430"/>
        <v>90396000</v>
      </c>
      <c r="Q93" s="5">
        <f t="shared" si="431"/>
        <v>1506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70091</v>
      </c>
      <c r="X93" s="6" t="s">
        <v>187</v>
      </c>
      <c r="Y93" s="5">
        <v>300</v>
      </c>
      <c r="Z93" s="5">
        <v>1</v>
      </c>
      <c r="AA93" s="5">
        <v>6121151</v>
      </c>
      <c r="AB93" s="16" t="s">
        <v>111</v>
      </c>
      <c r="AC93" s="7" t="s">
        <v>112</v>
      </c>
      <c r="AD93" s="7" t="s">
        <v>112</v>
      </c>
      <c r="AE93" s="7" t="s">
        <v>112</v>
      </c>
      <c r="AF93" s="6" t="s">
        <v>113</v>
      </c>
      <c r="AG93" s="26" t="str">
        <f t="shared" ref="AG93" si="615">CM$12</f>
        <v>4,33,28,33,6,4,33,28,33,6</v>
      </c>
      <c r="AH93" s="26" t="str">
        <f t="shared" ref="AH93" si="616">CN$12</f>
        <v>0,5,0,5,1,0,5,0,5,1</v>
      </c>
      <c r="AI93" s="26" t="str">
        <f t="shared" ref="AI93" si="617">CO$12</f>
        <v>0,0,0,0,1,0,0,0,0,1</v>
      </c>
      <c r="AJ93" s="26" t="str">
        <f t="shared" ref="AJ93" si="618">CP$12</f>
        <v>0,0,0,0,5,0,0,0,0,5</v>
      </c>
      <c r="AK93" s="26" t="str">
        <f t="shared" ref="AK93" si="619">CQ$12</f>
        <v>100,1,1000,2,5,200,1,1000,2,5</v>
      </c>
      <c r="AL93" s="26" t="str">
        <f t="shared" ref="AL93" si="620">CR$12</f>
        <v>5,5,5,5,5,5,5,5,5,5</v>
      </c>
      <c r="AM93" s="7">
        <v>2001</v>
      </c>
      <c r="AO93">
        <f t="shared" ref="AO93" si="621">AQ93*100+9</f>
        <v>1009</v>
      </c>
      <c r="AP93">
        <v>89</v>
      </c>
      <c r="AQ93">
        <f t="shared" si="439"/>
        <v>10</v>
      </c>
      <c r="AR93" s="17">
        <v>6</v>
      </c>
      <c r="AS93" s="17">
        <f t="shared" si="520"/>
        <v>125</v>
      </c>
      <c r="AT93" s="17">
        <v>5</v>
      </c>
      <c r="AU93">
        <f t="shared" si="440"/>
        <v>22</v>
      </c>
      <c r="AV93">
        <v>150</v>
      </c>
      <c r="AW93">
        <f t="shared" si="441"/>
        <v>18531.763200000001</v>
      </c>
      <c r="AX93">
        <f t="shared" si="570"/>
        <v>90396000.000000015</v>
      </c>
      <c r="AY93">
        <f t="shared" si="442"/>
        <v>1506.6000000000001</v>
      </c>
      <c r="AZ93">
        <f t="shared" si="443"/>
        <v>3013.2000000000003</v>
      </c>
      <c r="BA93">
        <f t="shared" si="444"/>
        <v>23328</v>
      </c>
      <c r="BB93">
        <f t="shared" si="445"/>
        <v>753.30000000000007</v>
      </c>
      <c r="BC93">
        <f t="shared" si="571"/>
        <v>90396000.000000015</v>
      </c>
      <c r="BD93">
        <f t="shared" si="446"/>
        <v>0.29411764705882354</v>
      </c>
      <c r="BE93" s="27">
        <f t="shared" si="572"/>
        <v>24310024.527600009</v>
      </c>
      <c r="BF93" s="30">
        <f t="shared" si="447"/>
        <v>0.32400000000000001</v>
      </c>
      <c r="BG93" s="27"/>
      <c r="BH93" s="27"/>
      <c r="BI93" s="27"/>
      <c r="CA93" s="20">
        <f t="shared" si="448"/>
        <v>145</v>
      </c>
      <c r="CB93" s="20">
        <f t="shared" si="449"/>
        <v>14500</v>
      </c>
      <c r="CC93" s="31"/>
      <c r="CD93" s="20">
        <v>109</v>
      </c>
      <c r="CE93" s="20" t="s">
        <v>155</v>
      </c>
      <c r="CF93" s="20">
        <v>6</v>
      </c>
      <c r="CG93" s="20">
        <v>1</v>
      </c>
      <c r="CH93" s="20">
        <v>1</v>
      </c>
      <c r="CI93" s="20">
        <v>5</v>
      </c>
      <c r="CJ93" s="20">
        <v>5</v>
      </c>
      <c r="CK93" s="20">
        <v>5</v>
      </c>
    </row>
    <row r="94" spans="1:91" x14ac:dyDescent="0.15">
      <c r="A94">
        <v>1101</v>
      </c>
      <c r="B94" s="3" t="s">
        <v>108</v>
      </c>
      <c r="C94" s="4" t="s">
        <v>109</v>
      </c>
      <c r="D94" s="4" t="s">
        <v>110</v>
      </c>
      <c r="E94" s="5">
        <v>3</v>
      </c>
      <c r="F94" s="7" t="s">
        <v>141</v>
      </c>
      <c r="G94" s="5">
        <v>2.5</v>
      </c>
      <c r="H94" s="7" t="s">
        <v>194</v>
      </c>
      <c r="I94" s="5">
        <v>0</v>
      </c>
      <c r="J94" s="5">
        <v>0</v>
      </c>
      <c r="K94">
        <v>2</v>
      </c>
      <c r="L94">
        <v>1.5</v>
      </c>
      <c r="M94" s="5">
        <v>1.5</v>
      </c>
      <c r="N94" s="5">
        <v>10</v>
      </c>
      <c r="O94" s="5">
        <f t="shared" si="429"/>
        <v>15280</v>
      </c>
      <c r="P94" s="5">
        <f t="shared" si="430"/>
        <v>84000000</v>
      </c>
      <c r="Q94" s="5">
        <f t="shared" si="431"/>
        <v>1400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70011</v>
      </c>
      <c r="X94" s="6" t="s">
        <v>179</v>
      </c>
      <c r="Y94" s="5">
        <v>300</v>
      </c>
      <c r="Z94" s="5">
        <v>1</v>
      </c>
      <c r="AA94" s="5">
        <v>8293824</v>
      </c>
      <c r="AB94" s="16" t="s">
        <v>111</v>
      </c>
      <c r="AC94" s="7" t="s">
        <v>112</v>
      </c>
      <c r="AD94" s="7" t="s">
        <v>112</v>
      </c>
      <c r="AE94" s="7" t="s">
        <v>112</v>
      </c>
      <c r="AF94" s="6" t="s">
        <v>113</v>
      </c>
      <c r="AG94" s="26" t="str">
        <f t="shared" ref="AG94" si="622">CM$4</f>
        <v>4,33,28,33,6,4,33,28,33,6</v>
      </c>
      <c r="AH94" s="26" t="str">
        <f t="shared" ref="AH94" si="623">CN$4</f>
        <v>0,8,0,8,1,0,8,0,8,1</v>
      </c>
      <c r="AI94" s="26" t="str">
        <f t="shared" ref="AI94" si="624">CO$4</f>
        <v>0,0,0,0,1,0,0,0,0,1</v>
      </c>
      <c r="AJ94" s="26" t="str">
        <f t="shared" ref="AJ94" si="625">CP$4</f>
        <v>0,0,0,0,5,0,0,0,0,5</v>
      </c>
      <c r="AK94" s="26" t="str">
        <f t="shared" ref="AK94" si="626">CQ$4</f>
        <v>100,1,1000,2,5,200,1,1000,2,5</v>
      </c>
      <c r="AL94" s="26" t="str">
        <f t="shared" ref="AL94" si="627">CR$4</f>
        <v>5,5,5,5,5,5,5,5,5,5</v>
      </c>
      <c r="AM94" s="7">
        <v>2001</v>
      </c>
      <c r="AO94">
        <f t="shared" ref="AO94" si="628">AQ94*100+1</f>
        <v>1101</v>
      </c>
      <c r="AP94">
        <v>90</v>
      </c>
      <c r="AQ94">
        <f t="shared" si="439"/>
        <v>11</v>
      </c>
      <c r="AR94" s="17">
        <v>7</v>
      </c>
      <c r="AS94" s="17">
        <f t="shared" si="520"/>
        <v>90</v>
      </c>
      <c r="AT94" s="17">
        <v>6</v>
      </c>
      <c r="AU94">
        <f t="shared" si="440"/>
        <v>22</v>
      </c>
      <c r="AV94">
        <v>150</v>
      </c>
      <c r="AW94">
        <f t="shared" si="441"/>
        <v>15280.128000000001</v>
      </c>
      <c r="AX94">
        <f t="shared" si="570"/>
        <v>84000000</v>
      </c>
      <c r="AY94">
        <f t="shared" si="442"/>
        <v>1400</v>
      </c>
      <c r="AZ94">
        <f t="shared" si="443"/>
        <v>2800</v>
      </c>
      <c r="BA94">
        <f t="shared" si="444"/>
        <v>19200</v>
      </c>
      <c r="BB94">
        <f t="shared" si="445"/>
        <v>700</v>
      </c>
      <c r="BC94">
        <f t="shared" si="571"/>
        <v>84000000</v>
      </c>
      <c r="BD94">
        <f t="shared" si="446"/>
        <v>0.29411764705882354</v>
      </c>
      <c r="BE94" s="27">
        <f t="shared" si="572"/>
        <v>20991600.000000004</v>
      </c>
      <c r="BF94" s="30">
        <f t="shared" si="447"/>
        <v>0.32639999999999997</v>
      </c>
      <c r="BG94" s="27"/>
      <c r="BH94" s="27"/>
      <c r="BI94" s="27"/>
      <c r="CA94" s="20">
        <f t="shared" si="448"/>
        <v>150</v>
      </c>
      <c r="CB94" s="20">
        <f t="shared" si="449"/>
        <v>15000</v>
      </c>
    </row>
    <row r="95" spans="1:91" x14ac:dyDescent="0.15">
      <c r="A95">
        <v>1102</v>
      </c>
      <c r="B95" s="3" t="s">
        <v>115</v>
      </c>
      <c r="C95" s="4" t="s">
        <v>109</v>
      </c>
      <c r="D95" s="6" t="s">
        <v>110</v>
      </c>
      <c r="E95" s="5">
        <v>3</v>
      </c>
      <c r="F95" s="7" t="s">
        <v>142</v>
      </c>
      <c r="G95" s="5">
        <v>3</v>
      </c>
      <c r="H95" s="7" t="s">
        <v>188</v>
      </c>
      <c r="I95" s="5">
        <v>0</v>
      </c>
      <c r="J95" s="5">
        <v>0</v>
      </c>
      <c r="K95">
        <v>2</v>
      </c>
      <c r="L95">
        <v>1.5</v>
      </c>
      <c r="M95" s="5">
        <v>1.5</v>
      </c>
      <c r="N95" s="5">
        <v>10</v>
      </c>
      <c r="O95" s="5">
        <f t="shared" si="429"/>
        <v>16044</v>
      </c>
      <c r="P95" s="5">
        <f t="shared" si="430"/>
        <v>88200000</v>
      </c>
      <c r="Q95" s="5">
        <f t="shared" si="431"/>
        <v>1470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70021</v>
      </c>
      <c r="X95" s="6" t="s">
        <v>180</v>
      </c>
      <c r="Y95" s="5">
        <v>300</v>
      </c>
      <c r="Z95" s="5">
        <v>1</v>
      </c>
      <c r="AA95" s="5">
        <v>3855600</v>
      </c>
      <c r="AB95" s="16" t="s">
        <v>111</v>
      </c>
      <c r="AC95" s="7" t="s">
        <v>112</v>
      </c>
      <c r="AD95" s="7" t="s">
        <v>112</v>
      </c>
      <c r="AE95" s="7" t="s">
        <v>112</v>
      </c>
      <c r="AF95" s="6" t="s">
        <v>113</v>
      </c>
      <c r="AG95" s="26" t="str">
        <f t="shared" ref="AG95" si="629">CM$5</f>
        <v>4,33,28,33,6,4,33,28,33,6</v>
      </c>
      <c r="AH95" s="26" t="str">
        <f t="shared" ref="AH95" si="630">CN$5</f>
        <v>0,7,0,7,1,0,7,0,7,1</v>
      </c>
      <c r="AI95" s="26" t="str">
        <f t="shared" ref="AI95" si="631">CO$5</f>
        <v>0,0,0,0,1,0,0,0,0,1</v>
      </c>
      <c r="AJ95" s="26" t="str">
        <f t="shared" ref="AJ95" si="632">CP$5</f>
        <v>0,0,0,0,5,0,0,0,0,5</v>
      </c>
      <c r="AK95" s="26" t="str">
        <f t="shared" ref="AK95" si="633">CQ$5</f>
        <v>100,1,1000,2,5,200,1,1000,2,5</v>
      </c>
      <c r="AL95" s="26" t="str">
        <f t="shared" ref="AL95" si="634">CR$5</f>
        <v>5,5,5,5,5,5,5,5,5,5</v>
      </c>
      <c r="AM95" s="7">
        <v>2001</v>
      </c>
      <c r="AO95">
        <f t="shared" ref="AO95" si="635">AQ95*100+2</f>
        <v>1102</v>
      </c>
      <c r="AP95">
        <v>91</v>
      </c>
      <c r="AQ95">
        <f t="shared" si="439"/>
        <v>11</v>
      </c>
      <c r="AR95" s="17">
        <v>7</v>
      </c>
      <c r="AS95" s="17">
        <f t="shared" si="520"/>
        <v>95</v>
      </c>
      <c r="AT95" s="17">
        <v>6</v>
      </c>
      <c r="AU95">
        <f t="shared" si="440"/>
        <v>22</v>
      </c>
      <c r="AV95">
        <v>150</v>
      </c>
      <c r="AW95">
        <f t="shared" si="441"/>
        <v>16044.134400000001</v>
      </c>
      <c r="AX95">
        <f t="shared" si="570"/>
        <v>88200000</v>
      </c>
      <c r="AY95">
        <f t="shared" si="442"/>
        <v>1470</v>
      </c>
      <c r="AZ95">
        <f t="shared" si="443"/>
        <v>2940</v>
      </c>
      <c r="BA95">
        <f t="shared" si="444"/>
        <v>20160</v>
      </c>
      <c r="BB95">
        <f t="shared" si="445"/>
        <v>735</v>
      </c>
      <c r="BC95">
        <f t="shared" si="571"/>
        <v>88200000</v>
      </c>
      <c r="BD95">
        <f t="shared" si="446"/>
        <v>0.29411764705882354</v>
      </c>
      <c r="BE95" s="27">
        <f t="shared" si="572"/>
        <v>23143239.000000004</v>
      </c>
      <c r="BF95" s="30">
        <f t="shared" si="447"/>
        <v>0.32639999999999997</v>
      </c>
      <c r="BG95" s="27"/>
      <c r="BH95" s="27"/>
      <c r="BI95" s="27"/>
      <c r="CA95" s="20">
        <f t="shared" si="448"/>
        <v>150</v>
      </c>
      <c r="CB95" s="20">
        <f t="shared" si="449"/>
        <v>15000</v>
      </c>
    </row>
    <row r="96" spans="1:91" x14ac:dyDescent="0.15">
      <c r="A96">
        <v>1103</v>
      </c>
      <c r="B96" s="3" t="s">
        <v>117</v>
      </c>
      <c r="C96" s="4" t="s">
        <v>109</v>
      </c>
      <c r="D96" s="4" t="s">
        <v>110</v>
      </c>
      <c r="E96" s="5">
        <v>1</v>
      </c>
      <c r="F96" s="7" t="s">
        <v>144</v>
      </c>
      <c r="G96" s="5">
        <v>3</v>
      </c>
      <c r="H96" s="7" t="s">
        <v>189</v>
      </c>
      <c r="I96" s="5">
        <v>0</v>
      </c>
      <c r="J96" s="2">
        <v>0</v>
      </c>
      <c r="K96">
        <v>6</v>
      </c>
      <c r="L96">
        <v>1.5</v>
      </c>
      <c r="M96" s="5">
        <v>1.5</v>
      </c>
      <c r="N96" s="5">
        <v>10</v>
      </c>
      <c r="O96" s="5">
        <f t="shared" si="429"/>
        <v>16808</v>
      </c>
      <c r="P96" s="5">
        <f t="shared" si="430"/>
        <v>92400000</v>
      </c>
      <c r="Q96" s="5">
        <f t="shared" si="431"/>
        <v>1540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70031</v>
      </c>
      <c r="X96" s="6" t="s">
        <v>181</v>
      </c>
      <c r="Y96" s="5">
        <v>300</v>
      </c>
      <c r="Z96" s="5">
        <v>1</v>
      </c>
      <c r="AA96" s="5">
        <v>4386816</v>
      </c>
      <c r="AB96" s="16" t="s">
        <v>111</v>
      </c>
      <c r="AC96" s="7" t="s">
        <v>112</v>
      </c>
      <c r="AD96" s="7" t="s">
        <v>112</v>
      </c>
      <c r="AE96" s="7" t="s">
        <v>112</v>
      </c>
      <c r="AF96" s="6" t="s">
        <v>113</v>
      </c>
      <c r="AG96" s="26" t="str">
        <f t="shared" ref="AG96" si="636">CM$6</f>
        <v>4,28,6,28,6,4,28,6,28,6</v>
      </c>
      <c r="AH96" s="26" t="str">
        <f t="shared" ref="AH96" si="637">CN$6</f>
        <v>0,0,1,0,1,0,0,1,0,1</v>
      </c>
      <c r="AI96" s="26" t="str">
        <f t="shared" ref="AI96" si="638">CO$6</f>
        <v>0,0,0,0,1,0,0,0,0,1</v>
      </c>
      <c r="AJ96" s="26" t="str">
        <f t="shared" ref="AJ96" si="639">CP$6</f>
        <v>0,0,5,0,5,0,0,5,0,5</v>
      </c>
      <c r="AK96" s="26" t="str">
        <f t="shared" ref="AK96" si="640">CQ$6</f>
        <v>100,1000,5,1500,5,200,1000,5,1500,5</v>
      </c>
      <c r="AL96" s="26" t="str">
        <f t="shared" ref="AL96" si="641">CR$6</f>
        <v>5,5,5,5,5,5,5,5,5,5</v>
      </c>
      <c r="AM96" s="7">
        <v>2001</v>
      </c>
      <c r="AO96">
        <f t="shared" ref="AO96" si="642">AQ96*100+3</f>
        <v>1103</v>
      </c>
      <c r="AP96">
        <v>92</v>
      </c>
      <c r="AQ96">
        <f t="shared" si="439"/>
        <v>11</v>
      </c>
      <c r="AR96" s="17">
        <v>7</v>
      </c>
      <c r="AS96" s="17">
        <f t="shared" si="520"/>
        <v>100</v>
      </c>
      <c r="AT96" s="17">
        <v>6</v>
      </c>
      <c r="AU96">
        <f t="shared" si="440"/>
        <v>22</v>
      </c>
      <c r="AV96">
        <v>150</v>
      </c>
      <c r="AW96">
        <f t="shared" si="441"/>
        <v>16808.140800000001</v>
      </c>
      <c r="AX96">
        <f t="shared" si="570"/>
        <v>92400000</v>
      </c>
      <c r="AY96">
        <f t="shared" si="442"/>
        <v>1540</v>
      </c>
      <c r="AZ96">
        <f t="shared" si="443"/>
        <v>3080</v>
      </c>
      <c r="BA96">
        <f t="shared" si="444"/>
        <v>21120</v>
      </c>
      <c r="BB96">
        <f t="shared" si="445"/>
        <v>770</v>
      </c>
      <c r="BC96">
        <f t="shared" si="571"/>
        <v>92400000</v>
      </c>
      <c r="BD96">
        <f t="shared" si="446"/>
        <v>0.29411764705882354</v>
      </c>
      <c r="BE96" s="27">
        <f t="shared" si="572"/>
        <v>25399836.000000007</v>
      </c>
      <c r="BF96" s="30">
        <f t="shared" si="447"/>
        <v>0.32639999999999997</v>
      </c>
      <c r="BG96" s="27"/>
      <c r="BH96" s="27"/>
      <c r="BI96" s="27"/>
      <c r="CA96" s="20">
        <f t="shared" si="448"/>
        <v>150</v>
      </c>
      <c r="CB96" s="20">
        <f t="shared" si="449"/>
        <v>15000</v>
      </c>
    </row>
    <row r="97" spans="1:80" x14ac:dyDescent="0.15">
      <c r="A97">
        <v>1104</v>
      </c>
      <c r="B97" s="3" t="s">
        <v>119</v>
      </c>
      <c r="C97" s="4" t="s">
        <v>109</v>
      </c>
      <c r="D97" s="6" t="s">
        <v>120</v>
      </c>
      <c r="E97" s="5">
        <v>3</v>
      </c>
      <c r="F97" s="7" t="s">
        <v>145</v>
      </c>
      <c r="G97" s="5">
        <v>3</v>
      </c>
      <c r="H97" s="7" t="s">
        <v>190</v>
      </c>
      <c r="I97" s="5">
        <v>0</v>
      </c>
      <c r="J97" s="5">
        <v>0</v>
      </c>
      <c r="K97">
        <v>2</v>
      </c>
      <c r="L97">
        <v>1.5</v>
      </c>
      <c r="M97" s="5">
        <v>1.5</v>
      </c>
      <c r="N97" s="5">
        <v>10</v>
      </c>
      <c r="O97" s="5">
        <f t="shared" si="429"/>
        <v>17572</v>
      </c>
      <c r="P97" s="5">
        <f t="shared" si="430"/>
        <v>96600000</v>
      </c>
      <c r="Q97" s="5">
        <f t="shared" si="431"/>
        <v>1610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70041</v>
      </c>
      <c r="X97" s="6" t="s">
        <v>182</v>
      </c>
      <c r="Y97" s="5">
        <v>300</v>
      </c>
      <c r="Z97" s="5">
        <v>1</v>
      </c>
      <c r="AA97" s="5">
        <v>4952304</v>
      </c>
      <c r="AB97" s="16" t="s">
        <v>111</v>
      </c>
      <c r="AC97" s="7" t="s">
        <v>112</v>
      </c>
      <c r="AD97" s="7" t="s">
        <v>112</v>
      </c>
      <c r="AE97" s="7" t="s">
        <v>112</v>
      </c>
      <c r="AF97" s="6" t="s">
        <v>113</v>
      </c>
      <c r="AG97" s="26" t="str">
        <f t="shared" ref="AG97" si="643">CM$7</f>
        <v>4,14,28,14,6,4,14,28,14,6</v>
      </c>
      <c r="AH97" s="26" t="str">
        <f t="shared" ref="AH97" si="644">CN$7</f>
        <v>0,0,0,0,1,0,0,0,0,1</v>
      </c>
      <c r="AI97" s="26" t="str">
        <f t="shared" ref="AI97" si="645">CO$7</f>
        <v>0,0,0,0,1,0,0,0,0,1</v>
      </c>
      <c r="AJ97" s="26" t="str">
        <f t="shared" ref="AJ97" si="646">CP$7</f>
        <v>0,0,0,0,5,0,0,0,0,5</v>
      </c>
      <c r="AK97" s="26" t="str">
        <f t="shared" ref="AK97" si="647">CQ$7</f>
        <v>100,1,1000,2,5,200,1,1000,2,5</v>
      </c>
      <c r="AL97" s="26" t="str">
        <f t="shared" ref="AL97" si="648">CR$7</f>
        <v>5,5,5,5,5,5,5,5,5,5</v>
      </c>
      <c r="AM97" s="7">
        <v>2001</v>
      </c>
      <c r="AO97">
        <f t="shared" ref="AO97" si="649">AQ97*100+4</f>
        <v>1104</v>
      </c>
      <c r="AP97">
        <v>93</v>
      </c>
      <c r="AQ97">
        <f t="shared" si="439"/>
        <v>11</v>
      </c>
      <c r="AR97" s="17">
        <v>7</v>
      </c>
      <c r="AS97" s="17">
        <f t="shared" si="520"/>
        <v>105</v>
      </c>
      <c r="AT97" s="17">
        <v>6</v>
      </c>
      <c r="AU97">
        <f t="shared" si="440"/>
        <v>22</v>
      </c>
      <c r="AV97">
        <v>150</v>
      </c>
      <c r="AW97">
        <f t="shared" si="441"/>
        <v>17572.147199999999</v>
      </c>
      <c r="AX97">
        <f t="shared" si="570"/>
        <v>96600000</v>
      </c>
      <c r="AY97">
        <f t="shared" si="442"/>
        <v>1610</v>
      </c>
      <c r="AZ97">
        <f t="shared" si="443"/>
        <v>3220</v>
      </c>
      <c r="BA97">
        <f t="shared" si="444"/>
        <v>22080</v>
      </c>
      <c r="BB97">
        <f t="shared" si="445"/>
        <v>805</v>
      </c>
      <c r="BC97">
        <f t="shared" si="571"/>
        <v>96600000</v>
      </c>
      <c r="BD97">
        <f t="shared" si="446"/>
        <v>0.29411764705882354</v>
      </c>
      <c r="BE97" s="27">
        <f t="shared" si="572"/>
        <v>27761391.000000007</v>
      </c>
      <c r="BF97" s="30">
        <f t="shared" si="447"/>
        <v>0.32639999999999997</v>
      </c>
      <c r="BG97" s="27"/>
      <c r="BH97" s="27"/>
      <c r="BI97" s="27"/>
      <c r="CA97" s="20">
        <f t="shared" si="448"/>
        <v>150</v>
      </c>
      <c r="CB97" s="20">
        <f t="shared" si="449"/>
        <v>15000</v>
      </c>
    </row>
    <row r="98" spans="1:80" x14ac:dyDescent="0.15">
      <c r="A98">
        <v>1105</v>
      </c>
      <c r="B98" s="3" t="s">
        <v>122</v>
      </c>
      <c r="C98" s="4" t="s">
        <v>109</v>
      </c>
      <c r="D98" s="4" t="s">
        <v>110</v>
      </c>
      <c r="E98" s="5">
        <v>2</v>
      </c>
      <c r="F98" s="7" t="s">
        <v>146</v>
      </c>
      <c r="G98" s="5">
        <v>3</v>
      </c>
      <c r="H98" s="7" t="s">
        <v>191</v>
      </c>
      <c r="I98" s="5">
        <v>0</v>
      </c>
      <c r="J98" s="7" t="s">
        <v>148</v>
      </c>
      <c r="K98">
        <v>6</v>
      </c>
      <c r="L98">
        <v>1.5</v>
      </c>
      <c r="M98" s="5">
        <v>1.5</v>
      </c>
      <c r="N98" s="5">
        <v>10</v>
      </c>
      <c r="O98" s="5">
        <f t="shared" si="429"/>
        <v>18336</v>
      </c>
      <c r="P98" s="5">
        <f t="shared" si="430"/>
        <v>100800000</v>
      </c>
      <c r="Q98" s="5">
        <f t="shared" si="431"/>
        <v>1680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70051</v>
      </c>
      <c r="X98" s="6" t="s">
        <v>183</v>
      </c>
      <c r="Y98" s="5">
        <v>300</v>
      </c>
      <c r="Z98" s="5">
        <v>1</v>
      </c>
      <c r="AA98" s="5">
        <v>5552064</v>
      </c>
      <c r="AB98" s="16" t="s">
        <v>111</v>
      </c>
      <c r="AC98" s="7" t="s">
        <v>112</v>
      </c>
      <c r="AD98" s="7" t="s">
        <v>112</v>
      </c>
      <c r="AE98" s="7" t="s">
        <v>112</v>
      </c>
      <c r="AF98" s="6" t="s">
        <v>113</v>
      </c>
      <c r="AG98" s="26" t="str">
        <f t="shared" ref="AG98" si="650">CM$8</f>
        <v>4,19,28,19,6,4,19,28,19,6</v>
      </c>
      <c r="AH98" s="26" t="str">
        <f t="shared" ref="AH98" si="651">CN$8</f>
        <v>0,0,0,0,1,0,0,0,0,1</v>
      </c>
      <c r="AI98" s="26" t="str">
        <f t="shared" ref="AI98" si="652">CO$8</f>
        <v>0,0,0,0,1,0,0,0,0,1</v>
      </c>
      <c r="AJ98" s="26" t="str">
        <f t="shared" ref="AJ98" si="653">CP$8</f>
        <v>0,0,0,0,5,0,0,0,0,5</v>
      </c>
      <c r="AK98" s="26" t="str">
        <f t="shared" ref="AK98" si="654">CQ$8</f>
        <v>200,100,1000,200,5,200,100,1000,200,5</v>
      </c>
      <c r="AL98" s="26" t="str">
        <f t="shared" ref="AL98" si="655">CR$8</f>
        <v>5,5,5,5,5,5,5,5,5,5</v>
      </c>
      <c r="AM98" s="7">
        <v>2001</v>
      </c>
      <c r="AO98">
        <f t="shared" ref="AO98" si="656">AQ98*100+5</f>
        <v>1105</v>
      </c>
      <c r="AP98">
        <v>94</v>
      </c>
      <c r="AQ98">
        <f t="shared" si="439"/>
        <v>11</v>
      </c>
      <c r="AR98" s="17">
        <v>7</v>
      </c>
      <c r="AS98" s="17">
        <f t="shared" si="520"/>
        <v>110</v>
      </c>
      <c r="AT98" s="17">
        <v>6</v>
      </c>
      <c r="AU98">
        <f t="shared" si="440"/>
        <v>22</v>
      </c>
      <c r="AV98">
        <v>150</v>
      </c>
      <c r="AW98">
        <f t="shared" si="441"/>
        <v>18336.153600000001</v>
      </c>
      <c r="AX98">
        <f t="shared" si="570"/>
        <v>100800000</v>
      </c>
      <c r="AY98">
        <f t="shared" si="442"/>
        <v>1680</v>
      </c>
      <c r="AZ98">
        <f t="shared" si="443"/>
        <v>3360</v>
      </c>
      <c r="BA98">
        <f t="shared" si="444"/>
        <v>23040</v>
      </c>
      <c r="BB98">
        <f t="shared" si="445"/>
        <v>840</v>
      </c>
      <c r="BC98">
        <f t="shared" si="571"/>
        <v>100800000</v>
      </c>
      <c r="BD98">
        <f t="shared" si="446"/>
        <v>0.29411764705882354</v>
      </c>
      <c r="BE98" s="27">
        <f t="shared" si="572"/>
        <v>30227904.000000007</v>
      </c>
      <c r="BF98" s="30">
        <f t="shared" si="447"/>
        <v>0.32639999999999997</v>
      </c>
      <c r="BG98" s="27"/>
      <c r="BH98" s="27"/>
      <c r="BI98" s="27"/>
      <c r="CA98" s="20">
        <f t="shared" si="448"/>
        <v>150</v>
      </c>
      <c r="CB98" s="20">
        <f t="shared" si="449"/>
        <v>15000</v>
      </c>
    </row>
    <row r="99" spans="1:80" x14ac:dyDescent="0.15">
      <c r="A99">
        <v>1106</v>
      </c>
      <c r="B99" s="3" t="s">
        <v>124</v>
      </c>
      <c r="C99" s="4" t="s">
        <v>109</v>
      </c>
      <c r="D99" s="6" t="s">
        <v>120</v>
      </c>
      <c r="E99" s="5">
        <v>1</v>
      </c>
      <c r="F99" s="7" t="s">
        <v>147</v>
      </c>
      <c r="G99" s="5">
        <v>3</v>
      </c>
      <c r="H99" s="7" t="s">
        <v>192</v>
      </c>
      <c r="I99" s="5">
        <v>0</v>
      </c>
      <c r="J99" s="7" t="s">
        <v>149</v>
      </c>
      <c r="K99">
        <v>6</v>
      </c>
      <c r="L99">
        <v>1.5</v>
      </c>
      <c r="M99" s="5">
        <v>1.5</v>
      </c>
      <c r="N99" s="5">
        <v>10</v>
      </c>
      <c r="O99" s="5">
        <f t="shared" si="429"/>
        <v>19100</v>
      </c>
      <c r="P99" s="5">
        <f t="shared" si="430"/>
        <v>105000000</v>
      </c>
      <c r="Q99" s="5">
        <f t="shared" si="431"/>
        <v>1750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70061</v>
      </c>
      <c r="X99" s="6" t="s">
        <v>184</v>
      </c>
      <c r="Y99" s="5">
        <v>300</v>
      </c>
      <c r="Z99" s="5">
        <v>1</v>
      </c>
      <c r="AA99" s="5">
        <v>6186096</v>
      </c>
      <c r="AB99" s="16" t="s">
        <v>111</v>
      </c>
      <c r="AC99" s="7" t="s">
        <v>112</v>
      </c>
      <c r="AD99" s="7" t="s">
        <v>112</v>
      </c>
      <c r="AE99" s="7" t="s">
        <v>112</v>
      </c>
      <c r="AF99" s="6" t="s">
        <v>113</v>
      </c>
      <c r="AG99" s="26" t="str">
        <f t="shared" ref="AG99" si="657">CM$9</f>
        <v>4,33,28,33,6,4,33,28,33,6</v>
      </c>
      <c r="AH99" s="26" t="str">
        <f t="shared" ref="AH99" si="658">CN$9</f>
        <v>0,6,0,6,1,0,6,0,6,1</v>
      </c>
      <c r="AI99" s="26" t="str">
        <f t="shared" ref="AI99" si="659">CO$9</f>
        <v>0,0,0,0,1,0,0,0,0,1</v>
      </c>
      <c r="AJ99" s="26" t="str">
        <f t="shared" ref="AJ99" si="660">CP$9</f>
        <v>0,0,0,0,5,0,0,0,0,5</v>
      </c>
      <c r="AK99" s="26" t="str">
        <f t="shared" ref="AK99" si="661">CQ$9</f>
        <v>200,1,1000,2,5,200,1,1000,2,5</v>
      </c>
      <c r="AL99" s="26" t="str">
        <f t="shared" ref="AL99" si="662">CR$9</f>
        <v>5,5,5,5,5,5,5,5,5,5</v>
      </c>
      <c r="AM99" s="7">
        <v>2001</v>
      </c>
      <c r="AO99">
        <f t="shared" ref="AO99" si="663">AQ99*100+6</f>
        <v>1106</v>
      </c>
      <c r="AP99">
        <v>95</v>
      </c>
      <c r="AQ99">
        <f t="shared" si="439"/>
        <v>11</v>
      </c>
      <c r="AR99" s="17">
        <v>7</v>
      </c>
      <c r="AS99" s="17">
        <f t="shared" si="520"/>
        <v>115</v>
      </c>
      <c r="AT99" s="17">
        <v>6</v>
      </c>
      <c r="AU99">
        <f t="shared" si="440"/>
        <v>22</v>
      </c>
      <c r="AV99">
        <v>150</v>
      </c>
      <c r="AW99">
        <f t="shared" si="441"/>
        <v>19100.16</v>
      </c>
      <c r="AX99">
        <f t="shared" si="570"/>
        <v>105000000</v>
      </c>
      <c r="AY99">
        <f t="shared" si="442"/>
        <v>1750</v>
      </c>
      <c r="AZ99">
        <f t="shared" si="443"/>
        <v>3500</v>
      </c>
      <c r="BA99">
        <f t="shared" si="444"/>
        <v>24000</v>
      </c>
      <c r="BB99">
        <f t="shared" si="445"/>
        <v>875</v>
      </c>
      <c r="BC99">
        <f t="shared" si="571"/>
        <v>105000000</v>
      </c>
      <c r="BD99">
        <f t="shared" si="446"/>
        <v>0.29411764705882354</v>
      </c>
      <c r="BE99" s="27">
        <f t="shared" si="572"/>
        <v>32799375.000000007</v>
      </c>
      <c r="BF99" s="30">
        <f t="shared" si="447"/>
        <v>0.32639999999999997</v>
      </c>
      <c r="BG99" s="27"/>
      <c r="BH99" s="27"/>
      <c r="BI99" s="27"/>
      <c r="CA99" s="20">
        <f t="shared" si="448"/>
        <v>150</v>
      </c>
      <c r="CB99" s="20">
        <f t="shared" si="449"/>
        <v>15000</v>
      </c>
    </row>
    <row r="100" spans="1:80" x14ac:dyDescent="0.15">
      <c r="A100">
        <v>1107</v>
      </c>
      <c r="B100" s="3" t="s">
        <v>126</v>
      </c>
      <c r="C100" s="4" t="s">
        <v>109</v>
      </c>
      <c r="D100" s="4" t="s">
        <v>110</v>
      </c>
      <c r="E100" s="5">
        <v>2</v>
      </c>
      <c r="F100" s="7" t="s">
        <v>143</v>
      </c>
      <c r="G100" s="5">
        <v>3</v>
      </c>
      <c r="H100" s="7" t="s">
        <v>193</v>
      </c>
      <c r="I100" s="5">
        <v>0</v>
      </c>
      <c r="J100" s="5">
        <v>0</v>
      </c>
      <c r="K100">
        <v>2</v>
      </c>
      <c r="L100">
        <v>1.5</v>
      </c>
      <c r="M100" s="5">
        <v>1.5</v>
      </c>
      <c r="N100" s="5">
        <v>10</v>
      </c>
      <c r="O100" s="5">
        <f t="shared" si="429"/>
        <v>19864</v>
      </c>
      <c r="P100" s="5">
        <f t="shared" si="430"/>
        <v>109200000</v>
      </c>
      <c r="Q100" s="5">
        <f t="shared" si="431"/>
        <v>1820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70071</v>
      </c>
      <c r="X100" s="6" t="s">
        <v>185</v>
      </c>
      <c r="Y100" s="5">
        <v>300</v>
      </c>
      <c r="Z100" s="5">
        <v>1</v>
      </c>
      <c r="AA100" s="5">
        <v>6854400</v>
      </c>
      <c r="AB100" s="16" t="s">
        <v>111</v>
      </c>
      <c r="AC100" s="7" t="s">
        <v>112</v>
      </c>
      <c r="AD100" s="7" t="s">
        <v>112</v>
      </c>
      <c r="AE100" s="7" t="s">
        <v>112</v>
      </c>
      <c r="AF100" s="6" t="s">
        <v>113</v>
      </c>
      <c r="AG100" s="26" t="str">
        <f t="shared" ref="AG100" si="664">CM$10</f>
        <v>4,14,28,14,6,4,14,28,14,6</v>
      </c>
      <c r="AH100" s="26" t="str">
        <f t="shared" ref="AH100" si="665">CN$10</f>
        <v>0,0,0,0,1,0,0,0,0,1</v>
      </c>
      <c r="AI100" s="26" t="str">
        <f t="shared" ref="AI100" si="666">CO$10</f>
        <v>0,0,0,0,1,0,0,0,0,1</v>
      </c>
      <c r="AJ100" s="26" t="str">
        <f t="shared" ref="AJ100" si="667">CP$10</f>
        <v>0,0,0,0,5,0,0,0,0,5</v>
      </c>
      <c r="AK100" s="26" t="str">
        <f t="shared" ref="AK100" si="668">CQ$10</f>
        <v>200,1,1000,2,5,200,1,1000,2,5</v>
      </c>
      <c r="AL100" s="26" t="str">
        <f t="shared" ref="AL100" si="669">CR$10</f>
        <v>5,5,5,5,5,5,5,5,5,5</v>
      </c>
      <c r="AM100" s="7">
        <v>2001</v>
      </c>
      <c r="AO100">
        <f t="shared" ref="AO100" si="670">AQ100*100+7</f>
        <v>1107</v>
      </c>
      <c r="AP100">
        <v>96</v>
      </c>
      <c r="AQ100">
        <f t="shared" si="439"/>
        <v>11</v>
      </c>
      <c r="AR100" s="17">
        <v>7</v>
      </c>
      <c r="AS100" s="17">
        <f t="shared" si="520"/>
        <v>120</v>
      </c>
      <c r="AT100" s="17">
        <v>6</v>
      </c>
      <c r="AU100">
        <f t="shared" si="440"/>
        <v>22</v>
      </c>
      <c r="AV100">
        <v>150</v>
      </c>
      <c r="AW100">
        <f t="shared" si="441"/>
        <v>19864.166400000002</v>
      </c>
      <c r="AX100">
        <f t="shared" si="570"/>
        <v>109200000</v>
      </c>
      <c r="AY100">
        <f t="shared" si="442"/>
        <v>1820</v>
      </c>
      <c r="AZ100">
        <f t="shared" si="443"/>
        <v>3640</v>
      </c>
      <c r="BA100">
        <f t="shared" si="444"/>
        <v>24960</v>
      </c>
      <c r="BB100">
        <f t="shared" si="445"/>
        <v>910</v>
      </c>
      <c r="BC100">
        <f t="shared" si="571"/>
        <v>109200000</v>
      </c>
      <c r="BD100">
        <f t="shared" si="446"/>
        <v>0.29411764705882354</v>
      </c>
      <c r="BE100" s="27">
        <f t="shared" si="572"/>
        <v>35475804.000000007</v>
      </c>
      <c r="BF100" s="30">
        <f t="shared" si="447"/>
        <v>0.32639999999999997</v>
      </c>
      <c r="BG100" s="27"/>
      <c r="BH100" s="27"/>
      <c r="BI100" s="27"/>
      <c r="CA100" s="20">
        <f t="shared" si="448"/>
        <v>150</v>
      </c>
      <c r="CB100" s="20">
        <f t="shared" si="449"/>
        <v>15000</v>
      </c>
    </row>
    <row r="101" spans="1:80" x14ac:dyDescent="0.15">
      <c r="A101">
        <v>1108</v>
      </c>
      <c r="B101" s="3" t="s">
        <v>128</v>
      </c>
      <c r="C101" s="4" t="s">
        <v>109</v>
      </c>
      <c r="D101" s="4" t="s">
        <v>110</v>
      </c>
      <c r="E101" s="5">
        <v>5</v>
      </c>
      <c r="F101" s="7" t="s">
        <v>129</v>
      </c>
      <c r="G101" s="5">
        <v>2</v>
      </c>
      <c r="H101" s="7" t="s">
        <v>130</v>
      </c>
      <c r="I101" s="5">
        <v>0</v>
      </c>
      <c r="J101" s="5">
        <v>0</v>
      </c>
      <c r="K101">
        <v>2</v>
      </c>
      <c r="L101">
        <v>1.5</v>
      </c>
      <c r="M101" s="5">
        <v>1.5</v>
      </c>
      <c r="N101" s="5">
        <v>10</v>
      </c>
      <c r="O101" s="5">
        <f t="shared" si="429"/>
        <v>20628</v>
      </c>
      <c r="P101" s="5">
        <f t="shared" si="430"/>
        <v>113400000</v>
      </c>
      <c r="Q101" s="5">
        <f t="shared" si="431"/>
        <v>1890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70081</v>
      </c>
      <c r="X101" s="6" t="s">
        <v>186</v>
      </c>
      <c r="Y101" s="5">
        <v>300</v>
      </c>
      <c r="Z101" s="5">
        <v>1</v>
      </c>
      <c r="AA101" s="5">
        <v>7556976</v>
      </c>
      <c r="AB101" s="16" t="s">
        <v>111</v>
      </c>
      <c r="AC101" s="7" t="s">
        <v>112</v>
      </c>
      <c r="AD101" s="7" t="s">
        <v>112</v>
      </c>
      <c r="AE101" s="7" t="s">
        <v>112</v>
      </c>
      <c r="AF101" s="6" t="s">
        <v>113</v>
      </c>
      <c r="AG101" s="26" t="str">
        <f t="shared" ref="AG101" si="671">CM$11</f>
        <v>4,28,6,28,6,4,28,6,28,6</v>
      </c>
      <c r="AH101" s="26" t="str">
        <f t="shared" ref="AH101" si="672">CN$11</f>
        <v>0,0,1,0,1,0,0,1,0,1</v>
      </c>
      <c r="AI101" s="26" t="str">
        <f t="shared" ref="AI101" si="673">CO$11</f>
        <v>0,0,1,0,1,0,0,1,0,1</v>
      </c>
      <c r="AJ101" s="26" t="str">
        <f t="shared" ref="AJ101" si="674">CP$11</f>
        <v>0,0,5,0,5,0,0,5,0,5</v>
      </c>
      <c r="AK101" s="26" t="str">
        <f t="shared" ref="AK101" si="675">CQ$11</f>
        <v>100,1000,5,1500,5,200,1000,5,1500,5</v>
      </c>
      <c r="AL101" s="26" t="str">
        <f t="shared" ref="AL101" si="676">CR$11</f>
        <v>5,5,5,5,5,5,5,5,5,5</v>
      </c>
      <c r="AM101" s="7">
        <v>2001</v>
      </c>
      <c r="AO101">
        <f t="shared" ref="AO101" si="677">AQ101*100+8</f>
        <v>1108</v>
      </c>
      <c r="AP101">
        <v>97</v>
      </c>
      <c r="AQ101">
        <f t="shared" si="439"/>
        <v>11</v>
      </c>
      <c r="AR101" s="17">
        <v>7</v>
      </c>
      <c r="AS101" s="17">
        <f t="shared" si="520"/>
        <v>125</v>
      </c>
      <c r="AT101" s="17">
        <v>6</v>
      </c>
      <c r="AU101">
        <f t="shared" si="440"/>
        <v>22</v>
      </c>
      <c r="AV101">
        <v>150</v>
      </c>
      <c r="AW101">
        <f t="shared" si="441"/>
        <v>20628.1728</v>
      </c>
      <c r="AX101">
        <f t="shared" si="570"/>
        <v>113400000</v>
      </c>
      <c r="AY101">
        <f t="shared" si="442"/>
        <v>1890</v>
      </c>
      <c r="AZ101">
        <f t="shared" si="443"/>
        <v>3780</v>
      </c>
      <c r="BA101">
        <f t="shared" si="444"/>
        <v>25920</v>
      </c>
      <c r="BB101">
        <f t="shared" si="445"/>
        <v>945</v>
      </c>
      <c r="BC101">
        <f t="shared" si="571"/>
        <v>113400000</v>
      </c>
      <c r="BD101">
        <f t="shared" si="446"/>
        <v>0.29411764705882354</v>
      </c>
      <c r="BE101" s="27">
        <f t="shared" si="572"/>
        <v>38257191.000000007</v>
      </c>
      <c r="BF101" s="30">
        <f t="shared" si="447"/>
        <v>0.32639999999999997</v>
      </c>
      <c r="BG101" s="27"/>
      <c r="BH101" s="27"/>
      <c r="BI101" s="27"/>
      <c r="CA101" s="20">
        <f t="shared" si="448"/>
        <v>150</v>
      </c>
      <c r="CB101" s="20">
        <f t="shared" si="449"/>
        <v>15000</v>
      </c>
    </row>
    <row r="102" spans="1:80" x14ac:dyDescent="0.15">
      <c r="A102">
        <v>1109</v>
      </c>
      <c r="B102" s="3" t="s">
        <v>132</v>
      </c>
      <c r="C102" s="4" t="s">
        <v>109</v>
      </c>
      <c r="D102" s="4" t="s">
        <v>110</v>
      </c>
      <c r="E102" s="5">
        <v>5</v>
      </c>
      <c r="F102" s="7" t="s">
        <v>140</v>
      </c>
      <c r="G102" s="5">
        <v>3</v>
      </c>
      <c r="H102" s="7" t="s">
        <v>140</v>
      </c>
      <c r="I102" s="5">
        <v>0</v>
      </c>
      <c r="J102" s="7">
        <v>0</v>
      </c>
      <c r="K102">
        <v>6</v>
      </c>
      <c r="L102">
        <v>1.5</v>
      </c>
      <c r="M102" s="5">
        <v>1.5</v>
      </c>
      <c r="N102" s="5">
        <v>10</v>
      </c>
      <c r="O102" s="5">
        <f t="shared" si="429"/>
        <v>21392</v>
      </c>
      <c r="P102" s="5">
        <f t="shared" si="430"/>
        <v>117600000</v>
      </c>
      <c r="Q102" s="5">
        <f t="shared" si="431"/>
        <v>1960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70091</v>
      </c>
      <c r="X102" s="6" t="s">
        <v>187</v>
      </c>
      <c r="Y102" s="5">
        <v>300</v>
      </c>
      <c r="Z102" s="5">
        <v>1</v>
      </c>
      <c r="AA102" s="5">
        <v>8293824</v>
      </c>
      <c r="AB102" s="16" t="s">
        <v>111</v>
      </c>
      <c r="AC102" s="7" t="s">
        <v>112</v>
      </c>
      <c r="AD102" s="7" t="s">
        <v>112</v>
      </c>
      <c r="AE102" s="7" t="s">
        <v>112</v>
      </c>
      <c r="AF102" s="6" t="s">
        <v>113</v>
      </c>
      <c r="AG102" s="26" t="str">
        <f t="shared" ref="AG102" si="678">CM$12</f>
        <v>4,33,28,33,6,4,33,28,33,6</v>
      </c>
      <c r="AH102" s="26" t="str">
        <f t="shared" ref="AH102" si="679">CN$12</f>
        <v>0,5,0,5,1,0,5,0,5,1</v>
      </c>
      <c r="AI102" s="26" t="str">
        <f t="shared" ref="AI102" si="680">CO$12</f>
        <v>0,0,0,0,1,0,0,0,0,1</v>
      </c>
      <c r="AJ102" s="26" t="str">
        <f t="shared" ref="AJ102" si="681">CP$12</f>
        <v>0,0,0,0,5,0,0,0,0,5</v>
      </c>
      <c r="AK102" s="26" t="str">
        <f t="shared" ref="AK102" si="682">CQ$12</f>
        <v>100,1,1000,2,5,200,1,1000,2,5</v>
      </c>
      <c r="AL102" s="26" t="str">
        <f t="shared" ref="AL102" si="683">CR$12</f>
        <v>5,5,5,5,5,5,5,5,5,5</v>
      </c>
      <c r="AM102" s="7">
        <v>2001</v>
      </c>
      <c r="AO102">
        <f t="shared" ref="AO102" si="684">AQ102*100+9</f>
        <v>1109</v>
      </c>
      <c r="AP102">
        <v>98</v>
      </c>
      <c r="AQ102">
        <f t="shared" si="439"/>
        <v>11</v>
      </c>
      <c r="AR102" s="17">
        <v>7</v>
      </c>
      <c r="AS102" s="17">
        <f t="shared" si="520"/>
        <v>130</v>
      </c>
      <c r="AT102" s="17">
        <v>6</v>
      </c>
      <c r="AU102">
        <f t="shared" si="440"/>
        <v>22</v>
      </c>
      <c r="AV102">
        <v>150</v>
      </c>
      <c r="AW102">
        <f t="shared" si="441"/>
        <v>21392.179199999999</v>
      </c>
      <c r="AX102">
        <f t="shared" si="570"/>
        <v>117600000</v>
      </c>
      <c r="AY102">
        <f t="shared" si="442"/>
        <v>1960</v>
      </c>
      <c r="AZ102">
        <f t="shared" si="443"/>
        <v>3920</v>
      </c>
      <c r="BA102">
        <f t="shared" si="444"/>
        <v>26880</v>
      </c>
      <c r="BB102">
        <f t="shared" si="445"/>
        <v>980</v>
      </c>
      <c r="BC102">
        <f t="shared" si="571"/>
        <v>117600000</v>
      </c>
      <c r="BD102">
        <f t="shared" si="446"/>
        <v>0.29411764705882354</v>
      </c>
      <c r="BE102" s="27">
        <f t="shared" si="572"/>
        <v>41143536.000000007</v>
      </c>
      <c r="BF102" s="30">
        <f t="shared" si="447"/>
        <v>0.32639999999999997</v>
      </c>
      <c r="BG102" s="27"/>
      <c r="BH102" s="27"/>
      <c r="BI102" s="27"/>
      <c r="CA102" s="20">
        <f t="shared" si="448"/>
        <v>150</v>
      </c>
      <c r="CB102" s="20">
        <f t="shared" si="449"/>
        <v>15000</v>
      </c>
    </row>
    <row r="103" spans="1:80" x14ac:dyDescent="0.15">
      <c r="A103">
        <v>1201</v>
      </c>
      <c r="B103" s="3" t="s">
        <v>108</v>
      </c>
      <c r="C103" s="4" t="s">
        <v>109</v>
      </c>
      <c r="D103" s="4" t="s">
        <v>110</v>
      </c>
      <c r="E103" s="5">
        <v>3</v>
      </c>
      <c r="F103" s="7" t="s">
        <v>141</v>
      </c>
      <c r="G103" s="5">
        <v>2.5</v>
      </c>
      <c r="H103" s="7" t="s">
        <v>194</v>
      </c>
      <c r="I103" s="5">
        <v>0</v>
      </c>
      <c r="J103" s="5">
        <v>0</v>
      </c>
      <c r="K103">
        <v>2</v>
      </c>
      <c r="L103">
        <v>1.5</v>
      </c>
      <c r="M103" s="5">
        <v>1.5</v>
      </c>
      <c r="N103" s="5">
        <v>10</v>
      </c>
      <c r="O103" s="5">
        <f t="shared" si="429"/>
        <v>16073</v>
      </c>
      <c r="P103" s="5">
        <f t="shared" si="430"/>
        <v>88200000</v>
      </c>
      <c r="Q103" s="5">
        <f t="shared" si="431"/>
        <v>1470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70011</v>
      </c>
      <c r="X103" s="6" t="s">
        <v>179</v>
      </c>
      <c r="Y103" s="5">
        <v>300</v>
      </c>
      <c r="Z103" s="5">
        <v>1</v>
      </c>
      <c r="AA103" s="5">
        <v>9064944</v>
      </c>
      <c r="AB103" s="16" t="s">
        <v>111</v>
      </c>
      <c r="AC103" s="7" t="s">
        <v>112</v>
      </c>
      <c r="AD103" s="7" t="s">
        <v>112</v>
      </c>
      <c r="AE103" s="7" t="s">
        <v>112</v>
      </c>
      <c r="AF103" s="6" t="s">
        <v>113</v>
      </c>
      <c r="AG103" s="26" t="str">
        <f t="shared" ref="AG103" si="685">CM$4</f>
        <v>4,33,28,33,6,4,33,28,33,6</v>
      </c>
      <c r="AH103" s="26" t="str">
        <f t="shared" ref="AH103" si="686">CN$4</f>
        <v>0,8,0,8,1,0,8,0,8,1</v>
      </c>
      <c r="AI103" s="26" t="str">
        <f t="shared" ref="AI103" si="687">CO$4</f>
        <v>0,0,0,0,1,0,0,0,0,1</v>
      </c>
      <c r="AJ103" s="26" t="str">
        <f t="shared" ref="AJ103" si="688">CP$4</f>
        <v>0,0,0,0,5,0,0,0,0,5</v>
      </c>
      <c r="AK103" s="26" t="str">
        <f t="shared" ref="AK103" si="689">CQ$4</f>
        <v>100,1,1000,2,5,200,1,1000,2,5</v>
      </c>
      <c r="AL103" s="26" t="str">
        <f t="shared" ref="AL103" si="690">CR$4</f>
        <v>5,5,5,5,5,5,5,5,5,5</v>
      </c>
      <c r="AM103" s="7">
        <v>2001</v>
      </c>
      <c r="AO103">
        <f t="shared" ref="AO103" si="691">AQ103*100+1</f>
        <v>1201</v>
      </c>
      <c r="AP103">
        <v>99</v>
      </c>
      <c r="AQ103">
        <f t="shared" si="439"/>
        <v>12</v>
      </c>
      <c r="AR103" s="17">
        <v>7</v>
      </c>
      <c r="AS103" s="17">
        <f t="shared" si="520"/>
        <v>95</v>
      </c>
      <c r="AT103" s="17">
        <v>6</v>
      </c>
      <c r="AU103">
        <f t="shared" si="440"/>
        <v>22</v>
      </c>
      <c r="AV103">
        <v>150</v>
      </c>
      <c r="AW103">
        <f t="shared" si="441"/>
        <v>16073.1648</v>
      </c>
      <c r="AX103">
        <f t="shared" si="570"/>
        <v>88200000</v>
      </c>
      <c r="AY103">
        <f t="shared" si="442"/>
        <v>1470</v>
      </c>
      <c r="AZ103">
        <f t="shared" si="443"/>
        <v>2940</v>
      </c>
      <c r="BA103">
        <f t="shared" si="444"/>
        <v>20160</v>
      </c>
      <c r="BB103">
        <f t="shared" si="445"/>
        <v>735</v>
      </c>
      <c r="BC103">
        <f t="shared" si="571"/>
        <v>88200000</v>
      </c>
      <c r="BD103">
        <f t="shared" si="446"/>
        <v>0.29411764705882354</v>
      </c>
      <c r="BE103" s="27">
        <f t="shared" si="572"/>
        <v>23143239.000000004</v>
      </c>
      <c r="BF103" s="30">
        <f t="shared" si="447"/>
        <v>0.32879999999999998</v>
      </c>
      <c r="BG103" s="27"/>
      <c r="BH103" s="27"/>
      <c r="BI103" s="27"/>
      <c r="CA103" s="20">
        <f t="shared" si="448"/>
        <v>155</v>
      </c>
      <c r="CB103" s="20">
        <f t="shared" si="449"/>
        <v>15500</v>
      </c>
    </row>
    <row r="104" spans="1:80" x14ac:dyDescent="0.15">
      <c r="A104">
        <v>1202</v>
      </c>
      <c r="B104" s="3" t="s">
        <v>115</v>
      </c>
      <c r="C104" s="4" t="s">
        <v>109</v>
      </c>
      <c r="D104" s="6" t="s">
        <v>110</v>
      </c>
      <c r="E104" s="5">
        <v>3</v>
      </c>
      <c r="F104" s="7" t="s">
        <v>142</v>
      </c>
      <c r="G104" s="5">
        <v>3</v>
      </c>
      <c r="H104" s="7" t="s">
        <v>188</v>
      </c>
      <c r="I104" s="5">
        <v>0</v>
      </c>
      <c r="J104" s="5">
        <v>0</v>
      </c>
      <c r="K104">
        <v>2</v>
      </c>
      <c r="L104">
        <v>1.5</v>
      </c>
      <c r="M104" s="5">
        <v>1.5</v>
      </c>
      <c r="N104" s="5">
        <v>10</v>
      </c>
      <c r="O104" s="5">
        <f t="shared" si="429"/>
        <v>16838</v>
      </c>
      <c r="P104" s="5">
        <f t="shared" si="430"/>
        <v>92400000</v>
      </c>
      <c r="Q104" s="5">
        <f t="shared" si="431"/>
        <v>1540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70021</v>
      </c>
      <c r="X104" s="6" t="s">
        <v>180</v>
      </c>
      <c r="Y104" s="5">
        <v>300</v>
      </c>
      <c r="Z104" s="5">
        <v>1</v>
      </c>
      <c r="AA104" s="5">
        <v>4386816</v>
      </c>
      <c r="AB104" s="16" t="s">
        <v>111</v>
      </c>
      <c r="AC104" s="7" t="s">
        <v>112</v>
      </c>
      <c r="AD104" s="7" t="s">
        <v>112</v>
      </c>
      <c r="AE104" s="7" t="s">
        <v>112</v>
      </c>
      <c r="AF104" s="6" t="s">
        <v>113</v>
      </c>
      <c r="AG104" s="26" t="str">
        <f t="shared" ref="AG104" si="692">CM$5</f>
        <v>4,33,28,33,6,4,33,28,33,6</v>
      </c>
      <c r="AH104" s="26" t="str">
        <f t="shared" ref="AH104" si="693">CN$5</f>
        <v>0,7,0,7,1,0,7,0,7,1</v>
      </c>
      <c r="AI104" s="26" t="str">
        <f t="shared" ref="AI104" si="694">CO$5</f>
        <v>0,0,0,0,1,0,0,0,0,1</v>
      </c>
      <c r="AJ104" s="26" t="str">
        <f t="shared" ref="AJ104" si="695">CP$5</f>
        <v>0,0,0,0,5,0,0,0,0,5</v>
      </c>
      <c r="AK104" s="26" t="str">
        <f t="shared" ref="AK104" si="696">CQ$5</f>
        <v>100,1,1000,2,5,200,1,1000,2,5</v>
      </c>
      <c r="AL104" s="26" t="str">
        <f t="shared" ref="AL104" si="697">CR$5</f>
        <v>5,5,5,5,5,5,5,5,5,5</v>
      </c>
      <c r="AM104" s="7">
        <v>2001</v>
      </c>
      <c r="AO104">
        <f t="shared" ref="AO104" si="698">AQ104*100+2</f>
        <v>1202</v>
      </c>
      <c r="AP104">
        <v>100</v>
      </c>
      <c r="AQ104">
        <f t="shared" si="439"/>
        <v>12</v>
      </c>
      <c r="AR104" s="17">
        <v>7</v>
      </c>
      <c r="AS104" s="17">
        <f t="shared" si="520"/>
        <v>100</v>
      </c>
      <c r="AT104" s="17">
        <v>6</v>
      </c>
      <c r="AU104">
        <f t="shared" si="440"/>
        <v>22</v>
      </c>
      <c r="AV104">
        <v>150</v>
      </c>
      <c r="AW104">
        <f t="shared" si="441"/>
        <v>16838.553599999999</v>
      </c>
      <c r="AX104">
        <f t="shared" si="570"/>
        <v>92400000</v>
      </c>
      <c r="AY104">
        <f t="shared" si="442"/>
        <v>1540</v>
      </c>
      <c r="AZ104">
        <f t="shared" si="443"/>
        <v>3080</v>
      </c>
      <c r="BA104">
        <f t="shared" si="444"/>
        <v>21120</v>
      </c>
      <c r="BB104">
        <f t="shared" si="445"/>
        <v>770</v>
      </c>
      <c r="BC104">
        <f t="shared" si="571"/>
        <v>92400000</v>
      </c>
      <c r="BD104">
        <f t="shared" si="446"/>
        <v>0.29411764705882354</v>
      </c>
      <c r="BE104" s="27">
        <f t="shared" si="572"/>
        <v>25399836.000000007</v>
      </c>
      <c r="BF104" s="30">
        <f t="shared" si="447"/>
        <v>0.32879999999999998</v>
      </c>
      <c r="BG104" s="27"/>
      <c r="BH104" s="27"/>
      <c r="BI104" s="27"/>
      <c r="CA104" s="20">
        <f t="shared" si="448"/>
        <v>155</v>
      </c>
      <c r="CB104" s="20">
        <f t="shared" si="449"/>
        <v>15500</v>
      </c>
    </row>
    <row r="105" spans="1:80" x14ac:dyDescent="0.15">
      <c r="A105">
        <v>1203</v>
      </c>
      <c r="B105" s="3" t="s">
        <v>117</v>
      </c>
      <c r="C105" s="4" t="s">
        <v>109</v>
      </c>
      <c r="D105" s="4" t="s">
        <v>110</v>
      </c>
      <c r="E105" s="5">
        <v>1</v>
      </c>
      <c r="F105" s="7" t="s">
        <v>144</v>
      </c>
      <c r="G105" s="5">
        <v>3</v>
      </c>
      <c r="H105" s="7" t="s">
        <v>189</v>
      </c>
      <c r="I105" s="5">
        <v>0</v>
      </c>
      <c r="J105" s="2">
        <v>0</v>
      </c>
      <c r="K105">
        <v>6</v>
      </c>
      <c r="L105">
        <v>1.5</v>
      </c>
      <c r="M105" s="5">
        <v>1.5</v>
      </c>
      <c r="N105" s="5">
        <v>10</v>
      </c>
      <c r="O105" s="5">
        <f t="shared" si="429"/>
        <v>17603</v>
      </c>
      <c r="P105" s="5">
        <f t="shared" si="430"/>
        <v>96600000</v>
      </c>
      <c r="Q105" s="5">
        <f t="shared" si="431"/>
        <v>1610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70031</v>
      </c>
      <c r="X105" s="6" t="s">
        <v>181</v>
      </c>
      <c r="Y105" s="5">
        <v>300</v>
      </c>
      <c r="Z105" s="5">
        <v>1</v>
      </c>
      <c r="AA105" s="5">
        <v>4952304</v>
      </c>
      <c r="AB105" s="16" t="s">
        <v>111</v>
      </c>
      <c r="AC105" s="7" t="s">
        <v>112</v>
      </c>
      <c r="AD105" s="7" t="s">
        <v>112</v>
      </c>
      <c r="AE105" s="7" t="s">
        <v>112</v>
      </c>
      <c r="AF105" s="6" t="s">
        <v>113</v>
      </c>
      <c r="AG105" s="26" t="str">
        <f t="shared" ref="AG105" si="699">CM$6</f>
        <v>4,28,6,28,6,4,28,6,28,6</v>
      </c>
      <c r="AH105" s="26" t="str">
        <f t="shared" ref="AH105" si="700">CN$6</f>
        <v>0,0,1,0,1,0,0,1,0,1</v>
      </c>
      <c r="AI105" s="26" t="str">
        <f t="shared" ref="AI105" si="701">CO$6</f>
        <v>0,0,0,0,1,0,0,0,0,1</v>
      </c>
      <c r="AJ105" s="26" t="str">
        <f t="shared" ref="AJ105" si="702">CP$6</f>
        <v>0,0,5,0,5,0,0,5,0,5</v>
      </c>
      <c r="AK105" s="26" t="str">
        <f t="shared" ref="AK105" si="703">CQ$6</f>
        <v>100,1000,5,1500,5,200,1000,5,1500,5</v>
      </c>
      <c r="AL105" s="26" t="str">
        <f t="shared" ref="AL105" si="704">CR$6</f>
        <v>5,5,5,5,5,5,5,5,5,5</v>
      </c>
      <c r="AM105" s="7">
        <v>2001</v>
      </c>
      <c r="AO105">
        <f t="shared" ref="AO105" si="705">AQ105*100+3</f>
        <v>1203</v>
      </c>
      <c r="AP105">
        <v>101</v>
      </c>
      <c r="AQ105">
        <f t="shared" si="439"/>
        <v>12</v>
      </c>
      <c r="AR105" s="17">
        <v>7</v>
      </c>
      <c r="AS105" s="17">
        <f t="shared" si="520"/>
        <v>105</v>
      </c>
      <c r="AT105" s="17">
        <v>6</v>
      </c>
      <c r="AU105">
        <f t="shared" si="440"/>
        <v>22</v>
      </c>
      <c r="AV105">
        <v>150</v>
      </c>
      <c r="AW105">
        <f t="shared" si="441"/>
        <v>17603.9424</v>
      </c>
      <c r="AX105">
        <f t="shared" si="570"/>
        <v>96600000</v>
      </c>
      <c r="AY105">
        <f t="shared" si="442"/>
        <v>1610</v>
      </c>
      <c r="AZ105">
        <f t="shared" si="443"/>
        <v>3220</v>
      </c>
      <c r="BA105">
        <f t="shared" si="444"/>
        <v>22080</v>
      </c>
      <c r="BB105">
        <f t="shared" si="445"/>
        <v>805</v>
      </c>
      <c r="BC105">
        <f t="shared" si="571"/>
        <v>96600000</v>
      </c>
      <c r="BD105">
        <f t="shared" si="446"/>
        <v>0.29411764705882354</v>
      </c>
      <c r="BE105" s="27">
        <f t="shared" si="572"/>
        <v>27761391.000000007</v>
      </c>
      <c r="BF105" s="30">
        <f t="shared" si="447"/>
        <v>0.32879999999999998</v>
      </c>
      <c r="BG105" s="27"/>
      <c r="BH105" s="27"/>
      <c r="BI105" s="27"/>
      <c r="CA105" s="20">
        <f t="shared" si="448"/>
        <v>155</v>
      </c>
      <c r="CB105" s="20">
        <f t="shared" si="449"/>
        <v>15500</v>
      </c>
    </row>
    <row r="106" spans="1:80" x14ac:dyDescent="0.15">
      <c r="A106">
        <v>1204</v>
      </c>
      <c r="B106" s="3" t="s">
        <v>119</v>
      </c>
      <c r="C106" s="4" t="s">
        <v>109</v>
      </c>
      <c r="D106" s="6" t="s">
        <v>120</v>
      </c>
      <c r="E106" s="5">
        <v>3</v>
      </c>
      <c r="F106" s="7" t="s">
        <v>145</v>
      </c>
      <c r="G106" s="5">
        <v>3</v>
      </c>
      <c r="H106" s="7" t="s">
        <v>190</v>
      </c>
      <c r="I106" s="5">
        <v>0</v>
      </c>
      <c r="J106" s="5">
        <v>0</v>
      </c>
      <c r="K106">
        <v>2</v>
      </c>
      <c r="L106">
        <v>1.5</v>
      </c>
      <c r="M106" s="5">
        <v>1.5</v>
      </c>
      <c r="N106" s="5">
        <v>10</v>
      </c>
      <c r="O106" s="5">
        <f t="shared" si="429"/>
        <v>18369</v>
      </c>
      <c r="P106" s="5">
        <f t="shared" si="430"/>
        <v>100800000</v>
      </c>
      <c r="Q106" s="5">
        <f t="shared" si="431"/>
        <v>1680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70041</v>
      </c>
      <c r="X106" s="6" t="s">
        <v>182</v>
      </c>
      <c r="Y106" s="5">
        <v>300</v>
      </c>
      <c r="Z106" s="5">
        <v>1</v>
      </c>
      <c r="AA106" s="5">
        <v>5552064</v>
      </c>
      <c r="AB106" s="16" t="s">
        <v>111</v>
      </c>
      <c r="AC106" s="7" t="s">
        <v>112</v>
      </c>
      <c r="AD106" s="7" t="s">
        <v>112</v>
      </c>
      <c r="AE106" s="7" t="s">
        <v>112</v>
      </c>
      <c r="AF106" s="6" t="s">
        <v>113</v>
      </c>
      <c r="AG106" s="26" t="str">
        <f t="shared" ref="AG106" si="706">CM$7</f>
        <v>4,14,28,14,6,4,14,28,14,6</v>
      </c>
      <c r="AH106" s="26" t="str">
        <f t="shared" ref="AH106" si="707">CN$7</f>
        <v>0,0,0,0,1,0,0,0,0,1</v>
      </c>
      <c r="AI106" s="26" t="str">
        <f t="shared" ref="AI106" si="708">CO$7</f>
        <v>0,0,0,0,1,0,0,0,0,1</v>
      </c>
      <c r="AJ106" s="26" t="str">
        <f t="shared" ref="AJ106" si="709">CP$7</f>
        <v>0,0,0,0,5,0,0,0,0,5</v>
      </c>
      <c r="AK106" s="26" t="str">
        <f t="shared" ref="AK106" si="710">CQ$7</f>
        <v>100,1,1000,2,5,200,1,1000,2,5</v>
      </c>
      <c r="AL106" s="26" t="str">
        <f t="shared" ref="AL106" si="711">CR$7</f>
        <v>5,5,5,5,5,5,5,5,5,5</v>
      </c>
      <c r="AM106" s="7">
        <v>2001</v>
      </c>
      <c r="AO106">
        <f t="shared" ref="AO106" si="712">AQ106*100+4</f>
        <v>1204</v>
      </c>
      <c r="AP106">
        <v>102</v>
      </c>
      <c r="AQ106">
        <f t="shared" si="439"/>
        <v>12</v>
      </c>
      <c r="AR106" s="17">
        <v>7</v>
      </c>
      <c r="AS106" s="17">
        <f t="shared" si="520"/>
        <v>110</v>
      </c>
      <c r="AT106" s="17">
        <v>6</v>
      </c>
      <c r="AU106">
        <f t="shared" si="440"/>
        <v>22</v>
      </c>
      <c r="AV106">
        <v>150</v>
      </c>
      <c r="AW106">
        <f t="shared" si="441"/>
        <v>18369.331200000001</v>
      </c>
      <c r="AX106">
        <f t="shared" si="570"/>
        <v>100800000</v>
      </c>
      <c r="AY106">
        <f t="shared" si="442"/>
        <v>1680</v>
      </c>
      <c r="AZ106">
        <f t="shared" si="443"/>
        <v>3360</v>
      </c>
      <c r="BA106">
        <f t="shared" si="444"/>
        <v>23040</v>
      </c>
      <c r="BB106">
        <f t="shared" si="445"/>
        <v>840</v>
      </c>
      <c r="BC106">
        <f t="shared" si="571"/>
        <v>100800000</v>
      </c>
      <c r="BD106">
        <f t="shared" si="446"/>
        <v>0.29411764705882354</v>
      </c>
      <c r="BE106" s="27">
        <f t="shared" si="572"/>
        <v>30227904.000000007</v>
      </c>
      <c r="BF106" s="30">
        <f t="shared" si="447"/>
        <v>0.32879999999999998</v>
      </c>
      <c r="BG106" s="27"/>
      <c r="BH106" s="27"/>
      <c r="BI106" s="27"/>
      <c r="CA106" s="20">
        <f t="shared" si="448"/>
        <v>155</v>
      </c>
      <c r="CB106" s="20">
        <f t="shared" si="449"/>
        <v>15500</v>
      </c>
    </row>
    <row r="107" spans="1:80" x14ac:dyDescent="0.15">
      <c r="A107">
        <v>1205</v>
      </c>
      <c r="B107" s="3" t="s">
        <v>122</v>
      </c>
      <c r="C107" s="4" t="s">
        <v>109</v>
      </c>
      <c r="D107" s="4" t="s">
        <v>110</v>
      </c>
      <c r="E107" s="5">
        <v>2</v>
      </c>
      <c r="F107" s="7" t="s">
        <v>146</v>
      </c>
      <c r="G107" s="5">
        <v>3</v>
      </c>
      <c r="H107" s="7" t="s">
        <v>191</v>
      </c>
      <c r="I107" s="5">
        <v>0</v>
      </c>
      <c r="J107" s="7" t="s">
        <v>148</v>
      </c>
      <c r="K107">
        <v>6</v>
      </c>
      <c r="L107">
        <v>1.5</v>
      </c>
      <c r="M107" s="5">
        <v>1.5</v>
      </c>
      <c r="N107" s="5">
        <v>10</v>
      </c>
      <c r="O107" s="5">
        <f t="shared" si="429"/>
        <v>19134</v>
      </c>
      <c r="P107" s="5">
        <f t="shared" si="430"/>
        <v>105000000</v>
      </c>
      <c r="Q107" s="5">
        <f t="shared" si="431"/>
        <v>1750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70051</v>
      </c>
      <c r="X107" s="6" t="s">
        <v>183</v>
      </c>
      <c r="Y107" s="5">
        <v>300</v>
      </c>
      <c r="Z107" s="5">
        <v>1</v>
      </c>
      <c r="AA107" s="5">
        <v>6186096</v>
      </c>
      <c r="AB107" s="16" t="s">
        <v>111</v>
      </c>
      <c r="AC107" s="7" t="s">
        <v>112</v>
      </c>
      <c r="AD107" s="7" t="s">
        <v>112</v>
      </c>
      <c r="AE107" s="7" t="s">
        <v>112</v>
      </c>
      <c r="AF107" s="6" t="s">
        <v>113</v>
      </c>
      <c r="AG107" s="26" t="str">
        <f t="shared" ref="AG107" si="713">CM$8</f>
        <v>4,19,28,19,6,4,19,28,19,6</v>
      </c>
      <c r="AH107" s="26" t="str">
        <f t="shared" ref="AH107" si="714">CN$8</f>
        <v>0,0,0,0,1,0,0,0,0,1</v>
      </c>
      <c r="AI107" s="26" t="str">
        <f t="shared" ref="AI107" si="715">CO$8</f>
        <v>0,0,0,0,1,0,0,0,0,1</v>
      </c>
      <c r="AJ107" s="26" t="str">
        <f t="shared" ref="AJ107" si="716">CP$8</f>
        <v>0,0,0,0,5,0,0,0,0,5</v>
      </c>
      <c r="AK107" s="26" t="str">
        <f t="shared" ref="AK107" si="717">CQ$8</f>
        <v>200,100,1000,200,5,200,100,1000,200,5</v>
      </c>
      <c r="AL107" s="26" t="str">
        <f t="shared" ref="AL107" si="718">CR$8</f>
        <v>5,5,5,5,5,5,5,5,5,5</v>
      </c>
      <c r="AM107" s="7">
        <v>2001</v>
      </c>
      <c r="AO107">
        <f t="shared" ref="AO107" si="719">AQ107*100+5</f>
        <v>1205</v>
      </c>
      <c r="AP107">
        <v>103</v>
      </c>
      <c r="AQ107">
        <f t="shared" si="439"/>
        <v>12</v>
      </c>
      <c r="AR107" s="17">
        <v>7</v>
      </c>
      <c r="AS107" s="17">
        <f t="shared" si="520"/>
        <v>115</v>
      </c>
      <c r="AT107" s="17">
        <v>6</v>
      </c>
      <c r="AU107">
        <f t="shared" si="440"/>
        <v>22</v>
      </c>
      <c r="AV107">
        <v>150</v>
      </c>
      <c r="AW107">
        <f t="shared" si="441"/>
        <v>19134.72</v>
      </c>
      <c r="AX107">
        <f t="shared" si="570"/>
        <v>105000000</v>
      </c>
      <c r="AY107">
        <f t="shared" si="442"/>
        <v>1750</v>
      </c>
      <c r="AZ107">
        <f t="shared" si="443"/>
        <v>3500</v>
      </c>
      <c r="BA107">
        <f t="shared" si="444"/>
        <v>24000</v>
      </c>
      <c r="BB107">
        <f t="shared" si="445"/>
        <v>875</v>
      </c>
      <c r="BC107">
        <f t="shared" si="571"/>
        <v>105000000</v>
      </c>
      <c r="BD107">
        <f t="shared" si="446"/>
        <v>0.29411764705882354</v>
      </c>
      <c r="BE107" s="27">
        <f t="shared" si="572"/>
        <v>32799375.000000007</v>
      </c>
      <c r="BF107" s="30">
        <f t="shared" si="447"/>
        <v>0.32879999999999998</v>
      </c>
      <c r="BG107" s="27"/>
      <c r="BH107" s="27"/>
      <c r="BI107" s="27"/>
      <c r="CA107" s="20">
        <f t="shared" si="448"/>
        <v>155</v>
      </c>
      <c r="CB107" s="20">
        <f t="shared" si="449"/>
        <v>15500</v>
      </c>
    </row>
    <row r="108" spans="1:80" x14ac:dyDescent="0.15">
      <c r="A108">
        <v>1206</v>
      </c>
      <c r="B108" s="3" t="s">
        <v>124</v>
      </c>
      <c r="C108" s="4" t="s">
        <v>109</v>
      </c>
      <c r="D108" s="6" t="s">
        <v>120</v>
      </c>
      <c r="E108" s="5">
        <v>1</v>
      </c>
      <c r="F108" s="7" t="s">
        <v>147</v>
      </c>
      <c r="G108" s="5">
        <v>3</v>
      </c>
      <c r="H108" s="7" t="s">
        <v>192</v>
      </c>
      <c r="I108" s="5">
        <v>0</v>
      </c>
      <c r="J108" s="7" t="s">
        <v>149</v>
      </c>
      <c r="K108">
        <v>6</v>
      </c>
      <c r="L108">
        <v>1.5</v>
      </c>
      <c r="M108" s="5">
        <v>1.5</v>
      </c>
      <c r="N108" s="5">
        <v>10</v>
      </c>
      <c r="O108" s="5">
        <f t="shared" si="429"/>
        <v>19900</v>
      </c>
      <c r="P108" s="5">
        <f t="shared" si="430"/>
        <v>109200000</v>
      </c>
      <c r="Q108" s="5">
        <f t="shared" si="431"/>
        <v>1820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70061</v>
      </c>
      <c r="X108" s="6" t="s">
        <v>184</v>
      </c>
      <c r="Y108" s="5">
        <v>300</v>
      </c>
      <c r="Z108" s="5">
        <v>1</v>
      </c>
      <c r="AA108" s="5">
        <v>6854400</v>
      </c>
      <c r="AB108" s="16" t="s">
        <v>111</v>
      </c>
      <c r="AC108" s="7" t="s">
        <v>112</v>
      </c>
      <c r="AD108" s="7" t="s">
        <v>112</v>
      </c>
      <c r="AE108" s="7" t="s">
        <v>112</v>
      </c>
      <c r="AF108" s="6" t="s">
        <v>113</v>
      </c>
      <c r="AG108" s="26" t="str">
        <f t="shared" ref="AG108" si="720">CM$9</f>
        <v>4,33,28,33,6,4,33,28,33,6</v>
      </c>
      <c r="AH108" s="26" t="str">
        <f t="shared" ref="AH108" si="721">CN$9</f>
        <v>0,6,0,6,1,0,6,0,6,1</v>
      </c>
      <c r="AI108" s="26" t="str">
        <f t="shared" ref="AI108" si="722">CO$9</f>
        <v>0,0,0,0,1,0,0,0,0,1</v>
      </c>
      <c r="AJ108" s="26" t="str">
        <f t="shared" ref="AJ108" si="723">CP$9</f>
        <v>0,0,0,0,5,0,0,0,0,5</v>
      </c>
      <c r="AK108" s="26" t="str">
        <f t="shared" ref="AK108" si="724">CQ$9</f>
        <v>200,1,1000,2,5,200,1,1000,2,5</v>
      </c>
      <c r="AL108" s="26" t="str">
        <f t="shared" ref="AL108" si="725">CR$9</f>
        <v>5,5,5,5,5,5,5,5,5,5</v>
      </c>
      <c r="AM108" s="7">
        <v>2001</v>
      </c>
      <c r="AO108">
        <f t="shared" ref="AO108" si="726">AQ108*100+6</f>
        <v>1206</v>
      </c>
      <c r="AP108">
        <v>104</v>
      </c>
      <c r="AQ108">
        <f t="shared" si="439"/>
        <v>12</v>
      </c>
      <c r="AR108" s="17">
        <v>7</v>
      </c>
      <c r="AS108" s="17">
        <f t="shared" si="520"/>
        <v>120</v>
      </c>
      <c r="AT108" s="17">
        <v>6</v>
      </c>
      <c r="AU108">
        <f t="shared" si="440"/>
        <v>22</v>
      </c>
      <c r="AV108">
        <v>150</v>
      </c>
      <c r="AW108">
        <f t="shared" si="441"/>
        <v>19900.108799999998</v>
      </c>
      <c r="AX108">
        <f t="shared" si="570"/>
        <v>109200000</v>
      </c>
      <c r="AY108">
        <f t="shared" si="442"/>
        <v>1820</v>
      </c>
      <c r="AZ108">
        <f t="shared" si="443"/>
        <v>3640</v>
      </c>
      <c r="BA108">
        <f t="shared" si="444"/>
        <v>24960</v>
      </c>
      <c r="BB108">
        <f t="shared" si="445"/>
        <v>910</v>
      </c>
      <c r="BC108">
        <f t="shared" si="571"/>
        <v>109200000</v>
      </c>
      <c r="BD108">
        <f t="shared" si="446"/>
        <v>0.29411764705882354</v>
      </c>
      <c r="BE108" s="27">
        <f t="shared" si="572"/>
        <v>35475804.000000007</v>
      </c>
      <c r="BF108" s="30">
        <f t="shared" si="447"/>
        <v>0.32879999999999998</v>
      </c>
      <c r="BG108" s="27"/>
      <c r="BH108" s="27"/>
      <c r="BI108" s="27"/>
      <c r="CA108" s="20">
        <f t="shared" si="448"/>
        <v>155</v>
      </c>
      <c r="CB108" s="20">
        <f t="shared" si="449"/>
        <v>15500</v>
      </c>
    </row>
    <row r="109" spans="1:80" x14ac:dyDescent="0.15">
      <c r="A109">
        <v>1207</v>
      </c>
      <c r="B109" s="3" t="s">
        <v>126</v>
      </c>
      <c r="C109" s="4" t="s">
        <v>109</v>
      </c>
      <c r="D109" s="4" t="s">
        <v>110</v>
      </c>
      <c r="E109" s="5">
        <v>2</v>
      </c>
      <c r="F109" s="7" t="s">
        <v>143</v>
      </c>
      <c r="G109" s="5">
        <v>3</v>
      </c>
      <c r="H109" s="7" t="s">
        <v>193</v>
      </c>
      <c r="I109" s="5">
        <v>0</v>
      </c>
      <c r="J109" s="5">
        <v>0</v>
      </c>
      <c r="K109">
        <v>2</v>
      </c>
      <c r="L109">
        <v>1.5</v>
      </c>
      <c r="M109" s="5">
        <v>1.5</v>
      </c>
      <c r="N109" s="5">
        <v>10</v>
      </c>
      <c r="O109" s="5">
        <f t="shared" si="429"/>
        <v>20665</v>
      </c>
      <c r="P109" s="5">
        <f t="shared" si="430"/>
        <v>113400000</v>
      </c>
      <c r="Q109" s="5">
        <f t="shared" si="431"/>
        <v>1890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70071</v>
      </c>
      <c r="X109" s="6" t="s">
        <v>185</v>
      </c>
      <c r="Y109" s="5">
        <v>300</v>
      </c>
      <c r="Z109" s="5">
        <v>1</v>
      </c>
      <c r="AA109" s="5">
        <v>7556976</v>
      </c>
      <c r="AB109" s="16" t="s">
        <v>111</v>
      </c>
      <c r="AC109" s="7" t="s">
        <v>112</v>
      </c>
      <c r="AD109" s="7" t="s">
        <v>112</v>
      </c>
      <c r="AE109" s="7" t="s">
        <v>112</v>
      </c>
      <c r="AF109" s="6" t="s">
        <v>113</v>
      </c>
      <c r="AG109" s="26" t="str">
        <f t="shared" ref="AG109" si="727">CM$10</f>
        <v>4,14,28,14,6,4,14,28,14,6</v>
      </c>
      <c r="AH109" s="26" t="str">
        <f t="shared" ref="AH109" si="728">CN$10</f>
        <v>0,0,0,0,1,0,0,0,0,1</v>
      </c>
      <c r="AI109" s="26" t="str">
        <f t="shared" ref="AI109" si="729">CO$10</f>
        <v>0,0,0,0,1,0,0,0,0,1</v>
      </c>
      <c r="AJ109" s="26" t="str">
        <f t="shared" ref="AJ109" si="730">CP$10</f>
        <v>0,0,0,0,5,0,0,0,0,5</v>
      </c>
      <c r="AK109" s="26" t="str">
        <f t="shared" ref="AK109" si="731">CQ$10</f>
        <v>200,1,1000,2,5,200,1,1000,2,5</v>
      </c>
      <c r="AL109" s="26" t="str">
        <f t="shared" ref="AL109" si="732">CR$10</f>
        <v>5,5,5,5,5,5,5,5,5,5</v>
      </c>
      <c r="AM109" s="7">
        <v>2001</v>
      </c>
      <c r="AO109">
        <f t="shared" ref="AO109" si="733">AQ109*100+7</f>
        <v>1207</v>
      </c>
      <c r="AP109">
        <v>105</v>
      </c>
      <c r="AQ109">
        <f t="shared" si="439"/>
        <v>12</v>
      </c>
      <c r="AR109" s="17">
        <v>7</v>
      </c>
      <c r="AS109" s="17">
        <f t="shared" si="520"/>
        <v>125</v>
      </c>
      <c r="AT109" s="17">
        <v>6</v>
      </c>
      <c r="AU109">
        <f t="shared" si="440"/>
        <v>22</v>
      </c>
      <c r="AV109">
        <v>150</v>
      </c>
      <c r="AW109">
        <f t="shared" si="441"/>
        <v>20665.497599999999</v>
      </c>
      <c r="AX109">
        <f t="shared" si="570"/>
        <v>113400000</v>
      </c>
      <c r="AY109">
        <f t="shared" si="442"/>
        <v>1890</v>
      </c>
      <c r="AZ109">
        <f t="shared" si="443"/>
        <v>3780</v>
      </c>
      <c r="BA109">
        <f t="shared" si="444"/>
        <v>25920</v>
      </c>
      <c r="BB109">
        <f t="shared" si="445"/>
        <v>945</v>
      </c>
      <c r="BC109">
        <f t="shared" si="571"/>
        <v>113400000</v>
      </c>
      <c r="BD109">
        <f t="shared" si="446"/>
        <v>0.29411764705882354</v>
      </c>
      <c r="BE109" s="27">
        <f t="shared" si="572"/>
        <v>38257191.000000007</v>
      </c>
      <c r="BF109" s="30">
        <f t="shared" si="447"/>
        <v>0.32879999999999998</v>
      </c>
      <c r="BG109" s="27"/>
      <c r="BH109" s="27"/>
      <c r="BI109" s="27"/>
      <c r="CA109" s="20">
        <f t="shared" si="448"/>
        <v>155</v>
      </c>
      <c r="CB109" s="20">
        <f t="shared" si="449"/>
        <v>15500</v>
      </c>
    </row>
    <row r="110" spans="1:80" x14ac:dyDescent="0.15">
      <c r="A110">
        <v>1208</v>
      </c>
      <c r="B110" s="3" t="s">
        <v>128</v>
      </c>
      <c r="C110" s="4" t="s">
        <v>109</v>
      </c>
      <c r="D110" s="4" t="s">
        <v>110</v>
      </c>
      <c r="E110" s="5">
        <v>5</v>
      </c>
      <c r="F110" s="7" t="s">
        <v>129</v>
      </c>
      <c r="G110" s="5">
        <v>2</v>
      </c>
      <c r="H110" s="7" t="s">
        <v>130</v>
      </c>
      <c r="I110" s="5">
        <v>0</v>
      </c>
      <c r="J110" s="5">
        <v>0</v>
      </c>
      <c r="K110">
        <v>2</v>
      </c>
      <c r="L110">
        <v>1.5</v>
      </c>
      <c r="M110" s="5">
        <v>1.5</v>
      </c>
      <c r="N110" s="5">
        <v>10</v>
      </c>
      <c r="O110" s="5">
        <f t="shared" si="429"/>
        <v>21430</v>
      </c>
      <c r="P110" s="5">
        <f t="shared" si="430"/>
        <v>117600000</v>
      </c>
      <c r="Q110" s="5">
        <f t="shared" si="431"/>
        <v>1960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70081</v>
      </c>
      <c r="X110" s="6" t="s">
        <v>186</v>
      </c>
      <c r="Y110" s="5">
        <v>300</v>
      </c>
      <c r="Z110" s="5">
        <v>1</v>
      </c>
      <c r="AA110" s="5">
        <v>8293824</v>
      </c>
      <c r="AB110" s="16" t="s">
        <v>111</v>
      </c>
      <c r="AC110" s="7" t="s">
        <v>112</v>
      </c>
      <c r="AD110" s="7" t="s">
        <v>112</v>
      </c>
      <c r="AE110" s="7" t="s">
        <v>112</v>
      </c>
      <c r="AF110" s="6" t="s">
        <v>113</v>
      </c>
      <c r="AG110" s="26" t="str">
        <f t="shared" ref="AG110" si="734">CM$11</f>
        <v>4,28,6,28,6,4,28,6,28,6</v>
      </c>
      <c r="AH110" s="26" t="str">
        <f t="shared" ref="AH110" si="735">CN$11</f>
        <v>0,0,1,0,1,0,0,1,0,1</v>
      </c>
      <c r="AI110" s="26" t="str">
        <f t="shared" ref="AI110" si="736">CO$11</f>
        <v>0,0,1,0,1,0,0,1,0,1</v>
      </c>
      <c r="AJ110" s="26" t="str">
        <f t="shared" ref="AJ110" si="737">CP$11</f>
        <v>0,0,5,0,5,0,0,5,0,5</v>
      </c>
      <c r="AK110" s="26" t="str">
        <f t="shared" ref="AK110" si="738">CQ$11</f>
        <v>100,1000,5,1500,5,200,1000,5,1500,5</v>
      </c>
      <c r="AL110" s="26" t="str">
        <f t="shared" ref="AL110" si="739">CR$11</f>
        <v>5,5,5,5,5,5,5,5,5,5</v>
      </c>
      <c r="AM110" s="7">
        <v>2001</v>
      </c>
      <c r="AO110">
        <f t="shared" ref="AO110" si="740">AQ110*100+8</f>
        <v>1208</v>
      </c>
      <c r="AP110">
        <v>106</v>
      </c>
      <c r="AQ110">
        <f t="shared" si="439"/>
        <v>12</v>
      </c>
      <c r="AR110" s="17">
        <v>7</v>
      </c>
      <c r="AS110" s="17">
        <f t="shared" si="520"/>
        <v>130</v>
      </c>
      <c r="AT110" s="17">
        <v>6</v>
      </c>
      <c r="AU110">
        <f t="shared" si="440"/>
        <v>22</v>
      </c>
      <c r="AV110">
        <v>150</v>
      </c>
      <c r="AW110">
        <f t="shared" si="441"/>
        <v>21430.886399999999</v>
      </c>
      <c r="AX110">
        <f t="shared" si="570"/>
        <v>117600000</v>
      </c>
      <c r="AY110">
        <f t="shared" si="442"/>
        <v>1960</v>
      </c>
      <c r="AZ110">
        <f t="shared" si="443"/>
        <v>3920</v>
      </c>
      <c r="BA110">
        <f t="shared" si="444"/>
        <v>26880</v>
      </c>
      <c r="BB110">
        <f t="shared" si="445"/>
        <v>980</v>
      </c>
      <c r="BC110">
        <f t="shared" si="571"/>
        <v>117600000</v>
      </c>
      <c r="BD110">
        <f t="shared" si="446"/>
        <v>0.29411764705882354</v>
      </c>
      <c r="BE110" s="27">
        <f t="shared" si="572"/>
        <v>41143536.000000007</v>
      </c>
      <c r="BF110" s="30">
        <f t="shared" si="447"/>
        <v>0.32879999999999998</v>
      </c>
      <c r="BG110" s="27"/>
      <c r="BH110" s="27"/>
      <c r="BI110" s="27"/>
      <c r="CA110" s="20">
        <f t="shared" si="448"/>
        <v>155</v>
      </c>
      <c r="CB110" s="20">
        <f t="shared" si="449"/>
        <v>15500</v>
      </c>
    </row>
    <row r="111" spans="1:80" x14ac:dyDescent="0.15">
      <c r="A111">
        <v>1209</v>
      </c>
      <c r="B111" s="3" t="s">
        <v>132</v>
      </c>
      <c r="C111" s="4" t="s">
        <v>109</v>
      </c>
      <c r="D111" s="4" t="s">
        <v>110</v>
      </c>
      <c r="E111" s="5">
        <v>5</v>
      </c>
      <c r="F111" s="7" t="s">
        <v>140</v>
      </c>
      <c r="G111" s="5">
        <v>3</v>
      </c>
      <c r="H111" s="7" t="s">
        <v>140</v>
      </c>
      <c r="I111" s="5">
        <v>0</v>
      </c>
      <c r="J111" s="7">
        <v>0</v>
      </c>
      <c r="K111">
        <v>6</v>
      </c>
      <c r="L111">
        <v>1.5</v>
      </c>
      <c r="M111" s="5">
        <v>1.5</v>
      </c>
      <c r="N111" s="5">
        <v>10</v>
      </c>
      <c r="O111" s="5">
        <f t="shared" si="429"/>
        <v>22196</v>
      </c>
      <c r="P111" s="5">
        <f t="shared" si="430"/>
        <v>121800000</v>
      </c>
      <c r="Q111" s="5">
        <f t="shared" si="431"/>
        <v>2030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70091</v>
      </c>
      <c r="X111" s="6" t="s">
        <v>187</v>
      </c>
      <c r="Y111" s="5">
        <v>300</v>
      </c>
      <c r="Z111" s="5">
        <v>1</v>
      </c>
      <c r="AA111" s="5">
        <v>9064944</v>
      </c>
      <c r="AB111" s="16" t="s">
        <v>111</v>
      </c>
      <c r="AC111" s="7" t="s">
        <v>112</v>
      </c>
      <c r="AD111" s="7" t="s">
        <v>112</v>
      </c>
      <c r="AE111" s="7" t="s">
        <v>112</v>
      </c>
      <c r="AF111" s="6" t="s">
        <v>113</v>
      </c>
      <c r="AG111" s="26" t="str">
        <f t="shared" ref="AG111" si="741">CM$12</f>
        <v>4,33,28,33,6,4,33,28,33,6</v>
      </c>
      <c r="AH111" s="26" t="str">
        <f t="shared" ref="AH111" si="742">CN$12</f>
        <v>0,5,0,5,1,0,5,0,5,1</v>
      </c>
      <c r="AI111" s="26" t="str">
        <f t="shared" ref="AI111" si="743">CO$12</f>
        <v>0,0,0,0,1,0,0,0,0,1</v>
      </c>
      <c r="AJ111" s="26" t="str">
        <f t="shared" ref="AJ111" si="744">CP$12</f>
        <v>0,0,0,0,5,0,0,0,0,5</v>
      </c>
      <c r="AK111" s="26" t="str">
        <f t="shared" ref="AK111" si="745">CQ$12</f>
        <v>100,1,1000,2,5,200,1,1000,2,5</v>
      </c>
      <c r="AL111" s="26" t="str">
        <f t="shared" ref="AL111" si="746">CR$12</f>
        <v>5,5,5,5,5,5,5,5,5,5</v>
      </c>
      <c r="AM111" s="7">
        <v>2001</v>
      </c>
      <c r="AO111">
        <f t="shared" ref="AO111" si="747">AQ111*100+9</f>
        <v>1209</v>
      </c>
      <c r="AP111">
        <v>107</v>
      </c>
      <c r="AQ111">
        <f t="shared" si="439"/>
        <v>12</v>
      </c>
      <c r="AR111" s="17">
        <v>7</v>
      </c>
      <c r="AS111" s="17">
        <f t="shared" si="520"/>
        <v>135</v>
      </c>
      <c r="AT111" s="17">
        <v>6</v>
      </c>
      <c r="AU111">
        <f t="shared" si="440"/>
        <v>22</v>
      </c>
      <c r="AV111">
        <v>150</v>
      </c>
      <c r="AW111">
        <f t="shared" si="441"/>
        <v>22196.2752</v>
      </c>
      <c r="AX111">
        <f t="shared" si="570"/>
        <v>121800000</v>
      </c>
      <c r="AY111">
        <f t="shared" si="442"/>
        <v>2030</v>
      </c>
      <c r="AZ111">
        <f t="shared" si="443"/>
        <v>4060</v>
      </c>
      <c r="BA111">
        <f t="shared" si="444"/>
        <v>27840</v>
      </c>
      <c r="BB111">
        <f t="shared" si="445"/>
        <v>1015</v>
      </c>
      <c r="BC111">
        <f t="shared" si="571"/>
        <v>121800000</v>
      </c>
      <c r="BD111">
        <f t="shared" si="446"/>
        <v>0.29411764705882354</v>
      </c>
      <c r="BE111" s="27">
        <f t="shared" si="572"/>
        <v>44134839.000000007</v>
      </c>
      <c r="BF111" s="30">
        <f t="shared" si="447"/>
        <v>0.32879999999999998</v>
      </c>
      <c r="BG111" s="27"/>
      <c r="BH111" s="27"/>
      <c r="BI111" s="27"/>
      <c r="CA111" s="20">
        <f t="shared" si="448"/>
        <v>155</v>
      </c>
      <c r="CB111" s="20">
        <f t="shared" si="449"/>
        <v>15500</v>
      </c>
    </row>
    <row r="112" spans="1:80" x14ac:dyDescent="0.15">
      <c r="A112">
        <v>1301</v>
      </c>
      <c r="B112" s="3" t="s">
        <v>108</v>
      </c>
      <c r="C112" s="4" t="s">
        <v>109</v>
      </c>
      <c r="D112" s="4" t="s">
        <v>110</v>
      </c>
      <c r="E112" s="5">
        <v>3</v>
      </c>
      <c r="F112" s="7" t="s">
        <v>141</v>
      </c>
      <c r="G112" s="5">
        <v>2.5</v>
      </c>
      <c r="H112" s="7" t="s">
        <v>194</v>
      </c>
      <c r="I112" s="5">
        <v>0</v>
      </c>
      <c r="J112" s="5">
        <v>0</v>
      </c>
      <c r="K112">
        <v>2</v>
      </c>
      <c r="L112">
        <v>1.5</v>
      </c>
      <c r="M112" s="5">
        <v>1.5</v>
      </c>
      <c r="N112" s="5">
        <v>10</v>
      </c>
      <c r="O112" s="5">
        <f t="shared" si="429"/>
        <v>16868</v>
      </c>
      <c r="P112" s="5">
        <f t="shared" si="430"/>
        <v>92400000</v>
      </c>
      <c r="Q112" s="5">
        <f t="shared" si="431"/>
        <v>1540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70011</v>
      </c>
      <c r="X112" s="6" t="s">
        <v>179</v>
      </c>
      <c r="Y112" s="5">
        <v>300</v>
      </c>
      <c r="Z112" s="5">
        <v>1</v>
      </c>
      <c r="AA112" s="5">
        <v>9870336</v>
      </c>
      <c r="AB112" s="16" t="s">
        <v>111</v>
      </c>
      <c r="AC112" s="7" t="s">
        <v>112</v>
      </c>
      <c r="AD112" s="7" t="s">
        <v>112</v>
      </c>
      <c r="AE112" s="7" t="s">
        <v>112</v>
      </c>
      <c r="AF112" s="6" t="s">
        <v>113</v>
      </c>
      <c r="AG112" s="26" t="str">
        <f t="shared" ref="AG112" si="748">CM$4</f>
        <v>4,33,28,33,6,4,33,28,33,6</v>
      </c>
      <c r="AH112" s="26" t="str">
        <f t="shared" ref="AH112" si="749">CN$4</f>
        <v>0,8,0,8,1,0,8,0,8,1</v>
      </c>
      <c r="AI112" s="26" t="str">
        <f t="shared" ref="AI112" si="750">CO$4</f>
        <v>0,0,0,0,1,0,0,0,0,1</v>
      </c>
      <c r="AJ112" s="26" t="str">
        <f t="shared" ref="AJ112" si="751">CP$4</f>
        <v>0,0,0,0,5,0,0,0,0,5</v>
      </c>
      <c r="AK112" s="26" t="str">
        <f t="shared" ref="AK112" si="752">CQ$4</f>
        <v>100,1,1000,2,5,200,1,1000,2,5</v>
      </c>
      <c r="AL112" s="26" t="str">
        <f t="shared" ref="AL112" si="753">CR$4</f>
        <v>5,5,5,5,5,5,5,5,5,5</v>
      </c>
      <c r="AM112" s="7">
        <v>2001</v>
      </c>
      <c r="AO112">
        <f t="shared" ref="AO112" si="754">AQ112*100+1</f>
        <v>1301</v>
      </c>
      <c r="AP112">
        <v>108</v>
      </c>
      <c r="AQ112">
        <f t="shared" si="439"/>
        <v>13</v>
      </c>
      <c r="AR112" s="17">
        <v>7</v>
      </c>
      <c r="AS112" s="17">
        <f t="shared" si="520"/>
        <v>100</v>
      </c>
      <c r="AT112" s="17">
        <v>6</v>
      </c>
      <c r="AU112">
        <f t="shared" si="440"/>
        <v>22</v>
      </c>
      <c r="AV112">
        <v>150</v>
      </c>
      <c r="AW112">
        <f t="shared" si="441"/>
        <v>16868.966399999998</v>
      </c>
      <c r="AX112">
        <f t="shared" si="570"/>
        <v>92400000</v>
      </c>
      <c r="AY112">
        <f t="shared" si="442"/>
        <v>1540</v>
      </c>
      <c r="AZ112">
        <f t="shared" si="443"/>
        <v>3080</v>
      </c>
      <c r="BA112">
        <f t="shared" si="444"/>
        <v>21120</v>
      </c>
      <c r="BB112">
        <f t="shared" si="445"/>
        <v>770</v>
      </c>
      <c r="BC112">
        <f t="shared" si="571"/>
        <v>92400000</v>
      </c>
      <c r="BD112">
        <f t="shared" si="446"/>
        <v>0.29411764705882354</v>
      </c>
      <c r="BE112" s="27">
        <f t="shared" si="572"/>
        <v>25399836.000000007</v>
      </c>
      <c r="BF112" s="30">
        <f t="shared" si="447"/>
        <v>0.33119999999999999</v>
      </c>
      <c r="BG112" s="27"/>
      <c r="BH112" s="27"/>
      <c r="BI112" s="27"/>
      <c r="CA112" s="20">
        <f t="shared" si="448"/>
        <v>160</v>
      </c>
      <c r="CB112" s="20">
        <f t="shared" si="449"/>
        <v>16000</v>
      </c>
    </row>
    <row r="113" spans="1:80" x14ac:dyDescent="0.15">
      <c r="A113">
        <v>1302</v>
      </c>
      <c r="B113" s="3" t="s">
        <v>115</v>
      </c>
      <c r="C113" s="4" t="s">
        <v>109</v>
      </c>
      <c r="D113" s="6" t="s">
        <v>110</v>
      </c>
      <c r="E113" s="5">
        <v>3</v>
      </c>
      <c r="F113" s="7" t="s">
        <v>142</v>
      </c>
      <c r="G113" s="5">
        <v>3</v>
      </c>
      <c r="H113" s="7" t="s">
        <v>188</v>
      </c>
      <c r="I113" s="5">
        <v>0</v>
      </c>
      <c r="J113" s="5">
        <v>0</v>
      </c>
      <c r="K113">
        <v>2</v>
      </c>
      <c r="L113">
        <v>1.5</v>
      </c>
      <c r="M113" s="5">
        <v>1.5</v>
      </c>
      <c r="N113" s="5">
        <v>10</v>
      </c>
      <c r="O113" s="5">
        <f t="shared" si="429"/>
        <v>17635</v>
      </c>
      <c r="P113" s="5">
        <f t="shared" si="430"/>
        <v>96600000</v>
      </c>
      <c r="Q113" s="5">
        <f t="shared" si="431"/>
        <v>1610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70021</v>
      </c>
      <c r="X113" s="6" t="s">
        <v>180</v>
      </c>
      <c r="Y113" s="5">
        <v>300</v>
      </c>
      <c r="Z113" s="5">
        <v>1</v>
      </c>
      <c r="AA113" s="5">
        <v>4952304</v>
      </c>
      <c r="AB113" s="16" t="s">
        <v>111</v>
      </c>
      <c r="AC113" s="7" t="s">
        <v>112</v>
      </c>
      <c r="AD113" s="7" t="s">
        <v>112</v>
      </c>
      <c r="AE113" s="7" t="s">
        <v>112</v>
      </c>
      <c r="AF113" s="6" t="s">
        <v>113</v>
      </c>
      <c r="AG113" s="26" t="str">
        <f t="shared" ref="AG113" si="755">CM$5</f>
        <v>4,33,28,33,6,4,33,28,33,6</v>
      </c>
      <c r="AH113" s="26" t="str">
        <f t="shared" ref="AH113" si="756">CN$5</f>
        <v>0,7,0,7,1,0,7,0,7,1</v>
      </c>
      <c r="AI113" s="26" t="str">
        <f t="shared" ref="AI113" si="757">CO$5</f>
        <v>0,0,0,0,1,0,0,0,0,1</v>
      </c>
      <c r="AJ113" s="26" t="str">
        <f t="shared" ref="AJ113" si="758">CP$5</f>
        <v>0,0,0,0,5,0,0,0,0,5</v>
      </c>
      <c r="AK113" s="26" t="str">
        <f t="shared" ref="AK113" si="759">CQ$5</f>
        <v>100,1,1000,2,5,200,1,1000,2,5</v>
      </c>
      <c r="AL113" s="26" t="str">
        <f t="shared" ref="AL113" si="760">CR$5</f>
        <v>5,5,5,5,5,5,5,5,5,5</v>
      </c>
      <c r="AM113" s="7">
        <v>2001</v>
      </c>
      <c r="AO113">
        <f t="shared" ref="AO113" si="761">AQ113*100+2</f>
        <v>1302</v>
      </c>
      <c r="AP113">
        <v>109</v>
      </c>
      <c r="AQ113">
        <f t="shared" si="439"/>
        <v>13</v>
      </c>
      <c r="AR113" s="17">
        <v>7</v>
      </c>
      <c r="AS113" s="17">
        <f t="shared" si="520"/>
        <v>105</v>
      </c>
      <c r="AT113" s="17">
        <v>6</v>
      </c>
      <c r="AU113">
        <f t="shared" si="440"/>
        <v>22</v>
      </c>
      <c r="AV113">
        <v>150</v>
      </c>
      <c r="AW113">
        <f t="shared" si="441"/>
        <v>17635.7376</v>
      </c>
      <c r="AX113">
        <f t="shared" si="570"/>
        <v>96600000</v>
      </c>
      <c r="AY113">
        <f t="shared" si="442"/>
        <v>1610</v>
      </c>
      <c r="AZ113">
        <f t="shared" si="443"/>
        <v>3220</v>
      </c>
      <c r="BA113">
        <f t="shared" si="444"/>
        <v>22080</v>
      </c>
      <c r="BB113">
        <f t="shared" si="445"/>
        <v>805</v>
      </c>
      <c r="BC113">
        <f t="shared" si="571"/>
        <v>96600000</v>
      </c>
      <c r="BD113">
        <f t="shared" si="446"/>
        <v>0.29411764705882354</v>
      </c>
      <c r="BE113" s="27">
        <f t="shared" si="572"/>
        <v>27761391.000000007</v>
      </c>
      <c r="BF113" s="30">
        <f t="shared" si="447"/>
        <v>0.33119999999999999</v>
      </c>
      <c r="BG113" s="27"/>
      <c r="BH113" s="27"/>
      <c r="BI113" s="27"/>
      <c r="CA113" s="20">
        <f t="shared" si="448"/>
        <v>160</v>
      </c>
      <c r="CB113" s="20">
        <f t="shared" si="449"/>
        <v>16000</v>
      </c>
    </row>
    <row r="114" spans="1:80" x14ac:dyDescent="0.15">
      <c r="A114">
        <v>1303</v>
      </c>
      <c r="B114" s="3" t="s">
        <v>117</v>
      </c>
      <c r="C114" s="4" t="s">
        <v>109</v>
      </c>
      <c r="D114" s="4" t="s">
        <v>110</v>
      </c>
      <c r="E114" s="5">
        <v>1</v>
      </c>
      <c r="F114" s="7" t="s">
        <v>144</v>
      </c>
      <c r="G114" s="5">
        <v>3</v>
      </c>
      <c r="H114" s="7" t="s">
        <v>189</v>
      </c>
      <c r="I114" s="5">
        <v>0</v>
      </c>
      <c r="J114" s="2">
        <v>0</v>
      </c>
      <c r="K114">
        <v>6</v>
      </c>
      <c r="L114">
        <v>1.5</v>
      </c>
      <c r="M114" s="5">
        <v>1.5</v>
      </c>
      <c r="N114" s="5">
        <v>10</v>
      </c>
      <c r="O114" s="5">
        <f t="shared" si="429"/>
        <v>18402</v>
      </c>
      <c r="P114" s="5">
        <f t="shared" si="430"/>
        <v>100800000</v>
      </c>
      <c r="Q114" s="5">
        <f t="shared" si="431"/>
        <v>1680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70031</v>
      </c>
      <c r="X114" s="6" t="s">
        <v>181</v>
      </c>
      <c r="Y114" s="5">
        <v>300</v>
      </c>
      <c r="Z114" s="5">
        <v>1</v>
      </c>
      <c r="AA114" s="5">
        <v>5552064</v>
      </c>
      <c r="AB114" s="16" t="s">
        <v>111</v>
      </c>
      <c r="AC114" s="7" t="s">
        <v>112</v>
      </c>
      <c r="AD114" s="7" t="s">
        <v>112</v>
      </c>
      <c r="AE114" s="7" t="s">
        <v>112</v>
      </c>
      <c r="AF114" s="6" t="s">
        <v>113</v>
      </c>
      <c r="AG114" s="26" t="str">
        <f t="shared" ref="AG114" si="762">CM$6</f>
        <v>4,28,6,28,6,4,28,6,28,6</v>
      </c>
      <c r="AH114" s="26" t="str">
        <f t="shared" ref="AH114" si="763">CN$6</f>
        <v>0,0,1,0,1,0,0,1,0,1</v>
      </c>
      <c r="AI114" s="26" t="str">
        <f t="shared" ref="AI114" si="764">CO$6</f>
        <v>0,0,0,0,1,0,0,0,0,1</v>
      </c>
      <c r="AJ114" s="26" t="str">
        <f t="shared" ref="AJ114" si="765">CP$6</f>
        <v>0,0,5,0,5,0,0,5,0,5</v>
      </c>
      <c r="AK114" s="26" t="str">
        <f t="shared" ref="AK114" si="766">CQ$6</f>
        <v>100,1000,5,1500,5,200,1000,5,1500,5</v>
      </c>
      <c r="AL114" s="26" t="str">
        <f t="shared" ref="AL114" si="767">CR$6</f>
        <v>5,5,5,5,5,5,5,5,5,5</v>
      </c>
      <c r="AM114" s="7">
        <v>2001</v>
      </c>
      <c r="AO114">
        <f t="shared" ref="AO114" si="768">AQ114*100+3</f>
        <v>1303</v>
      </c>
      <c r="AP114">
        <v>110</v>
      </c>
      <c r="AQ114">
        <f t="shared" si="439"/>
        <v>13</v>
      </c>
      <c r="AR114" s="17">
        <v>7</v>
      </c>
      <c r="AS114" s="17">
        <f t="shared" si="520"/>
        <v>110</v>
      </c>
      <c r="AT114" s="17">
        <v>6</v>
      </c>
      <c r="AU114">
        <f t="shared" si="440"/>
        <v>22</v>
      </c>
      <c r="AV114">
        <v>150</v>
      </c>
      <c r="AW114">
        <f t="shared" si="441"/>
        <v>18402.5088</v>
      </c>
      <c r="AX114">
        <f t="shared" si="570"/>
        <v>100800000</v>
      </c>
      <c r="AY114">
        <f t="shared" si="442"/>
        <v>1680</v>
      </c>
      <c r="AZ114">
        <f t="shared" si="443"/>
        <v>3360</v>
      </c>
      <c r="BA114">
        <f t="shared" si="444"/>
        <v>23040</v>
      </c>
      <c r="BB114">
        <f t="shared" si="445"/>
        <v>840</v>
      </c>
      <c r="BC114">
        <f t="shared" si="571"/>
        <v>100800000</v>
      </c>
      <c r="BD114">
        <f t="shared" si="446"/>
        <v>0.29411764705882354</v>
      </c>
      <c r="BE114" s="27">
        <f t="shared" si="572"/>
        <v>30227904.000000007</v>
      </c>
      <c r="BF114" s="30">
        <f t="shared" si="447"/>
        <v>0.33119999999999999</v>
      </c>
      <c r="BG114" s="27"/>
      <c r="BH114" s="27"/>
      <c r="BI114" s="27"/>
      <c r="CA114" s="20">
        <f t="shared" si="448"/>
        <v>160</v>
      </c>
      <c r="CB114" s="20">
        <f t="shared" si="449"/>
        <v>16000</v>
      </c>
    </row>
    <row r="115" spans="1:80" x14ac:dyDescent="0.15">
      <c r="A115">
        <v>1304</v>
      </c>
      <c r="B115" s="3" t="s">
        <v>119</v>
      </c>
      <c r="C115" s="4" t="s">
        <v>109</v>
      </c>
      <c r="D115" s="6" t="s">
        <v>120</v>
      </c>
      <c r="E115" s="5">
        <v>3</v>
      </c>
      <c r="F115" s="7" t="s">
        <v>145</v>
      </c>
      <c r="G115" s="5">
        <v>3</v>
      </c>
      <c r="H115" s="7" t="s">
        <v>190</v>
      </c>
      <c r="I115" s="5">
        <v>0</v>
      </c>
      <c r="J115" s="5">
        <v>0</v>
      </c>
      <c r="K115">
        <v>2</v>
      </c>
      <c r="L115">
        <v>1.5</v>
      </c>
      <c r="M115" s="5">
        <v>1.5</v>
      </c>
      <c r="N115" s="5">
        <v>10</v>
      </c>
      <c r="O115" s="5">
        <f t="shared" si="429"/>
        <v>19169</v>
      </c>
      <c r="P115" s="5">
        <f t="shared" si="430"/>
        <v>105000000</v>
      </c>
      <c r="Q115" s="5">
        <f t="shared" si="431"/>
        <v>1750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70041</v>
      </c>
      <c r="X115" s="6" t="s">
        <v>182</v>
      </c>
      <c r="Y115" s="5">
        <v>300</v>
      </c>
      <c r="Z115" s="5">
        <v>1</v>
      </c>
      <c r="AA115" s="5">
        <v>6186096</v>
      </c>
      <c r="AB115" s="16" t="s">
        <v>111</v>
      </c>
      <c r="AC115" s="7" t="s">
        <v>112</v>
      </c>
      <c r="AD115" s="7" t="s">
        <v>112</v>
      </c>
      <c r="AE115" s="7" t="s">
        <v>112</v>
      </c>
      <c r="AF115" s="6" t="s">
        <v>113</v>
      </c>
      <c r="AG115" s="26" t="str">
        <f t="shared" ref="AG115" si="769">CM$7</f>
        <v>4,14,28,14,6,4,14,28,14,6</v>
      </c>
      <c r="AH115" s="26" t="str">
        <f t="shared" ref="AH115" si="770">CN$7</f>
        <v>0,0,0,0,1,0,0,0,0,1</v>
      </c>
      <c r="AI115" s="26" t="str">
        <f t="shared" ref="AI115" si="771">CO$7</f>
        <v>0,0,0,0,1,0,0,0,0,1</v>
      </c>
      <c r="AJ115" s="26" t="str">
        <f t="shared" ref="AJ115" si="772">CP$7</f>
        <v>0,0,0,0,5,0,0,0,0,5</v>
      </c>
      <c r="AK115" s="26" t="str">
        <f t="shared" ref="AK115" si="773">CQ$7</f>
        <v>100,1,1000,2,5,200,1,1000,2,5</v>
      </c>
      <c r="AL115" s="26" t="str">
        <f t="shared" ref="AL115" si="774">CR$7</f>
        <v>5,5,5,5,5,5,5,5,5,5</v>
      </c>
      <c r="AM115" s="7">
        <v>2001</v>
      </c>
      <c r="AO115">
        <f t="shared" ref="AO115" si="775">AQ115*100+4</f>
        <v>1304</v>
      </c>
      <c r="AP115">
        <v>111</v>
      </c>
      <c r="AQ115">
        <f t="shared" si="439"/>
        <v>13</v>
      </c>
      <c r="AR115" s="17">
        <v>7</v>
      </c>
      <c r="AS115" s="17">
        <f t="shared" si="520"/>
        <v>115</v>
      </c>
      <c r="AT115" s="17">
        <v>6</v>
      </c>
      <c r="AU115">
        <f t="shared" si="440"/>
        <v>22</v>
      </c>
      <c r="AV115">
        <v>150</v>
      </c>
      <c r="AW115">
        <f t="shared" si="441"/>
        <v>19169.28</v>
      </c>
      <c r="AX115">
        <f t="shared" si="570"/>
        <v>105000000</v>
      </c>
      <c r="AY115">
        <f t="shared" si="442"/>
        <v>1750</v>
      </c>
      <c r="AZ115">
        <f t="shared" si="443"/>
        <v>3500</v>
      </c>
      <c r="BA115">
        <f t="shared" si="444"/>
        <v>24000</v>
      </c>
      <c r="BB115">
        <f t="shared" si="445"/>
        <v>875</v>
      </c>
      <c r="BC115">
        <f t="shared" si="571"/>
        <v>105000000</v>
      </c>
      <c r="BD115">
        <f t="shared" si="446"/>
        <v>0.29411764705882354</v>
      </c>
      <c r="BE115" s="27">
        <f t="shared" si="572"/>
        <v>32799375.000000007</v>
      </c>
      <c r="BF115" s="30">
        <f t="shared" si="447"/>
        <v>0.33119999999999999</v>
      </c>
      <c r="BG115" s="27"/>
      <c r="BH115" s="27"/>
      <c r="BI115" s="27"/>
      <c r="CA115" s="20">
        <f t="shared" si="448"/>
        <v>160</v>
      </c>
      <c r="CB115" s="20">
        <f t="shared" si="449"/>
        <v>16000</v>
      </c>
    </row>
    <row r="116" spans="1:80" x14ac:dyDescent="0.15">
      <c r="A116">
        <v>1305</v>
      </c>
      <c r="B116" s="3" t="s">
        <v>122</v>
      </c>
      <c r="C116" s="4" t="s">
        <v>109</v>
      </c>
      <c r="D116" s="4" t="s">
        <v>110</v>
      </c>
      <c r="E116" s="5">
        <v>2</v>
      </c>
      <c r="F116" s="7" t="s">
        <v>146</v>
      </c>
      <c r="G116" s="5">
        <v>3</v>
      </c>
      <c r="H116" s="7" t="s">
        <v>191</v>
      </c>
      <c r="I116" s="5">
        <v>0</v>
      </c>
      <c r="J116" s="7" t="s">
        <v>148</v>
      </c>
      <c r="K116">
        <v>6</v>
      </c>
      <c r="L116">
        <v>1.5</v>
      </c>
      <c r="M116" s="5">
        <v>1.5</v>
      </c>
      <c r="N116" s="5">
        <v>10</v>
      </c>
      <c r="O116" s="5">
        <f t="shared" si="429"/>
        <v>19936</v>
      </c>
      <c r="P116" s="5">
        <f t="shared" si="430"/>
        <v>109200000</v>
      </c>
      <c r="Q116" s="5">
        <f t="shared" si="431"/>
        <v>1820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70051</v>
      </c>
      <c r="X116" s="6" t="s">
        <v>183</v>
      </c>
      <c r="Y116" s="5">
        <v>300</v>
      </c>
      <c r="Z116" s="5">
        <v>1</v>
      </c>
      <c r="AA116" s="5">
        <v>6854400</v>
      </c>
      <c r="AB116" s="16" t="s">
        <v>111</v>
      </c>
      <c r="AC116" s="7" t="s">
        <v>112</v>
      </c>
      <c r="AD116" s="7" t="s">
        <v>112</v>
      </c>
      <c r="AE116" s="7" t="s">
        <v>112</v>
      </c>
      <c r="AF116" s="6" t="s">
        <v>113</v>
      </c>
      <c r="AG116" s="26" t="str">
        <f t="shared" ref="AG116" si="776">CM$8</f>
        <v>4,19,28,19,6,4,19,28,19,6</v>
      </c>
      <c r="AH116" s="26" t="str">
        <f t="shared" ref="AH116" si="777">CN$8</f>
        <v>0,0,0,0,1,0,0,0,0,1</v>
      </c>
      <c r="AI116" s="26" t="str">
        <f t="shared" ref="AI116" si="778">CO$8</f>
        <v>0,0,0,0,1,0,0,0,0,1</v>
      </c>
      <c r="AJ116" s="26" t="str">
        <f t="shared" ref="AJ116" si="779">CP$8</f>
        <v>0,0,0,0,5,0,0,0,0,5</v>
      </c>
      <c r="AK116" s="26" t="str">
        <f t="shared" ref="AK116" si="780">CQ$8</f>
        <v>200,100,1000,200,5,200,100,1000,200,5</v>
      </c>
      <c r="AL116" s="26" t="str">
        <f t="shared" ref="AL116" si="781">CR$8</f>
        <v>5,5,5,5,5,5,5,5,5,5</v>
      </c>
      <c r="AM116" s="7">
        <v>2001</v>
      </c>
      <c r="AO116">
        <f t="shared" ref="AO116" si="782">AQ116*100+5</f>
        <v>1305</v>
      </c>
      <c r="AP116">
        <v>112</v>
      </c>
      <c r="AQ116">
        <f t="shared" si="439"/>
        <v>13</v>
      </c>
      <c r="AR116" s="17">
        <v>7</v>
      </c>
      <c r="AS116" s="17">
        <f t="shared" si="520"/>
        <v>120</v>
      </c>
      <c r="AT116" s="17">
        <v>6</v>
      </c>
      <c r="AU116">
        <f t="shared" si="440"/>
        <v>22</v>
      </c>
      <c r="AV116">
        <v>150</v>
      </c>
      <c r="AW116">
        <f t="shared" si="441"/>
        <v>19936.051199999998</v>
      </c>
      <c r="AX116">
        <f t="shared" si="570"/>
        <v>109200000</v>
      </c>
      <c r="AY116">
        <f t="shared" si="442"/>
        <v>1820</v>
      </c>
      <c r="AZ116">
        <f t="shared" si="443"/>
        <v>3640</v>
      </c>
      <c r="BA116">
        <f t="shared" si="444"/>
        <v>24960</v>
      </c>
      <c r="BB116">
        <f t="shared" si="445"/>
        <v>910</v>
      </c>
      <c r="BC116">
        <f t="shared" si="571"/>
        <v>109200000</v>
      </c>
      <c r="BD116">
        <f t="shared" si="446"/>
        <v>0.29411764705882354</v>
      </c>
      <c r="BE116" s="27">
        <f t="shared" si="572"/>
        <v>35475804.000000007</v>
      </c>
      <c r="BF116" s="30">
        <f t="shared" si="447"/>
        <v>0.33119999999999999</v>
      </c>
      <c r="BG116" s="27"/>
      <c r="BH116" s="27"/>
      <c r="BI116" s="27"/>
      <c r="CA116" s="20">
        <f t="shared" si="448"/>
        <v>160</v>
      </c>
      <c r="CB116" s="20">
        <f t="shared" si="449"/>
        <v>16000</v>
      </c>
    </row>
    <row r="117" spans="1:80" x14ac:dyDescent="0.15">
      <c r="A117">
        <v>1306</v>
      </c>
      <c r="B117" s="3" t="s">
        <v>124</v>
      </c>
      <c r="C117" s="4" t="s">
        <v>109</v>
      </c>
      <c r="D117" s="6" t="s">
        <v>120</v>
      </c>
      <c r="E117" s="5">
        <v>1</v>
      </c>
      <c r="F117" s="7" t="s">
        <v>147</v>
      </c>
      <c r="G117" s="5">
        <v>3</v>
      </c>
      <c r="H117" s="7" t="s">
        <v>192</v>
      </c>
      <c r="I117" s="5">
        <v>0</v>
      </c>
      <c r="J117" s="7" t="s">
        <v>149</v>
      </c>
      <c r="K117">
        <v>6</v>
      </c>
      <c r="L117">
        <v>1.5</v>
      </c>
      <c r="M117" s="5">
        <v>1.5</v>
      </c>
      <c r="N117" s="5">
        <v>10</v>
      </c>
      <c r="O117" s="5">
        <f t="shared" si="429"/>
        <v>20702</v>
      </c>
      <c r="P117" s="5">
        <f t="shared" si="430"/>
        <v>113400000</v>
      </c>
      <c r="Q117" s="5">
        <f t="shared" si="431"/>
        <v>1890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70061</v>
      </c>
      <c r="X117" s="6" t="s">
        <v>184</v>
      </c>
      <c r="Y117" s="5">
        <v>300</v>
      </c>
      <c r="Z117" s="5">
        <v>1</v>
      </c>
      <c r="AA117" s="5">
        <v>7556976</v>
      </c>
      <c r="AB117" s="16" t="s">
        <v>111</v>
      </c>
      <c r="AC117" s="7" t="s">
        <v>112</v>
      </c>
      <c r="AD117" s="7" t="s">
        <v>112</v>
      </c>
      <c r="AE117" s="7" t="s">
        <v>112</v>
      </c>
      <c r="AF117" s="6" t="s">
        <v>113</v>
      </c>
      <c r="AG117" s="26" t="str">
        <f t="shared" ref="AG117" si="783">CM$9</f>
        <v>4,33,28,33,6,4,33,28,33,6</v>
      </c>
      <c r="AH117" s="26" t="str">
        <f t="shared" ref="AH117" si="784">CN$9</f>
        <v>0,6,0,6,1,0,6,0,6,1</v>
      </c>
      <c r="AI117" s="26" t="str">
        <f t="shared" ref="AI117" si="785">CO$9</f>
        <v>0,0,0,0,1,0,0,0,0,1</v>
      </c>
      <c r="AJ117" s="26" t="str">
        <f t="shared" ref="AJ117" si="786">CP$9</f>
        <v>0,0,0,0,5,0,0,0,0,5</v>
      </c>
      <c r="AK117" s="26" t="str">
        <f t="shared" ref="AK117" si="787">CQ$9</f>
        <v>200,1,1000,2,5,200,1,1000,2,5</v>
      </c>
      <c r="AL117" s="26" t="str">
        <f t="shared" ref="AL117" si="788">CR$9</f>
        <v>5,5,5,5,5,5,5,5,5,5</v>
      </c>
      <c r="AM117" s="7">
        <v>2001</v>
      </c>
      <c r="AO117">
        <f t="shared" ref="AO117" si="789">AQ117*100+6</f>
        <v>1306</v>
      </c>
      <c r="AP117">
        <v>113</v>
      </c>
      <c r="AQ117">
        <f t="shared" si="439"/>
        <v>13</v>
      </c>
      <c r="AR117" s="17">
        <v>7</v>
      </c>
      <c r="AS117" s="17">
        <f t="shared" si="520"/>
        <v>125</v>
      </c>
      <c r="AT117" s="17">
        <v>6</v>
      </c>
      <c r="AU117">
        <f t="shared" si="440"/>
        <v>22</v>
      </c>
      <c r="AV117">
        <v>150</v>
      </c>
      <c r="AW117">
        <f t="shared" si="441"/>
        <v>20702.822399999997</v>
      </c>
      <c r="AX117">
        <f t="shared" si="570"/>
        <v>113400000</v>
      </c>
      <c r="AY117">
        <f t="shared" si="442"/>
        <v>1890</v>
      </c>
      <c r="AZ117">
        <f t="shared" si="443"/>
        <v>3780</v>
      </c>
      <c r="BA117">
        <f t="shared" si="444"/>
        <v>25920</v>
      </c>
      <c r="BB117">
        <f t="shared" si="445"/>
        <v>945</v>
      </c>
      <c r="BC117">
        <f t="shared" si="571"/>
        <v>113400000</v>
      </c>
      <c r="BD117">
        <f t="shared" si="446"/>
        <v>0.29411764705882354</v>
      </c>
      <c r="BE117" s="27">
        <f t="shared" si="572"/>
        <v>38257191.000000007</v>
      </c>
      <c r="BF117" s="30">
        <f t="shared" si="447"/>
        <v>0.33119999999999999</v>
      </c>
      <c r="BG117" s="27"/>
      <c r="BH117" s="27"/>
      <c r="BI117" s="27"/>
      <c r="CA117" s="20">
        <f t="shared" si="448"/>
        <v>160</v>
      </c>
      <c r="CB117" s="20">
        <f t="shared" si="449"/>
        <v>16000</v>
      </c>
    </row>
    <row r="118" spans="1:80" x14ac:dyDescent="0.15">
      <c r="A118">
        <v>1307</v>
      </c>
      <c r="B118" s="3" t="s">
        <v>126</v>
      </c>
      <c r="C118" s="4" t="s">
        <v>109</v>
      </c>
      <c r="D118" s="4" t="s">
        <v>110</v>
      </c>
      <c r="E118" s="5">
        <v>2</v>
      </c>
      <c r="F118" s="7" t="s">
        <v>143</v>
      </c>
      <c r="G118" s="5">
        <v>3</v>
      </c>
      <c r="H118" s="7" t="s">
        <v>193</v>
      </c>
      <c r="I118" s="5">
        <v>0</v>
      </c>
      <c r="J118" s="5">
        <v>0</v>
      </c>
      <c r="K118">
        <v>2</v>
      </c>
      <c r="L118">
        <v>1.5</v>
      </c>
      <c r="M118" s="5">
        <v>1.5</v>
      </c>
      <c r="N118" s="5">
        <v>10</v>
      </c>
      <c r="O118" s="5">
        <f t="shared" si="429"/>
        <v>21469</v>
      </c>
      <c r="P118" s="5">
        <f t="shared" si="430"/>
        <v>117600000</v>
      </c>
      <c r="Q118" s="5">
        <f t="shared" si="431"/>
        <v>1960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70071</v>
      </c>
      <c r="X118" s="6" t="s">
        <v>185</v>
      </c>
      <c r="Y118" s="5">
        <v>300</v>
      </c>
      <c r="Z118" s="5">
        <v>1</v>
      </c>
      <c r="AA118" s="5">
        <v>8293824</v>
      </c>
      <c r="AB118" s="16" t="s">
        <v>111</v>
      </c>
      <c r="AC118" s="7" t="s">
        <v>112</v>
      </c>
      <c r="AD118" s="7" t="s">
        <v>112</v>
      </c>
      <c r="AE118" s="7" t="s">
        <v>112</v>
      </c>
      <c r="AF118" s="6" t="s">
        <v>113</v>
      </c>
      <c r="AG118" s="26" t="str">
        <f t="shared" ref="AG118" si="790">CM$10</f>
        <v>4,14,28,14,6,4,14,28,14,6</v>
      </c>
      <c r="AH118" s="26" t="str">
        <f t="shared" ref="AH118" si="791">CN$10</f>
        <v>0,0,0,0,1,0,0,0,0,1</v>
      </c>
      <c r="AI118" s="26" t="str">
        <f t="shared" ref="AI118" si="792">CO$10</f>
        <v>0,0,0,0,1,0,0,0,0,1</v>
      </c>
      <c r="AJ118" s="26" t="str">
        <f t="shared" ref="AJ118" si="793">CP$10</f>
        <v>0,0,0,0,5,0,0,0,0,5</v>
      </c>
      <c r="AK118" s="26" t="str">
        <f t="shared" ref="AK118" si="794">CQ$10</f>
        <v>200,1,1000,2,5,200,1,1000,2,5</v>
      </c>
      <c r="AL118" s="26" t="str">
        <f t="shared" ref="AL118" si="795">CR$10</f>
        <v>5,5,5,5,5,5,5,5,5,5</v>
      </c>
      <c r="AM118" s="7">
        <v>2001</v>
      </c>
      <c r="AO118">
        <f t="shared" ref="AO118" si="796">AQ118*100+7</f>
        <v>1307</v>
      </c>
      <c r="AP118">
        <v>114</v>
      </c>
      <c r="AQ118">
        <f t="shared" si="439"/>
        <v>13</v>
      </c>
      <c r="AR118" s="17">
        <v>7</v>
      </c>
      <c r="AS118" s="17">
        <f t="shared" si="520"/>
        <v>130</v>
      </c>
      <c r="AT118" s="17">
        <v>6</v>
      </c>
      <c r="AU118">
        <f t="shared" si="440"/>
        <v>22</v>
      </c>
      <c r="AV118">
        <v>150</v>
      </c>
      <c r="AW118">
        <f t="shared" si="441"/>
        <v>21469.5936</v>
      </c>
      <c r="AX118">
        <f t="shared" si="570"/>
        <v>117600000</v>
      </c>
      <c r="AY118">
        <f t="shared" si="442"/>
        <v>1960</v>
      </c>
      <c r="AZ118">
        <f t="shared" si="443"/>
        <v>3920</v>
      </c>
      <c r="BA118">
        <f t="shared" si="444"/>
        <v>26880</v>
      </c>
      <c r="BB118">
        <f t="shared" si="445"/>
        <v>980</v>
      </c>
      <c r="BC118">
        <f t="shared" si="571"/>
        <v>117600000</v>
      </c>
      <c r="BD118">
        <f t="shared" si="446"/>
        <v>0.29411764705882354</v>
      </c>
      <c r="BE118" s="27">
        <f t="shared" si="572"/>
        <v>41143536.000000007</v>
      </c>
      <c r="BF118" s="30">
        <f t="shared" si="447"/>
        <v>0.33119999999999999</v>
      </c>
      <c r="BG118" s="27"/>
      <c r="BH118" s="27"/>
      <c r="BI118" s="27"/>
      <c r="CA118" s="20">
        <f t="shared" si="448"/>
        <v>160</v>
      </c>
      <c r="CB118" s="20">
        <f t="shared" si="449"/>
        <v>16000</v>
      </c>
    </row>
    <row r="119" spans="1:80" x14ac:dyDescent="0.15">
      <c r="A119">
        <v>1308</v>
      </c>
      <c r="B119" s="3" t="s">
        <v>128</v>
      </c>
      <c r="C119" s="4" t="s">
        <v>109</v>
      </c>
      <c r="D119" s="4" t="s">
        <v>110</v>
      </c>
      <c r="E119" s="5">
        <v>5</v>
      </c>
      <c r="F119" s="7" t="s">
        <v>129</v>
      </c>
      <c r="G119" s="5">
        <v>2</v>
      </c>
      <c r="H119" s="7" t="s">
        <v>130</v>
      </c>
      <c r="I119" s="5">
        <v>0</v>
      </c>
      <c r="J119" s="5">
        <v>0</v>
      </c>
      <c r="K119">
        <v>2</v>
      </c>
      <c r="L119">
        <v>1.5</v>
      </c>
      <c r="M119" s="5">
        <v>1.5</v>
      </c>
      <c r="N119" s="5">
        <v>10</v>
      </c>
      <c r="O119" s="5">
        <f t="shared" si="429"/>
        <v>22236</v>
      </c>
      <c r="P119" s="5">
        <f t="shared" si="430"/>
        <v>121800000</v>
      </c>
      <c r="Q119" s="5">
        <f t="shared" si="431"/>
        <v>2030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70081</v>
      </c>
      <c r="X119" s="6" t="s">
        <v>186</v>
      </c>
      <c r="Y119" s="5">
        <v>300</v>
      </c>
      <c r="Z119" s="5">
        <v>1</v>
      </c>
      <c r="AA119" s="5">
        <v>9064944</v>
      </c>
      <c r="AB119" s="16" t="s">
        <v>111</v>
      </c>
      <c r="AC119" s="7" t="s">
        <v>112</v>
      </c>
      <c r="AD119" s="7" t="s">
        <v>112</v>
      </c>
      <c r="AE119" s="7" t="s">
        <v>112</v>
      </c>
      <c r="AF119" s="6" t="s">
        <v>113</v>
      </c>
      <c r="AG119" s="26" t="str">
        <f t="shared" ref="AG119" si="797">CM$11</f>
        <v>4,28,6,28,6,4,28,6,28,6</v>
      </c>
      <c r="AH119" s="26" t="str">
        <f t="shared" ref="AH119" si="798">CN$11</f>
        <v>0,0,1,0,1,0,0,1,0,1</v>
      </c>
      <c r="AI119" s="26" t="str">
        <f t="shared" ref="AI119" si="799">CO$11</f>
        <v>0,0,1,0,1,0,0,1,0,1</v>
      </c>
      <c r="AJ119" s="26" t="str">
        <f t="shared" ref="AJ119" si="800">CP$11</f>
        <v>0,0,5,0,5,0,0,5,0,5</v>
      </c>
      <c r="AK119" s="26" t="str">
        <f t="shared" ref="AK119" si="801">CQ$11</f>
        <v>100,1000,5,1500,5,200,1000,5,1500,5</v>
      </c>
      <c r="AL119" s="26" t="str">
        <f t="shared" ref="AL119" si="802">CR$11</f>
        <v>5,5,5,5,5,5,5,5,5,5</v>
      </c>
      <c r="AM119" s="7">
        <v>2001</v>
      </c>
      <c r="AO119">
        <f t="shared" ref="AO119" si="803">AQ119*100+8</f>
        <v>1308</v>
      </c>
      <c r="AP119">
        <v>115</v>
      </c>
      <c r="AQ119">
        <f t="shared" si="439"/>
        <v>13</v>
      </c>
      <c r="AR119" s="17">
        <v>7</v>
      </c>
      <c r="AS119" s="17">
        <f t="shared" si="520"/>
        <v>135</v>
      </c>
      <c r="AT119" s="17">
        <v>6</v>
      </c>
      <c r="AU119">
        <f t="shared" si="440"/>
        <v>22</v>
      </c>
      <c r="AV119">
        <v>150</v>
      </c>
      <c r="AW119">
        <f t="shared" si="441"/>
        <v>22236.364799999999</v>
      </c>
      <c r="AX119">
        <f t="shared" si="570"/>
        <v>121800000</v>
      </c>
      <c r="AY119">
        <f t="shared" si="442"/>
        <v>2030</v>
      </c>
      <c r="AZ119">
        <f t="shared" si="443"/>
        <v>4060</v>
      </c>
      <c r="BA119">
        <f t="shared" si="444"/>
        <v>27840</v>
      </c>
      <c r="BB119">
        <f t="shared" si="445"/>
        <v>1015</v>
      </c>
      <c r="BC119">
        <f t="shared" si="571"/>
        <v>121800000</v>
      </c>
      <c r="BD119">
        <f t="shared" si="446"/>
        <v>0.29411764705882354</v>
      </c>
      <c r="BE119" s="27">
        <f t="shared" si="572"/>
        <v>44134839.000000007</v>
      </c>
      <c r="BF119" s="30">
        <f t="shared" si="447"/>
        <v>0.33119999999999999</v>
      </c>
      <c r="BG119" s="27"/>
      <c r="BH119" s="27"/>
      <c r="BI119" s="27"/>
      <c r="CA119" s="20">
        <f t="shared" si="448"/>
        <v>160</v>
      </c>
      <c r="CB119" s="20">
        <f t="shared" si="449"/>
        <v>16000</v>
      </c>
    </row>
    <row r="120" spans="1:80" x14ac:dyDescent="0.15">
      <c r="A120">
        <v>1309</v>
      </c>
      <c r="B120" s="3" t="s">
        <v>132</v>
      </c>
      <c r="C120" s="4" t="s">
        <v>109</v>
      </c>
      <c r="D120" s="4" t="s">
        <v>110</v>
      </c>
      <c r="E120" s="5">
        <v>5</v>
      </c>
      <c r="F120" s="7" t="s">
        <v>140</v>
      </c>
      <c r="G120" s="5">
        <v>3</v>
      </c>
      <c r="H120" s="7" t="s">
        <v>140</v>
      </c>
      <c r="I120" s="5">
        <v>0</v>
      </c>
      <c r="J120" s="7">
        <v>0</v>
      </c>
      <c r="K120">
        <v>6</v>
      </c>
      <c r="L120">
        <v>1.5</v>
      </c>
      <c r="M120" s="5">
        <v>1.5</v>
      </c>
      <c r="N120" s="5">
        <v>10</v>
      </c>
      <c r="O120" s="5">
        <f t="shared" si="429"/>
        <v>23003</v>
      </c>
      <c r="P120" s="5">
        <f t="shared" si="430"/>
        <v>126000000</v>
      </c>
      <c r="Q120" s="5">
        <f t="shared" si="431"/>
        <v>2100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70091</v>
      </c>
      <c r="X120" s="6" t="s">
        <v>187</v>
      </c>
      <c r="Y120" s="5">
        <v>300</v>
      </c>
      <c r="Z120" s="5">
        <v>1</v>
      </c>
      <c r="AA120" s="5">
        <v>9870336</v>
      </c>
      <c r="AB120" s="16" t="s">
        <v>111</v>
      </c>
      <c r="AC120" s="7" t="s">
        <v>112</v>
      </c>
      <c r="AD120" s="7" t="s">
        <v>112</v>
      </c>
      <c r="AE120" s="7" t="s">
        <v>112</v>
      </c>
      <c r="AF120" s="6" t="s">
        <v>113</v>
      </c>
      <c r="AG120" s="26" t="str">
        <f t="shared" ref="AG120" si="804">CM$12</f>
        <v>4,33,28,33,6,4,33,28,33,6</v>
      </c>
      <c r="AH120" s="26" t="str">
        <f t="shared" ref="AH120" si="805">CN$12</f>
        <v>0,5,0,5,1,0,5,0,5,1</v>
      </c>
      <c r="AI120" s="26" t="str">
        <f t="shared" ref="AI120" si="806">CO$12</f>
        <v>0,0,0,0,1,0,0,0,0,1</v>
      </c>
      <c r="AJ120" s="26" t="str">
        <f t="shared" ref="AJ120" si="807">CP$12</f>
        <v>0,0,0,0,5,0,0,0,0,5</v>
      </c>
      <c r="AK120" s="26" t="str">
        <f t="shared" ref="AK120" si="808">CQ$12</f>
        <v>100,1,1000,2,5,200,1,1000,2,5</v>
      </c>
      <c r="AL120" s="26" t="str">
        <f t="shared" ref="AL120" si="809">CR$12</f>
        <v>5,5,5,5,5,5,5,5,5,5</v>
      </c>
      <c r="AM120" s="7">
        <v>2001</v>
      </c>
      <c r="AO120">
        <f t="shared" ref="AO120" si="810">AQ120*100+9</f>
        <v>1309</v>
      </c>
      <c r="AP120">
        <v>116</v>
      </c>
      <c r="AQ120">
        <f t="shared" si="439"/>
        <v>13</v>
      </c>
      <c r="AR120" s="17">
        <v>7</v>
      </c>
      <c r="AS120" s="17">
        <f t="shared" si="520"/>
        <v>140</v>
      </c>
      <c r="AT120" s="17">
        <v>6</v>
      </c>
      <c r="AU120">
        <f t="shared" si="440"/>
        <v>22</v>
      </c>
      <c r="AV120">
        <v>150</v>
      </c>
      <c r="AW120">
        <f t="shared" si="441"/>
        <v>23003.135999999999</v>
      </c>
      <c r="AX120">
        <f t="shared" si="570"/>
        <v>126000000</v>
      </c>
      <c r="AY120">
        <f t="shared" si="442"/>
        <v>2100</v>
      </c>
      <c r="AZ120">
        <f t="shared" si="443"/>
        <v>4200</v>
      </c>
      <c r="BA120">
        <f t="shared" si="444"/>
        <v>28800</v>
      </c>
      <c r="BB120">
        <f t="shared" si="445"/>
        <v>1050</v>
      </c>
      <c r="BC120">
        <f t="shared" si="571"/>
        <v>126000000</v>
      </c>
      <c r="BD120">
        <f t="shared" si="446"/>
        <v>0.29411764705882354</v>
      </c>
      <c r="BE120" s="27">
        <f t="shared" si="572"/>
        <v>47231100</v>
      </c>
      <c r="BF120" s="30">
        <f t="shared" si="447"/>
        <v>0.33119999999999999</v>
      </c>
      <c r="BG120" s="27"/>
      <c r="BH120" s="27"/>
      <c r="BI120" s="27"/>
      <c r="CA120" s="20">
        <f t="shared" si="448"/>
        <v>160</v>
      </c>
      <c r="CB120" s="20">
        <f t="shared" si="449"/>
        <v>16000</v>
      </c>
    </row>
    <row r="121" spans="1:80" x14ac:dyDescent="0.15">
      <c r="A121">
        <v>1401</v>
      </c>
      <c r="B121" s="3" t="s">
        <v>108</v>
      </c>
      <c r="C121" s="4" t="s">
        <v>109</v>
      </c>
      <c r="D121" s="4" t="s">
        <v>110</v>
      </c>
      <c r="E121" s="5">
        <v>3</v>
      </c>
      <c r="F121" s="7" t="s">
        <v>141</v>
      </c>
      <c r="G121" s="5">
        <v>2.5</v>
      </c>
      <c r="H121" s="7" t="s">
        <v>194</v>
      </c>
      <c r="I121" s="5">
        <v>0</v>
      </c>
      <c r="J121" s="5">
        <v>0</v>
      </c>
      <c r="K121">
        <v>2</v>
      </c>
      <c r="L121">
        <v>1.5</v>
      </c>
      <c r="M121" s="5">
        <v>1.5</v>
      </c>
      <c r="N121" s="5">
        <v>10</v>
      </c>
      <c r="O121" s="5">
        <f t="shared" si="429"/>
        <v>17667</v>
      </c>
      <c r="P121" s="5">
        <f t="shared" si="430"/>
        <v>96600000</v>
      </c>
      <c r="Q121" s="5">
        <f t="shared" si="431"/>
        <v>1610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70011</v>
      </c>
      <c r="X121" s="6" t="s">
        <v>179</v>
      </c>
      <c r="Y121" s="5">
        <v>300</v>
      </c>
      <c r="Z121" s="5">
        <v>1</v>
      </c>
      <c r="AA121" s="5">
        <v>10710000</v>
      </c>
      <c r="AB121" s="16" t="s">
        <v>111</v>
      </c>
      <c r="AC121" s="7" t="s">
        <v>112</v>
      </c>
      <c r="AD121" s="7" t="s">
        <v>112</v>
      </c>
      <c r="AE121" s="7" t="s">
        <v>112</v>
      </c>
      <c r="AF121" s="6" t="s">
        <v>113</v>
      </c>
      <c r="AG121" s="26" t="str">
        <f t="shared" ref="AG121" si="811">CM$4</f>
        <v>4,33,28,33,6,4,33,28,33,6</v>
      </c>
      <c r="AH121" s="26" t="str">
        <f t="shared" ref="AH121" si="812">CN$4</f>
        <v>0,8,0,8,1,0,8,0,8,1</v>
      </c>
      <c r="AI121" s="26" t="str">
        <f t="shared" ref="AI121" si="813">CO$4</f>
        <v>0,0,0,0,1,0,0,0,0,1</v>
      </c>
      <c r="AJ121" s="26" t="str">
        <f t="shared" ref="AJ121" si="814">CP$4</f>
        <v>0,0,0,0,5,0,0,0,0,5</v>
      </c>
      <c r="AK121" s="26" t="str">
        <f t="shared" ref="AK121" si="815">CQ$4</f>
        <v>100,1,1000,2,5,200,1,1000,2,5</v>
      </c>
      <c r="AL121" s="26" t="str">
        <f t="shared" ref="AL121" si="816">CR$4</f>
        <v>5,5,5,5,5,5,5,5,5,5</v>
      </c>
      <c r="AM121" s="7">
        <v>2001</v>
      </c>
      <c r="AO121">
        <f t="shared" ref="AO121" si="817">AQ121*100+1</f>
        <v>1401</v>
      </c>
      <c r="AP121">
        <v>117</v>
      </c>
      <c r="AQ121">
        <f t="shared" si="439"/>
        <v>14</v>
      </c>
      <c r="AR121" s="17">
        <v>7</v>
      </c>
      <c r="AS121" s="17">
        <f t="shared" si="520"/>
        <v>105</v>
      </c>
      <c r="AT121" s="17">
        <v>6</v>
      </c>
      <c r="AU121">
        <f t="shared" si="440"/>
        <v>22</v>
      </c>
      <c r="AV121">
        <v>150</v>
      </c>
      <c r="AW121">
        <f t="shared" si="441"/>
        <v>17667.532800000001</v>
      </c>
      <c r="AX121">
        <f t="shared" si="570"/>
        <v>96600000</v>
      </c>
      <c r="AY121">
        <f t="shared" si="442"/>
        <v>1610</v>
      </c>
      <c r="AZ121">
        <f t="shared" si="443"/>
        <v>3220</v>
      </c>
      <c r="BA121">
        <f t="shared" si="444"/>
        <v>22080</v>
      </c>
      <c r="BB121">
        <f t="shared" si="445"/>
        <v>805</v>
      </c>
      <c r="BC121">
        <f t="shared" si="571"/>
        <v>96600000</v>
      </c>
      <c r="BD121">
        <f t="shared" si="446"/>
        <v>0.29411764705882354</v>
      </c>
      <c r="BE121" s="27">
        <f t="shared" si="572"/>
        <v>27761391.000000007</v>
      </c>
      <c r="BF121" s="30">
        <f t="shared" si="447"/>
        <v>0.33360000000000001</v>
      </c>
      <c r="BG121" s="27"/>
      <c r="BH121" s="27"/>
      <c r="BI121" s="27"/>
      <c r="CA121" s="20">
        <f t="shared" si="448"/>
        <v>165</v>
      </c>
      <c r="CB121" s="20">
        <f t="shared" si="449"/>
        <v>16500</v>
      </c>
    </row>
    <row r="122" spans="1:80" x14ac:dyDescent="0.15">
      <c r="A122">
        <v>1402</v>
      </c>
      <c r="B122" s="3" t="s">
        <v>115</v>
      </c>
      <c r="C122" s="4" t="s">
        <v>109</v>
      </c>
      <c r="D122" s="6" t="s">
        <v>110</v>
      </c>
      <c r="E122" s="5">
        <v>3</v>
      </c>
      <c r="F122" s="7" t="s">
        <v>142</v>
      </c>
      <c r="G122" s="5">
        <v>3</v>
      </c>
      <c r="H122" s="7" t="s">
        <v>188</v>
      </c>
      <c r="I122" s="5">
        <v>0</v>
      </c>
      <c r="J122" s="5">
        <v>0</v>
      </c>
      <c r="K122">
        <v>2</v>
      </c>
      <c r="L122">
        <v>1.5</v>
      </c>
      <c r="M122" s="5">
        <v>1.5</v>
      </c>
      <c r="N122" s="5">
        <v>10</v>
      </c>
      <c r="O122" s="5">
        <f t="shared" si="429"/>
        <v>18435</v>
      </c>
      <c r="P122" s="5">
        <f t="shared" si="430"/>
        <v>100800000</v>
      </c>
      <c r="Q122" s="5">
        <f t="shared" si="431"/>
        <v>1680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70021</v>
      </c>
      <c r="X122" s="6" t="s">
        <v>180</v>
      </c>
      <c r="Y122" s="5">
        <v>300</v>
      </c>
      <c r="Z122" s="5">
        <v>1</v>
      </c>
      <c r="AA122" s="5">
        <v>5552064</v>
      </c>
      <c r="AB122" s="16" t="s">
        <v>111</v>
      </c>
      <c r="AC122" s="7" t="s">
        <v>112</v>
      </c>
      <c r="AD122" s="7" t="s">
        <v>112</v>
      </c>
      <c r="AE122" s="7" t="s">
        <v>112</v>
      </c>
      <c r="AF122" s="6" t="s">
        <v>113</v>
      </c>
      <c r="AG122" s="26" t="str">
        <f t="shared" ref="AG122" si="818">CM$5</f>
        <v>4,33,28,33,6,4,33,28,33,6</v>
      </c>
      <c r="AH122" s="26" t="str">
        <f t="shared" ref="AH122" si="819">CN$5</f>
        <v>0,7,0,7,1,0,7,0,7,1</v>
      </c>
      <c r="AI122" s="26" t="str">
        <f t="shared" ref="AI122" si="820">CO$5</f>
        <v>0,0,0,0,1,0,0,0,0,1</v>
      </c>
      <c r="AJ122" s="26" t="str">
        <f t="shared" ref="AJ122" si="821">CP$5</f>
        <v>0,0,0,0,5,0,0,0,0,5</v>
      </c>
      <c r="AK122" s="26" t="str">
        <f t="shared" ref="AK122" si="822">CQ$5</f>
        <v>100,1,1000,2,5,200,1,1000,2,5</v>
      </c>
      <c r="AL122" s="26" t="str">
        <f t="shared" ref="AL122" si="823">CR$5</f>
        <v>5,5,5,5,5,5,5,5,5,5</v>
      </c>
      <c r="AM122" s="7">
        <v>2001</v>
      </c>
      <c r="AO122">
        <f t="shared" ref="AO122" si="824">AQ122*100+2</f>
        <v>1402</v>
      </c>
      <c r="AP122">
        <v>118</v>
      </c>
      <c r="AQ122">
        <f t="shared" si="439"/>
        <v>14</v>
      </c>
      <c r="AR122" s="17">
        <v>7</v>
      </c>
      <c r="AS122" s="17">
        <f t="shared" si="520"/>
        <v>110</v>
      </c>
      <c r="AT122" s="17">
        <v>6</v>
      </c>
      <c r="AU122">
        <f t="shared" si="440"/>
        <v>22</v>
      </c>
      <c r="AV122">
        <v>150</v>
      </c>
      <c r="AW122">
        <f t="shared" si="441"/>
        <v>18435.686400000002</v>
      </c>
      <c r="AX122">
        <f t="shared" si="570"/>
        <v>100800000</v>
      </c>
      <c r="AY122">
        <f t="shared" si="442"/>
        <v>1680</v>
      </c>
      <c r="AZ122">
        <f t="shared" si="443"/>
        <v>3360</v>
      </c>
      <c r="BA122">
        <f t="shared" si="444"/>
        <v>23040</v>
      </c>
      <c r="BB122">
        <f t="shared" si="445"/>
        <v>840</v>
      </c>
      <c r="BC122">
        <f t="shared" si="571"/>
        <v>100800000</v>
      </c>
      <c r="BD122">
        <f t="shared" si="446"/>
        <v>0.29411764705882354</v>
      </c>
      <c r="BE122" s="27">
        <f t="shared" si="572"/>
        <v>30227904.000000007</v>
      </c>
      <c r="BF122" s="30">
        <f t="shared" si="447"/>
        <v>0.33360000000000001</v>
      </c>
      <c r="BG122" s="27"/>
      <c r="BH122" s="27"/>
      <c r="BI122" s="27"/>
      <c r="CA122" s="20">
        <f t="shared" si="448"/>
        <v>165</v>
      </c>
      <c r="CB122" s="20">
        <f t="shared" si="449"/>
        <v>16500</v>
      </c>
    </row>
    <row r="123" spans="1:80" x14ac:dyDescent="0.15">
      <c r="A123">
        <v>1403</v>
      </c>
      <c r="B123" s="3" t="s">
        <v>117</v>
      </c>
      <c r="C123" s="4" t="s">
        <v>109</v>
      </c>
      <c r="D123" s="4" t="s">
        <v>110</v>
      </c>
      <c r="E123" s="5">
        <v>1</v>
      </c>
      <c r="F123" s="7" t="s">
        <v>144</v>
      </c>
      <c r="G123" s="5">
        <v>3</v>
      </c>
      <c r="H123" s="7" t="s">
        <v>189</v>
      </c>
      <c r="I123" s="5">
        <v>0</v>
      </c>
      <c r="J123" s="2">
        <v>0</v>
      </c>
      <c r="K123">
        <v>6</v>
      </c>
      <c r="L123">
        <v>1.5</v>
      </c>
      <c r="M123" s="5">
        <v>1.5</v>
      </c>
      <c r="N123" s="5">
        <v>10</v>
      </c>
      <c r="O123" s="5">
        <f t="shared" si="429"/>
        <v>19203</v>
      </c>
      <c r="P123" s="5">
        <f t="shared" si="430"/>
        <v>105000000</v>
      </c>
      <c r="Q123" s="5">
        <f t="shared" si="431"/>
        <v>1750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70031</v>
      </c>
      <c r="X123" s="6" t="s">
        <v>181</v>
      </c>
      <c r="Y123" s="5">
        <v>300</v>
      </c>
      <c r="Z123" s="5">
        <v>1</v>
      </c>
      <c r="AA123" s="5">
        <v>6186096</v>
      </c>
      <c r="AB123" s="16" t="s">
        <v>111</v>
      </c>
      <c r="AC123" s="7" t="s">
        <v>112</v>
      </c>
      <c r="AD123" s="7" t="s">
        <v>112</v>
      </c>
      <c r="AE123" s="7" t="s">
        <v>112</v>
      </c>
      <c r="AF123" s="6" t="s">
        <v>113</v>
      </c>
      <c r="AG123" s="26" t="str">
        <f t="shared" ref="AG123" si="825">CM$6</f>
        <v>4,28,6,28,6,4,28,6,28,6</v>
      </c>
      <c r="AH123" s="26" t="str">
        <f t="shared" ref="AH123" si="826">CN$6</f>
        <v>0,0,1,0,1,0,0,1,0,1</v>
      </c>
      <c r="AI123" s="26" t="str">
        <f t="shared" ref="AI123" si="827">CO$6</f>
        <v>0,0,0,0,1,0,0,0,0,1</v>
      </c>
      <c r="AJ123" s="26" t="str">
        <f t="shared" ref="AJ123" si="828">CP$6</f>
        <v>0,0,5,0,5,0,0,5,0,5</v>
      </c>
      <c r="AK123" s="26" t="str">
        <f t="shared" ref="AK123" si="829">CQ$6</f>
        <v>100,1000,5,1500,5,200,1000,5,1500,5</v>
      </c>
      <c r="AL123" s="26" t="str">
        <f t="shared" ref="AL123" si="830">CR$6</f>
        <v>5,5,5,5,5,5,5,5,5,5</v>
      </c>
      <c r="AM123" s="7">
        <v>2001</v>
      </c>
      <c r="AO123">
        <f t="shared" ref="AO123" si="831">AQ123*100+3</f>
        <v>1403</v>
      </c>
      <c r="AP123">
        <v>119</v>
      </c>
      <c r="AQ123">
        <f t="shared" si="439"/>
        <v>14</v>
      </c>
      <c r="AR123" s="17">
        <v>7</v>
      </c>
      <c r="AS123" s="17">
        <f t="shared" si="520"/>
        <v>115</v>
      </c>
      <c r="AT123" s="17">
        <v>6</v>
      </c>
      <c r="AU123">
        <f t="shared" si="440"/>
        <v>22</v>
      </c>
      <c r="AV123">
        <v>150</v>
      </c>
      <c r="AW123">
        <f t="shared" si="441"/>
        <v>19203.84</v>
      </c>
      <c r="AX123">
        <f t="shared" si="570"/>
        <v>105000000</v>
      </c>
      <c r="AY123">
        <f t="shared" si="442"/>
        <v>1750</v>
      </c>
      <c r="AZ123">
        <f t="shared" si="443"/>
        <v>3500</v>
      </c>
      <c r="BA123">
        <f t="shared" si="444"/>
        <v>24000</v>
      </c>
      <c r="BB123">
        <f t="shared" si="445"/>
        <v>875</v>
      </c>
      <c r="BC123">
        <f t="shared" si="571"/>
        <v>105000000</v>
      </c>
      <c r="BD123">
        <f t="shared" si="446"/>
        <v>0.29411764705882354</v>
      </c>
      <c r="BE123" s="27">
        <f t="shared" si="572"/>
        <v>32799375.000000007</v>
      </c>
      <c r="BF123" s="30">
        <f t="shared" si="447"/>
        <v>0.33360000000000001</v>
      </c>
      <c r="BG123" s="27"/>
      <c r="BH123" s="27"/>
      <c r="BI123" s="27"/>
      <c r="CA123" s="20">
        <f t="shared" si="448"/>
        <v>165</v>
      </c>
      <c r="CB123" s="20">
        <f t="shared" si="449"/>
        <v>16500</v>
      </c>
    </row>
    <row r="124" spans="1:80" x14ac:dyDescent="0.15">
      <c r="A124">
        <v>1404</v>
      </c>
      <c r="B124" s="3" t="s">
        <v>119</v>
      </c>
      <c r="C124" s="4" t="s">
        <v>109</v>
      </c>
      <c r="D124" s="6" t="s">
        <v>120</v>
      </c>
      <c r="E124" s="5">
        <v>3</v>
      </c>
      <c r="F124" s="7" t="s">
        <v>145</v>
      </c>
      <c r="G124" s="5">
        <v>3</v>
      </c>
      <c r="H124" s="7" t="s">
        <v>190</v>
      </c>
      <c r="I124" s="5">
        <v>0</v>
      </c>
      <c r="J124" s="5">
        <v>0</v>
      </c>
      <c r="K124">
        <v>2</v>
      </c>
      <c r="L124">
        <v>1.5</v>
      </c>
      <c r="M124" s="5">
        <v>1.5</v>
      </c>
      <c r="N124" s="5">
        <v>10</v>
      </c>
      <c r="O124" s="5">
        <f t="shared" si="429"/>
        <v>19971</v>
      </c>
      <c r="P124" s="5">
        <f t="shared" si="430"/>
        <v>109200000</v>
      </c>
      <c r="Q124" s="5">
        <f t="shared" si="431"/>
        <v>1820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70041</v>
      </c>
      <c r="X124" s="6" t="s">
        <v>182</v>
      </c>
      <c r="Y124" s="5">
        <v>300</v>
      </c>
      <c r="Z124" s="5">
        <v>1</v>
      </c>
      <c r="AA124" s="5">
        <v>6854400</v>
      </c>
      <c r="AB124" s="16" t="s">
        <v>111</v>
      </c>
      <c r="AC124" s="7" t="s">
        <v>112</v>
      </c>
      <c r="AD124" s="7" t="s">
        <v>112</v>
      </c>
      <c r="AE124" s="7" t="s">
        <v>112</v>
      </c>
      <c r="AF124" s="6" t="s">
        <v>113</v>
      </c>
      <c r="AG124" s="26" t="str">
        <f t="shared" ref="AG124" si="832">CM$7</f>
        <v>4,14,28,14,6,4,14,28,14,6</v>
      </c>
      <c r="AH124" s="26" t="str">
        <f t="shared" ref="AH124" si="833">CN$7</f>
        <v>0,0,0,0,1,0,0,0,0,1</v>
      </c>
      <c r="AI124" s="26" t="str">
        <f t="shared" ref="AI124" si="834">CO$7</f>
        <v>0,0,0,0,1,0,0,0,0,1</v>
      </c>
      <c r="AJ124" s="26" t="str">
        <f t="shared" ref="AJ124" si="835">CP$7</f>
        <v>0,0,0,0,5,0,0,0,0,5</v>
      </c>
      <c r="AK124" s="26" t="str">
        <f t="shared" ref="AK124" si="836">CQ$7</f>
        <v>100,1,1000,2,5,200,1,1000,2,5</v>
      </c>
      <c r="AL124" s="26" t="str">
        <f t="shared" ref="AL124" si="837">CR$7</f>
        <v>5,5,5,5,5,5,5,5,5,5</v>
      </c>
      <c r="AM124" s="7">
        <v>2001</v>
      </c>
      <c r="AO124">
        <f t="shared" ref="AO124" si="838">AQ124*100+4</f>
        <v>1404</v>
      </c>
      <c r="AP124">
        <v>120</v>
      </c>
      <c r="AQ124">
        <f t="shared" si="439"/>
        <v>14</v>
      </c>
      <c r="AR124" s="17">
        <v>7</v>
      </c>
      <c r="AS124" s="17">
        <f t="shared" si="520"/>
        <v>120</v>
      </c>
      <c r="AT124" s="17">
        <v>6</v>
      </c>
      <c r="AU124">
        <f t="shared" si="440"/>
        <v>22</v>
      </c>
      <c r="AV124">
        <v>150</v>
      </c>
      <c r="AW124">
        <f t="shared" si="441"/>
        <v>19971.993600000002</v>
      </c>
      <c r="AX124">
        <f t="shared" si="570"/>
        <v>109200000</v>
      </c>
      <c r="AY124">
        <f t="shared" si="442"/>
        <v>1820</v>
      </c>
      <c r="AZ124">
        <f t="shared" si="443"/>
        <v>3640</v>
      </c>
      <c r="BA124">
        <f t="shared" si="444"/>
        <v>24960</v>
      </c>
      <c r="BB124">
        <f t="shared" si="445"/>
        <v>910</v>
      </c>
      <c r="BC124">
        <f t="shared" si="571"/>
        <v>109200000</v>
      </c>
      <c r="BD124">
        <f t="shared" si="446"/>
        <v>0.29411764705882354</v>
      </c>
      <c r="BE124" s="27">
        <f t="shared" si="572"/>
        <v>35475804.000000007</v>
      </c>
      <c r="BF124" s="30">
        <f t="shared" si="447"/>
        <v>0.33360000000000001</v>
      </c>
      <c r="BG124" s="27"/>
      <c r="BH124" s="27"/>
      <c r="BI124" s="27"/>
      <c r="CA124" s="20">
        <f t="shared" si="448"/>
        <v>165</v>
      </c>
      <c r="CB124" s="20">
        <f t="shared" si="449"/>
        <v>16500</v>
      </c>
    </row>
    <row r="125" spans="1:80" x14ac:dyDescent="0.15">
      <c r="A125">
        <v>1405</v>
      </c>
      <c r="B125" s="3" t="s">
        <v>122</v>
      </c>
      <c r="C125" s="4" t="s">
        <v>109</v>
      </c>
      <c r="D125" s="4" t="s">
        <v>110</v>
      </c>
      <c r="E125" s="5">
        <v>2</v>
      </c>
      <c r="F125" s="7" t="s">
        <v>146</v>
      </c>
      <c r="G125" s="5">
        <v>3</v>
      </c>
      <c r="H125" s="7" t="s">
        <v>191</v>
      </c>
      <c r="I125" s="5">
        <v>0</v>
      </c>
      <c r="J125" s="7" t="s">
        <v>148</v>
      </c>
      <c r="K125">
        <v>6</v>
      </c>
      <c r="L125">
        <v>1.5</v>
      </c>
      <c r="M125" s="5">
        <v>1.5</v>
      </c>
      <c r="N125" s="5">
        <v>10</v>
      </c>
      <c r="O125" s="5">
        <f t="shared" si="429"/>
        <v>20740</v>
      </c>
      <c r="P125" s="5">
        <f t="shared" si="430"/>
        <v>113400000</v>
      </c>
      <c r="Q125" s="5">
        <f t="shared" si="431"/>
        <v>1890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70051</v>
      </c>
      <c r="X125" s="6" t="s">
        <v>183</v>
      </c>
      <c r="Y125" s="5">
        <v>300</v>
      </c>
      <c r="Z125" s="5">
        <v>1</v>
      </c>
      <c r="AA125" s="5">
        <v>7556976</v>
      </c>
      <c r="AB125" s="16" t="s">
        <v>111</v>
      </c>
      <c r="AC125" s="7" t="s">
        <v>112</v>
      </c>
      <c r="AD125" s="7" t="s">
        <v>112</v>
      </c>
      <c r="AE125" s="7" t="s">
        <v>112</v>
      </c>
      <c r="AF125" s="6" t="s">
        <v>113</v>
      </c>
      <c r="AG125" s="26" t="str">
        <f t="shared" ref="AG125" si="839">CM$8</f>
        <v>4,19,28,19,6,4,19,28,19,6</v>
      </c>
      <c r="AH125" s="26" t="str">
        <f t="shared" ref="AH125" si="840">CN$8</f>
        <v>0,0,0,0,1,0,0,0,0,1</v>
      </c>
      <c r="AI125" s="26" t="str">
        <f t="shared" ref="AI125" si="841">CO$8</f>
        <v>0,0,0,0,1,0,0,0,0,1</v>
      </c>
      <c r="AJ125" s="26" t="str">
        <f t="shared" ref="AJ125" si="842">CP$8</f>
        <v>0,0,0,0,5,0,0,0,0,5</v>
      </c>
      <c r="AK125" s="26" t="str">
        <f t="shared" ref="AK125" si="843">CQ$8</f>
        <v>200,100,1000,200,5,200,100,1000,200,5</v>
      </c>
      <c r="AL125" s="26" t="str">
        <f t="shared" ref="AL125" si="844">CR$8</f>
        <v>5,5,5,5,5,5,5,5,5,5</v>
      </c>
      <c r="AM125" s="7">
        <v>2001</v>
      </c>
      <c r="AO125">
        <f t="shared" ref="AO125" si="845">AQ125*100+5</f>
        <v>1405</v>
      </c>
      <c r="AP125">
        <v>121</v>
      </c>
      <c r="AQ125">
        <f t="shared" si="439"/>
        <v>14</v>
      </c>
      <c r="AR125" s="17">
        <v>7</v>
      </c>
      <c r="AS125" s="17">
        <f t="shared" si="520"/>
        <v>125</v>
      </c>
      <c r="AT125" s="17">
        <v>6</v>
      </c>
      <c r="AU125">
        <f t="shared" si="440"/>
        <v>22</v>
      </c>
      <c r="AV125">
        <v>150</v>
      </c>
      <c r="AW125">
        <f t="shared" si="441"/>
        <v>20740.147200000003</v>
      </c>
      <c r="AX125">
        <f t="shared" si="570"/>
        <v>113400000</v>
      </c>
      <c r="AY125">
        <f t="shared" si="442"/>
        <v>1890</v>
      </c>
      <c r="AZ125">
        <f t="shared" si="443"/>
        <v>3780</v>
      </c>
      <c r="BA125">
        <f t="shared" si="444"/>
        <v>25920</v>
      </c>
      <c r="BB125">
        <f t="shared" si="445"/>
        <v>945</v>
      </c>
      <c r="BC125">
        <f t="shared" si="571"/>
        <v>113400000</v>
      </c>
      <c r="BD125">
        <f t="shared" si="446"/>
        <v>0.29411764705882354</v>
      </c>
      <c r="BE125" s="27">
        <f t="shared" si="572"/>
        <v>38257191.000000007</v>
      </c>
      <c r="BF125" s="30">
        <f t="shared" si="447"/>
        <v>0.33360000000000001</v>
      </c>
      <c r="BG125" s="27"/>
      <c r="BH125" s="27"/>
      <c r="BI125" s="27"/>
      <c r="CA125" s="20">
        <f t="shared" si="448"/>
        <v>165</v>
      </c>
      <c r="CB125" s="20">
        <f t="shared" si="449"/>
        <v>16500</v>
      </c>
    </row>
    <row r="126" spans="1:80" x14ac:dyDescent="0.15">
      <c r="A126">
        <v>1406</v>
      </c>
      <c r="B126" s="3" t="s">
        <v>124</v>
      </c>
      <c r="C126" s="4" t="s">
        <v>109</v>
      </c>
      <c r="D126" s="6" t="s">
        <v>120</v>
      </c>
      <c r="E126" s="5">
        <v>1</v>
      </c>
      <c r="F126" s="7" t="s">
        <v>147</v>
      </c>
      <c r="G126" s="5">
        <v>3</v>
      </c>
      <c r="H126" s="7" t="s">
        <v>192</v>
      </c>
      <c r="I126" s="5">
        <v>0</v>
      </c>
      <c r="J126" s="7" t="s">
        <v>149</v>
      </c>
      <c r="K126">
        <v>6</v>
      </c>
      <c r="L126">
        <v>1.5</v>
      </c>
      <c r="M126" s="5">
        <v>1.5</v>
      </c>
      <c r="N126" s="5">
        <v>10</v>
      </c>
      <c r="O126" s="5">
        <f t="shared" si="429"/>
        <v>21508</v>
      </c>
      <c r="P126" s="5">
        <f t="shared" si="430"/>
        <v>117600000</v>
      </c>
      <c r="Q126" s="5">
        <f t="shared" si="431"/>
        <v>1960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70061</v>
      </c>
      <c r="X126" s="6" t="s">
        <v>184</v>
      </c>
      <c r="Y126" s="5">
        <v>300</v>
      </c>
      <c r="Z126" s="5">
        <v>1</v>
      </c>
      <c r="AA126" s="5">
        <v>8293824</v>
      </c>
      <c r="AB126" s="16" t="s">
        <v>111</v>
      </c>
      <c r="AC126" s="7" t="s">
        <v>112</v>
      </c>
      <c r="AD126" s="7" t="s">
        <v>112</v>
      </c>
      <c r="AE126" s="7" t="s">
        <v>112</v>
      </c>
      <c r="AF126" s="6" t="s">
        <v>113</v>
      </c>
      <c r="AG126" s="26" t="str">
        <f t="shared" ref="AG126" si="846">CM$9</f>
        <v>4,33,28,33,6,4,33,28,33,6</v>
      </c>
      <c r="AH126" s="26" t="str">
        <f t="shared" ref="AH126" si="847">CN$9</f>
        <v>0,6,0,6,1,0,6,0,6,1</v>
      </c>
      <c r="AI126" s="26" t="str">
        <f t="shared" ref="AI126" si="848">CO$9</f>
        <v>0,0,0,0,1,0,0,0,0,1</v>
      </c>
      <c r="AJ126" s="26" t="str">
        <f t="shared" ref="AJ126" si="849">CP$9</f>
        <v>0,0,0,0,5,0,0,0,0,5</v>
      </c>
      <c r="AK126" s="26" t="str">
        <f t="shared" ref="AK126" si="850">CQ$9</f>
        <v>200,1,1000,2,5,200,1,1000,2,5</v>
      </c>
      <c r="AL126" s="26" t="str">
        <f t="shared" ref="AL126" si="851">CR$9</f>
        <v>5,5,5,5,5,5,5,5,5,5</v>
      </c>
      <c r="AM126" s="7">
        <v>2001</v>
      </c>
      <c r="AO126">
        <f t="shared" ref="AO126" si="852">AQ126*100+6</f>
        <v>1406</v>
      </c>
      <c r="AP126">
        <v>122</v>
      </c>
      <c r="AQ126">
        <f t="shared" si="439"/>
        <v>14</v>
      </c>
      <c r="AR126" s="17">
        <v>7</v>
      </c>
      <c r="AS126" s="17">
        <f t="shared" si="520"/>
        <v>130</v>
      </c>
      <c r="AT126" s="17">
        <v>6</v>
      </c>
      <c r="AU126">
        <f t="shared" si="440"/>
        <v>22</v>
      </c>
      <c r="AV126">
        <v>150</v>
      </c>
      <c r="AW126">
        <f t="shared" si="441"/>
        <v>21508.300800000001</v>
      </c>
      <c r="AX126">
        <f t="shared" si="570"/>
        <v>117600000</v>
      </c>
      <c r="AY126">
        <f t="shared" si="442"/>
        <v>1960</v>
      </c>
      <c r="AZ126">
        <f t="shared" si="443"/>
        <v>3920</v>
      </c>
      <c r="BA126">
        <f t="shared" si="444"/>
        <v>26880</v>
      </c>
      <c r="BB126">
        <f t="shared" si="445"/>
        <v>980</v>
      </c>
      <c r="BC126">
        <f t="shared" si="571"/>
        <v>117600000</v>
      </c>
      <c r="BD126">
        <f t="shared" si="446"/>
        <v>0.29411764705882354</v>
      </c>
      <c r="BE126" s="27">
        <f t="shared" si="572"/>
        <v>41143536.000000007</v>
      </c>
      <c r="BF126" s="30">
        <f t="shared" si="447"/>
        <v>0.33360000000000001</v>
      </c>
      <c r="BG126" s="27"/>
      <c r="BH126" s="27"/>
      <c r="BI126" s="27"/>
      <c r="CA126" s="20">
        <f t="shared" si="448"/>
        <v>165</v>
      </c>
      <c r="CB126" s="20">
        <f t="shared" si="449"/>
        <v>16500</v>
      </c>
    </row>
    <row r="127" spans="1:80" x14ac:dyDescent="0.15">
      <c r="A127">
        <v>1407</v>
      </c>
      <c r="B127" s="3" t="s">
        <v>126</v>
      </c>
      <c r="C127" s="4" t="s">
        <v>109</v>
      </c>
      <c r="D127" s="4" t="s">
        <v>110</v>
      </c>
      <c r="E127" s="5">
        <v>2</v>
      </c>
      <c r="F127" s="7" t="s">
        <v>143</v>
      </c>
      <c r="G127" s="5">
        <v>3</v>
      </c>
      <c r="H127" s="7" t="s">
        <v>193</v>
      </c>
      <c r="I127" s="5">
        <v>0</v>
      </c>
      <c r="J127" s="5">
        <v>0</v>
      </c>
      <c r="K127">
        <v>2</v>
      </c>
      <c r="L127">
        <v>1.5</v>
      </c>
      <c r="M127" s="5">
        <v>1.5</v>
      </c>
      <c r="N127" s="5">
        <v>10</v>
      </c>
      <c r="O127" s="5">
        <f t="shared" si="429"/>
        <v>22276</v>
      </c>
      <c r="P127" s="5">
        <f t="shared" si="430"/>
        <v>121800000</v>
      </c>
      <c r="Q127" s="5">
        <f t="shared" si="431"/>
        <v>2030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70071</v>
      </c>
      <c r="X127" s="6" t="s">
        <v>185</v>
      </c>
      <c r="Y127" s="5">
        <v>300</v>
      </c>
      <c r="Z127" s="5">
        <v>1</v>
      </c>
      <c r="AA127" s="5">
        <v>9064944</v>
      </c>
      <c r="AB127" s="16" t="s">
        <v>111</v>
      </c>
      <c r="AC127" s="7" t="s">
        <v>112</v>
      </c>
      <c r="AD127" s="7" t="s">
        <v>112</v>
      </c>
      <c r="AE127" s="7" t="s">
        <v>112</v>
      </c>
      <c r="AF127" s="6" t="s">
        <v>113</v>
      </c>
      <c r="AG127" s="26" t="str">
        <f t="shared" ref="AG127" si="853">CM$10</f>
        <v>4,14,28,14,6,4,14,28,14,6</v>
      </c>
      <c r="AH127" s="26" t="str">
        <f t="shared" ref="AH127" si="854">CN$10</f>
        <v>0,0,0,0,1,0,0,0,0,1</v>
      </c>
      <c r="AI127" s="26" t="str">
        <f t="shared" ref="AI127" si="855">CO$10</f>
        <v>0,0,0,0,1,0,0,0,0,1</v>
      </c>
      <c r="AJ127" s="26" t="str">
        <f t="shared" ref="AJ127" si="856">CP$10</f>
        <v>0,0,0,0,5,0,0,0,0,5</v>
      </c>
      <c r="AK127" s="26" t="str">
        <f t="shared" ref="AK127" si="857">CQ$10</f>
        <v>200,1,1000,2,5,200,1,1000,2,5</v>
      </c>
      <c r="AL127" s="26" t="str">
        <f t="shared" ref="AL127" si="858">CR$10</f>
        <v>5,5,5,5,5,5,5,5,5,5</v>
      </c>
      <c r="AM127" s="7">
        <v>2001</v>
      </c>
      <c r="AO127">
        <f t="shared" ref="AO127" si="859">AQ127*100+7</f>
        <v>1407</v>
      </c>
      <c r="AP127">
        <v>123</v>
      </c>
      <c r="AQ127">
        <f t="shared" si="439"/>
        <v>14</v>
      </c>
      <c r="AR127" s="17">
        <v>7</v>
      </c>
      <c r="AS127" s="17">
        <f t="shared" si="520"/>
        <v>135</v>
      </c>
      <c r="AT127" s="17">
        <v>6</v>
      </c>
      <c r="AU127">
        <f t="shared" si="440"/>
        <v>22</v>
      </c>
      <c r="AV127">
        <v>150</v>
      </c>
      <c r="AW127">
        <f t="shared" si="441"/>
        <v>22276.454400000002</v>
      </c>
      <c r="AX127">
        <f t="shared" si="570"/>
        <v>121800000</v>
      </c>
      <c r="AY127">
        <f t="shared" si="442"/>
        <v>2030</v>
      </c>
      <c r="AZ127">
        <f t="shared" si="443"/>
        <v>4060</v>
      </c>
      <c r="BA127">
        <f t="shared" si="444"/>
        <v>27840</v>
      </c>
      <c r="BB127">
        <f t="shared" si="445"/>
        <v>1015</v>
      </c>
      <c r="BC127">
        <f t="shared" si="571"/>
        <v>121800000</v>
      </c>
      <c r="BD127">
        <f t="shared" si="446"/>
        <v>0.29411764705882354</v>
      </c>
      <c r="BE127" s="27">
        <f t="shared" si="572"/>
        <v>44134839.000000007</v>
      </c>
      <c r="BF127" s="30">
        <f t="shared" si="447"/>
        <v>0.33360000000000001</v>
      </c>
      <c r="BG127" s="27"/>
      <c r="BH127" s="27"/>
      <c r="BI127" s="27"/>
      <c r="CA127" s="20">
        <f t="shared" si="448"/>
        <v>165</v>
      </c>
      <c r="CB127" s="20">
        <f t="shared" si="449"/>
        <v>16500</v>
      </c>
    </row>
    <row r="128" spans="1:80" x14ac:dyDescent="0.15">
      <c r="A128">
        <v>1408</v>
      </c>
      <c r="B128" s="3" t="s">
        <v>128</v>
      </c>
      <c r="C128" s="4" t="s">
        <v>109</v>
      </c>
      <c r="D128" s="4" t="s">
        <v>110</v>
      </c>
      <c r="E128" s="5">
        <v>5</v>
      </c>
      <c r="F128" s="7" t="s">
        <v>129</v>
      </c>
      <c r="G128" s="5">
        <v>2</v>
      </c>
      <c r="H128" s="7" t="s">
        <v>130</v>
      </c>
      <c r="I128" s="5">
        <v>0</v>
      </c>
      <c r="J128" s="5">
        <v>0</v>
      </c>
      <c r="K128">
        <v>2</v>
      </c>
      <c r="L128">
        <v>1.5</v>
      </c>
      <c r="M128" s="5">
        <v>1.5</v>
      </c>
      <c r="N128" s="5">
        <v>10</v>
      </c>
      <c r="O128" s="5">
        <f t="shared" si="429"/>
        <v>23044</v>
      </c>
      <c r="P128" s="5">
        <f t="shared" si="430"/>
        <v>126000000</v>
      </c>
      <c r="Q128" s="5">
        <f t="shared" si="431"/>
        <v>2100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70081</v>
      </c>
      <c r="X128" s="6" t="s">
        <v>186</v>
      </c>
      <c r="Y128" s="5">
        <v>300</v>
      </c>
      <c r="Z128" s="5">
        <v>1</v>
      </c>
      <c r="AA128" s="5">
        <v>9870336</v>
      </c>
      <c r="AB128" s="16" t="s">
        <v>111</v>
      </c>
      <c r="AC128" s="7" t="s">
        <v>112</v>
      </c>
      <c r="AD128" s="7" t="s">
        <v>112</v>
      </c>
      <c r="AE128" s="7" t="s">
        <v>112</v>
      </c>
      <c r="AF128" s="6" t="s">
        <v>113</v>
      </c>
      <c r="AG128" s="26" t="str">
        <f t="shared" ref="AG128" si="860">CM$11</f>
        <v>4,28,6,28,6,4,28,6,28,6</v>
      </c>
      <c r="AH128" s="26" t="str">
        <f t="shared" ref="AH128" si="861">CN$11</f>
        <v>0,0,1,0,1,0,0,1,0,1</v>
      </c>
      <c r="AI128" s="26" t="str">
        <f t="shared" ref="AI128" si="862">CO$11</f>
        <v>0,0,1,0,1,0,0,1,0,1</v>
      </c>
      <c r="AJ128" s="26" t="str">
        <f t="shared" ref="AJ128" si="863">CP$11</f>
        <v>0,0,5,0,5,0,0,5,0,5</v>
      </c>
      <c r="AK128" s="26" t="str">
        <f t="shared" ref="AK128" si="864">CQ$11</f>
        <v>100,1000,5,1500,5,200,1000,5,1500,5</v>
      </c>
      <c r="AL128" s="26" t="str">
        <f t="shared" ref="AL128" si="865">CR$11</f>
        <v>5,5,5,5,5,5,5,5,5,5</v>
      </c>
      <c r="AM128" s="7">
        <v>2001</v>
      </c>
      <c r="AO128">
        <f t="shared" ref="AO128" si="866">AQ128*100+8</f>
        <v>1408</v>
      </c>
      <c r="AP128">
        <v>124</v>
      </c>
      <c r="AQ128">
        <f t="shared" si="439"/>
        <v>14</v>
      </c>
      <c r="AR128" s="17">
        <v>7</v>
      </c>
      <c r="AS128" s="17">
        <f t="shared" si="520"/>
        <v>140</v>
      </c>
      <c r="AT128" s="17">
        <v>6</v>
      </c>
      <c r="AU128">
        <f t="shared" si="440"/>
        <v>22</v>
      </c>
      <c r="AV128">
        <v>150</v>
      </c>
      <c r="AW128">
        <f t="shared" si="441"/>
        <v>23044.608000000004</v>
      </c>
      <c r="AX128">
        <f t="shared" si="570"/>
        <v>126000000</v>
      </c>
      <c r="AY128">
        <f t="shared" si="442"/>
        <v>2100</v>
      </c>
      <c r="AZ128">
        <f t="shared" si="443"/>
        <v>4200</v>
      </c>
      <c r="BA128">
        <f t="shared" si="444"/>
        <v>28800</v>
      </c>
      <c r="BB128">
        <f t="shared" si="445"/>
        <v>1050</v>
      </c>
      <c r="BC128">
        <f t="shared" si="571"/>
        <v>126000000</v>
      </c>
      <c r="BD128">
        <f t="shared" si="446"/>
        <v>0.29411764705882354</v>
      </c>
      <c r="BE128" s="27">
        <f t="shared" si="572"/>
        <v>47231100</v>
      </c>
      <c r="BF128" s="30">
        <f t="shared" si="447"/>
        <v>0.33360000000000001</v>
      </c>
      <c r="BG128" s="27"/>
      <c r="BH128" s="27"/>
      <c r="BI128" s="27"/>
      <c r="CA128" s="20">
        <f t="shared" si="448"/>
        <v>165</v>
      </c>
      <c r="CB128" s="20">
        <f t="shared" si="449"/>
        <v>16500</v>
      </c>
    </row>
    <row r="129" spans="1:80" x14ac:dyDescent="0.15">
      <c r="A129">
        <v>1409</v>
      </c>
      <c r="B129" s="3" t="s">
        <v>132</v>
      </c>
      <c r="C129" s="4" t="s">
        <v>109</v>
      </c>
      <c r="D129" s="4" t="s">
        <v>110</v>
      </c>
      <c r="E129" s="5">
        <v>5</v>
      </c>
      <c r="F129" s="7" t="s">
        <v>140</v>
      </c>
      <c r="G129" s="5">
        <v>3</v>
      </c>
      <c r="H129" s="7" t="s">
        <v>140</v>
      </c>
      <c r="I129" s="5">
        <v>0</v>
      </c>
      <c r="J129" s="7">
        <v>0</v>
      </c>
      <c r="K129">
        <v>6</v>
      </c>
      <c r="L129">
        <v>1.5</v>
      </c>
      <c r="M129" s="5">
        <v>1.5</v>
      </c>
      <c r="N129" s="5">
        <v>10</v>
      </c>
      <c r="O129" s="5">
        <f t="shared" si="429"/>
        <v>23812</v>
      </c>
      <c r="P129" s="5">
        <f t="shared" si="430"/>
        <v>130200000</v>
      </c>
      <c r="Q129" s="5">
        <f t="shared" si="431"/>
        <v>2170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70091</v>
      </c>
      <c r="X129" s="6" t="s">
        <v>187</v>
      </c>
      <c r="Y129" s="5">
        <v>300</v>
      </c>
      <c r="Z129" s="5">
        <v>1</v>
      </c>
      <c r="AA129" s="5">
        <v>10710000</v>
      </c>
      <c r="AB129" s="16" t="s">
        <v>111</v>
      </c>
      <c r="AC129" s="7" t="s">
        <v>112</v>
      </c>
      <c r="AD129" s="7" t="s">
        <v>112</v>
      </c>
      <c r="AE129" s="7" t="s">
        <v>112</v>
      </c>
      <c r="AF129" s="6" t="s">
        <v>113</v>
      </c>
      <c r="AG129" s="26" t="str">
        <f t="shared" ref="AG129" si="867">CM$12</f>
        <v>4,33,28,33,6,4,33,28,33,6</v>
      </c>
      <c r="AH129" s="26" t="str">
        <f t="shared" ref="AH129" si="868">CN$12</f>
        <v>0,5,0,5,1,0,5,0,5,1</v>
      </c>
      <c r="AI129" s="26" t="str">
        <f t="shared" ref="AI129" si="869">CO$12</f>
        <v>0,0,0,0,1,0,0,0,0,1</v>
      </c>
      <c r="AJ129" s="26" t="str">
        <f t="shared" ref="AJ129" si="870">CP$12</f>
        <v>0,0,0,0,5,0,0,0,0,5</v>
      </c>
      <c r="AK129" s="26" t="str">
        <f t="shared" ref="AK129" si="871">CQ$12</f>
        <v>100,1,1000,2,5,200,1,1000,2,5</v>
      </c>
      <c r="AL129" s="26" t="str">
        <f t="shared" ref="AL129" si="872">CR$12</f>
        <v>5,5,5,5,5,5,5,5,5,5</v>
      </c>
      <c r="AM129" s="7">
        <v>2001</v>
      </c>
      <c r="AO129">
        <f t="shared" ref="AO129" si="873">AQ129*100+9</f>
        <v>1409</v>
      </c>
      <c r="AP129">
        <v>125</v>
      </c>
      <c r="AQ129">
        <f t="shared" si="439"/>
        <v>14</v>
      </c>
      <c r="AR129" s="17">
        <v>7</v>
      </c>
      <c r="AS129" s="17">
        <f t="shared" si="520"/>
        <v>145</v>
      </c>
      <c r="AT129" s="17">
        <v>6</v>
      </c>
      <c r="AU129">
        <f t="shared" si="440"/>
        <v>22</v>
      </c>
      <c r="AV129">
        <v>150</v>
      </c>
      <c r="AW129">
        <f t="shared" si="441"/>
        <v>23812.761600000002</v>
      </c>
      <c r="AX129">
        <f t="shared" si="570"/>
        <v>130200000.00000001</v>
      </c>
      <c r="AY129">
        <f t="shared" si="442"/>
        <v>2170</v>
      </c>
      <c r="AZ129">
        <f t="shared" si="443"/>
        <v>4340</v>
      </c>
      <c r="BA129">
        <f t="shared" si="444"/>
        <v>29760</v>
      </c>
      <c r="BB129">
        <f t="shared" si="445"/>
        <v>1085</v>
      </c>
      <c r="BC129">
        <f t="shared" si="571"/>
        <v>130200000.00000001</v>
      </c>
      <c r="BD129">
        <f t="shared" si="446"/>
        <v>0.29411764705882354</v>
      </c>
      <c r="BE129" s="27">
        <f t="shared" si="572"/>
        <v>50432319.000000015</v>
      </c>
      <c r="BF129" s="30">
        <f t="shared" si="447"/>
        <v>0.33360000000000001</v>
      </c>
      <c r="BG129" s="27"/>
      <c r="BH129" s="27"/>
      <c r="BI129" s="27"/>
      <c r="CA129" s="20">
        <f t="shared" si="448"/>
        <v>165</v>
      </c>
      <c r="CB129" s="20">
        <f t="shared" si="449"/>
        <v>16500</v>
      </c>
    </row>
    <row r="130" spans="1:80" x14ac:dyDescent="0.15">
      <c r="A130">
        <v>1501</v>
      </c>
      <c r="B130" s="3" t="s">
        <v>108</v>
      </c>
      <c r="C130" s="4" t="s">
        <v>109</v>
      </c>
      <c r="D130" s="4" t="s">
        <v>110</v>
      </c>
      <c r="E130" s="5">
        <v>3</v>
      </c>
      <c r="F130" s="7" t="s">
        <v>141</v>
      </c>
      <c r="G130" s="5">
        <v>2.5</v>
      </c>
      <c r="H130" s="7" t="s">
        <v>194</v>
      </c>
      <c r="I130" s="5">
        <v>0</v>
      </c>
      <c r="J130" s="5">
        <v>0</v>
      </c>
      <c r="K130">
        <v>2</v>
      </c>
      <c r="L130">
        <v>1.5</v>
      </c>
      <c r="M130" s="5">
        <v>1.5</v>
      </c>
      <c r="N130" s="5">
        <v>10</v>
      </c>
      <c r="O130" s="5">
        <f t="shared" si="429"/>
        <v>18468</v>
      </c>
      <c r="P130" s="5">
        <f t="shared" si="430"/>
        <v>100800000</v>
      </c>
      <c r="Q130" s="5">
        <f t="shared" si="431"/>
        <v>1680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70011</v>
      </c>
      <c r="X130" s="6" t="s">
        <v>179</v>
      </c>
      <c r="Y130" s="5">
        <v>300</v>
      </c>
      <c r="Z130" s="5">
        <v>1</v>
      </c>
      <c r="AA130" s="5">
        <v>11583936</v>
      </c>
      <c r="AB130" s="16" t="s">
        <v>111</v>
      </c>
      <c r="AC130" s="7" t="s">
        <v>112</v>
      </c>
      <c r="AD130" s="7" t="s">
        <v>112</v>
      </c>
      <c r="AE130" s="7" t="s">
        <v>112</v>
      </c>
      <c r="AF130" s="6" t="s">
        <v>113</v>
      </c>
      <c r="AG130" s="26" t="str">
        <f t="shared" ref="AG130" si="874">CM$4</f>
        <v>4,33,28,33,6,4,33,28,33,6</v>
      </c>
      <c r="AH130" s="26" t="str">
        <f t="shared" ref="AH130" si="875">CN$4</f>
        <v>0,8,0,8,1,0,8,0,8,1</v>
      </c>
      <c r="AI130" s="26" t="str">
        <f t="shared" ref="AI130" si="876">CO$4</f>
        <v>0,0,0,0,1,0,0,0,0,1</v>
      </c>
      <c r="AJ130" s="26" t="str">
        <f t="shared" ref="AJ130" si="877">CP$4</f>
        <v>0,0,0,0,5,0,0,0,0,5</v>
      </c>
      <c r="AK130" s="26" t="str">
        <f t="shared" ref="AK130" si="878">CQ$4</f>
        <v>100,1,1000,2,5,200,1,1000,2,5</v>
      </c>
      <c r="AL130" s="26" t="str">
        <f t="shared" ref="AL130" si="879">CR$4</f>
        <v>5,5,5,5,5,5,5,5,5,5</v>
      </c>
      <c r="AM130" s="7">
        <v>2001</v>
      </c>
      <c r="AO130">
        <f t="shared" ref="AO130" si="880">AQ130*100+1</f>
        <v>1501</v>
      </c>
      <c r="AP130">
        <v>126</v>
      </c>
      <c r="AQ130">
        <f t="shared" si="439"/>
        <v>15</v>
      </c>
      <c r="AR130" s="17">
        <v>7</v>
      </c>
      <c r="AS130" s="17">
        <f t="shared" si="520"/>
        <v>110</v>
      </c>
      <c r="AT130" s="17">
        <v>6</v>
      </c>
      <c r="AU130">
        <f t="shared" si="440"/>
        <v>22</v>
      </c>
      <c r="AV130">
        <v>150</v>
      </c>
      <c r="AW130">
        <f t="shared" si="441"/>
        <v>18468.863999999998</v>
      </c>
      <c r="AX130">
        <f t="shared" si="570"/>
        <v>100800000</v>
      </c>
      <c r="AY130">
        <f t="shared" si="442"/>
        <v>1680</v>
      </c>
      <c r="AZ130">
        <f t="shared" si="443"/>
        <v>3360</v>
      </c>
      <c r="BA130">
        <f t="shared" si="444"/>
        <v>23040</v>
      </c>
      <c r="BB130">
        <f t="shared" si="445"/>
        <v>840</v>
      </c>
      <c r="BC130">
        <f t="shared" si="571"/>
        <v>100800000</v>
      </c>
      <c r="BD130">
        <f t="shared" si="446"/>
        <v>0.29411764705882354</v>
      </c>
      <c r="BE130" s="27">
        <f t="shared" si="572"/>
        <v>30227904.000000007</v>
      </c>
      <c r="BF130" s="30">
        <f t="shared" si="447"/>
        <v>0.33599999999999997</v>
      </c>
      <c r="BG130" s="27"/>
      <c r="BH130" s="27"/>
      <c r="BI130" s="27"/>
      <c r="CA130" s="20">
        <f t="shared" si="448"/>
        <v>170</v>
      </c>
      <c r="CB130" s="20">
        <f t="shared" si="449"/>
        <v>17000</v>
      </c>
    </row>
    <row r="131" spans="1:80" x14ac:dyDescent="0.15">
      <c r="A131">
        <v>1502</v>
      </c>
      <c r="B131" s="3" t="s">
        <v>115</v>
      </c>
      <c r="C131" s="4" t="s">
        <v>109</v>
      </c>
      <c r="D131" s="6" t="s">
        <v>110</v>
      </c>
      <c r="E131" s="5">
        <v>3</v>
      </c>
      <c r="F131" s="7" t="s">
        <v>142</v>
      </c>
      <c r="G131" s="5">
        <v>3</v>
      </c>
      <c r="H131" s="7" t="s">
        <v>188</v>
      </c>
      <c r="I131" s="5">
        <v>0</v>
      </c>
      <c r="J131" s="5">
        <v>0</v>
      </c>
      <c r="K131">
        <v>2</v>
      </c>
      <c r="L131">
        <v>1.5</v>
      </c>
      <c r="M131" s="5">
        <v>1.5</v>
      </c>
      <c r="N131" s="5">
        <v>10</v>
      </c>
      <c r="O131" s="5">
        <f t="shared" si="429"/>
        <v>19238</v>
      </c>
      <c r="P131" s="5">
        <f t="shared" si="430"/>
        <v>105000000</v>
      </c>
      <c r="Q131" s="5">
        <f t="shared" si="431"/>
        <v>1750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70021</v>
      </c>
      <c r="X131" s="6" t="s">
        <v>180</v>
      </c>
      <c r="Y131" s="5">
        <v>300</v>
      </c>
      <c r="Z131" s="5">
        <v>1</v>
      </c>
      <c r="AA131" s="5">
        <v>6186096</v>
      </c>
      <c r="AB131" s="16" t="s">
        <v>111</v>
      </c>
      <c r="AC131" s="7" t="s">
        <v>112</v>
      </c>
      <c r="AD131" s="7" t="s">
        <v>112</v>
      </c>
      <c r="AE131" s="7" t="s">
        <v>112</v>
      </c>
      <c r="AF131" s="6" t="s">
        <v>113</v>
      </c>
      <c r="AG131" s="26" t="str">
        <f t="shared" ref="AG131" si="881">CM$5</f>
        <v>4,33,28,33,6,4,33,28,33,6</v>
      </c>
      <c r="AH131" s="26" t="str">
        <f t="shared" ref="AH131" si="882">CN$5</f>
        <v>0,7,0,7,1,0,7,0,7,1</v>
      </c>
      <c r="AI131" s="26" t="str">
        <f t="shared" ref="AI131" si="883">CO$5</f>
        <v>0,0,0,0,1,0,0,0,0,1</v>
      </c>
      <c r="AJ131" s="26" t="str">
        <f t="shared" ref="AJ131" si="884">CP$5</f>
        <v>0,0,0,0,5,0,0,0,0,5</v>
      </c>
      <c r="AK131" s="26" t="str">
        <f t="shared" ref="AK131" si="885">CQ$5</f>
        <v>100,1,1000,2,5,200,1,1000,2,5</v>
      </c>
      <c r="AL131" s="26" t="str">
        <f t="shared" ref="AL131" si="886">CR$5</f>
        <v>5,5,5,5,5,5,5,5,5,5</v>
      </c>
      <c r="AM131" s="7">
        <v>2001</v>
      </c>
      <c r="AO131">
        <f t="shared" ref="AO131" si="887">AQ131*100+2</f>
        <v>1502</v>
      </c>
      <c r="AP131">
        <v>127</v>
      </c>
      <c r="AQ131">
        <f t="shared" si="439"/>
        <v>15</v>
      </c>
      <c r="AR131" s="17">
        <v>7</v>
      </c>
      <c r="AS131" s="17">
        <f t="shared" si="520"/>
        <v>115</v>
      </c>
      <c r="AT131" s="17">
        <v>6</v>
      </c>
      <c r="AU131">
        <f t="shared" si="440"/>
        <v>22</v>
      </c>
      <c r="AV131">
        <v>150</v>
      </c>
      <c r="AW131">
        <f t="shared" si="441"/>
        <v>19238.399999999998</v>
      </c>
      <c r="AX131">
        <f t="shared" si="570"/>
        <v>105000000</v>
      </c>
      <c r="AY131">
        <f t="shared" si="442"/>
        <v>1750</v>
      </c>
      <c r="AZ131">
        <f t="shared" si="443"/>
        <v>3500</v>
      </c>
      <c r="BA131">
        <f t="shared" si="444"/>
        <v>24000</v>
      </c>
      <c r="BB131">
        <f t="shared" si="445"/>
        <v>875</v>
      </c>
      <c r="BC131">
        <f t="shared" si="571"/>
        <v>105000000</v>
      </c>
      <c r="BD131">
        <f t="shared" si="446"/>
        <v>0.29411764705882354</v>
      </c>
      <c r="BE131" s="27">
        <f t="shared" si="572"/>
        <v>32799375.000000007</v>
      </c>
      <c r="BF131" s="30">
        <f t="shared" si="447"/>
        <v>0.33599999999999997</v>
      </c>
      <c r="BG131" s="27"/>
      <c r="BH131" s="27"/>
      <c r="BI131" s="27"/>
      <c r="CA131" s="20">
        <f t="shared" si="448"/>
        <v>170</v>
      </c>
      <c r="CB131" s="20">
        <f t="shared" si="449"/>
        <v>17000</v>
      </c>
    </row>
    <row r="132" spans="1:80" x14ac:dyDescent="0.15">
      <c r="A132">
        <v>1503</v>
      </c>
      <c r="B132" s="3" t="s">
        <v>117</v>
      </c>
      <c r="C132" s="4" t="s">
        <v>109</v>
      </c>
      <c r="D132" s="4" t="s">
        <v>110</v>
      </c>
      <c r="E132" s="5">
        <v>1</v>
      </c>
      <c r="F132" s="7" t="s">
        <v>144</v>
      </c>
      <c r="G132" s="5">
        <v>3</v>
      </c>
      <c r="H132" s="7" t="s">
        <v>189</v>
      </c>
      <c r="I132" s="5">
        <v>0</v>
      </c>
      <c r="J132" s="2">
        <v>0</v>
      </c>
      <c r="K132">
        <v>6</v>
      </c>
      <c r="L132">
        <v>1.5</v>
      </c>
      <c r="M132" s="5">
        <v>1.5</v>
      </c>
      <c r="N132" s="5">
        <v>10</v>
      </c>
      <c r="O132" s="5">
        <f t="shared" si="429"/>
        <v>20007</v>
      </c>
      <c r="P132" s="5">
        <f t="shared" si="430"/>
        <v>109200000</v>
      </c>
      <c r="Q132" s="5">
        <f t="shared" si="431"/>
        <v>1820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70031</v>
      </c>
      <c r="X132" s="6" t="s">
        <v>181</v>
      </c>
      <c r="Y132" s="5">
        <v>300</v>
      </c>
      <c r="Z132" s="5">
        <v>1</v>
      </c>
      <c r="AA132" s="5">
        <v>6854400</v>
      </c>
      <c r="AB132" s="16" t="s">
        <v>111</v>
      </c>
      <c r="AC132" s="7" t="s">
        <v>112</v>
      </c>
      <c r="AD132" s="7" t="s">
        <v>112</v>
      </c>
      <c r="AE132" s="7" t="s">
        <v>112</v>
      </c>
      <c r="AF132" s="6" t="s">
        <v>113</v>
      </c>
      <c r="AG132" s="26" t="str">
        <f t="shared" ref="AG132" si="888">CM$6</f>
        <v>4,28,6,28,6,4,28,6,28,6</v>
      </c>
      <c r="AH132" s="26" t="str">
        <f t="shared" ref="AH132" si="889">CN$6</f>
        <v>0,0,1,0,1,0,0,1,0,1</v>
      </c>
      <c r="AI132" s="26" t="str">
        <f t="shared" ref="AI132" si="890">CO$6</f>
        <v>0,0,0,0,1,0,0,0,0,1</v>
      </c>
      <c r="AJ132" s="26" t="str">
        <f t="shared" ref="AJ132" si="891">CP$6</f>
        <v>0,0,5,0,5,0,0,5,0,5</v>
      </c>
      <c r="AK132" s="26" t="str">
        <f t="shared" ref="AK132" si="892">CQ$6</f>
        <v>100,1000,5,1500,5,200,1000,5,1500,5</v>
      </c>
      <c r="AL132" s="26" t="str">
        <f t="shared" ref="AL132" si="893">CR$6</f>
        <v>5,5,5,5,5,5,5,5,5,5</v>
      </c>
      <c r="AM132" s="7">
        <v>2001</v>
      </c>
      <c r="AO132">
        <f t="shared" ref="AO132" si="894">AQ132*100+3</f>
        <v>1503</v>
      </c>
      <c r="AP132">
        <v>128</v>
      </c>
      <c r="AQ132">
        <f t="shared" si="439"/>
        <v>15</v>
      </c>
      <c r="AR132" s="17">
        <v>7</v>
      </c>
      <c r="AS132" s="17">
        <f t="shared" si="520"/>
        <v>120</v>
      </c>
      <c r="AT132" s="17">
        <v>6</v>
      </c>
      <c r="AU132">
        <f t="shared" si="440"/>
        <v>22</v>
      </c>
      <c r="AV132">
        <v>150</v>
      </c>
      <c r="AW132">
        <f t="shared" si="441"/>
        <v>20007.935999999998</v>
      </c>
      <c r="AX132">
        <f t="shared" si="570"/>
        <v>109200000</v>
      </c>
      <c r="AY132">
        <f t="shared" si="442"/>
        <v>1820</v>
      </c>
      <c r="AZ132">
        <f t="shared" si="443"/>
        <v>3640</v>
      </c>
      <c r="BA132">
        <f t="shared" si="444"/>
        <v>24960</v>
      </c>
      <c r="BB132">
        <f t="shared" si="445"/>
        <v>910</v>
      </c>
      <c r="BC132">
        <f t="shared" si="571"/>
        <v>109200000</v>
      </c>
      <c r="BD132">
        <f t="shared" si="446"/>
        <v>0.29411764705882354</v>
      </c>
      <c r="BE132" s="27">
        <f t="shared" si="572"/>
        <v>35475804.000000007</v>
      </c>
      <c r="BF132" s="30">
        <f t="shared" si="447"/>
        <v>0.33599999999999997</v>
      </c>
      <c r="BG132" s="27"/>
      <c r="BH132" s="27"/>
      <c r="BI132" s="27"/>
      <c r="CA132" s="20">
        <f t="shared" si="448"/>
        <v>170</v>
      </c>
      <c r="CB132" s="20">
        <f t="shared" si="449"/>
        <v>17000</v>
      </c>
    </row>
    <row r="133" spans="1:80" x14ac:dyDescent="0.15">
      <c r="A133">
        <v>1504</v>
      </c>
      <c r="B133" s="3" t="s">
        <v>119</v>
      </c>
      <c r="C133" s="4" t="s">
        <v>109</v>
      </c>
      <c r="D133" s="6" t="s">
        <v>120</v>
      </c>
      <c r="E133" s="5">
        <v>3</v>
      </c>
      <c r="F133" s="7" t="s">
        <v>145</v>
      </c>
      <c r="G133" s="5">
        <v>3</v>
      </c>
      <c r="H133" s="7" t="s">
        <v>190</v>
      </c>
      <c r="I133" s="5">
        <v>0</v>
      </c>
      <c r="J133" s="5">
        <v>0</v>
      </c>
      <c r="K133">
        <v>2</v>
      </c>
      <c r="L133">
        <v>1.5</v>
      </c>
      <c r="M133" s="5">
        <v>1.5</v>
      </c>
      <c r="N133" s="5">
        <v>10</v>
      </c>
      <c r="O133" s="5">
        <f t="shared" ref="O133:O196" si="895">FLOOR(AW133,1)</f>
        <v>20777</v>
      </c>
      <c r="P133" s="5">
        <f t="shared" ref="P133:P196" si="896">FLOOR(BC133,1)</f>
        <v>113400000</v>
      </c>
      <c r="Q133" s="5">
        <f t="shared" ref="Q133:Q196" si="897">FLOOR(AY133,1)</f>
        <v>1890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70041</v>
      </c>
      <c r="X133" s="6" t="s">
        <v>182</v>
      </c>
      <c r="Y133" s="5">
        <v>300</v>
      </c>
      <c r="Z133" s="5">
        <v>1</v>
      </c>
      <c r="AA133" s="5">
        <v>7556976</v>
      </c>
      <c r="AB133" s="16" t="s">
        <v>111</v>
      </c>
      <c r="AC133" s="7" t="s">
        <v>112</v>
      </c>
      <c r="AD133" s="7" t="s">
        <v>112</v>
      </c>
      <c r="AE133" s="7" t="s">
        <v>112</v>
      </c>
      <c r="AF133" s="6" t="s">
        <v>113</v>
      </c>
      <c r="AG133" s="26" t="str">
        <f t="shared" ref="AG133" si="898">CM$7</f>
        <v>4,14,28,14,6,4,14,28,14,6</v>
      </c>
      <c r="AH133" s="26" t="str">
        <f t="shared" ref="AH133" si="899">CN$7</f>
        <v>0,0,0,0,1,0,0,0,0,1</v>
      </c>
      <c r="AI133" s="26" t="str">
        <f t="shared" ref="AI133" si="900">CO$7</f>
        <v>0,0,0,0,1,0,0,0,0,1</v>
      </c>
      <c r="AJ133" s="26" t="str">
        <f t="shared" ref="AJ133" si="901">CP$7</f>
        <v>0,0,0,0,5,0,0,0,0,5</v>
      </c>
      <c r="AK133" s="26" t="str">
        <f t="shared" ref="AK133" si="902">CQ$7</f>
        <v>100,1,1000,2,5,200,1,1000,2,5</v>
      </c>
      <c r="AL133" s="26" t="str">
        <f t="shared" ref="AL133" si="903">CR$7</f>
        <v>5,5,5,5,5,5,5,5,5,5</v>
      </c>
      <c r="AM133" s="7">
        <v>2001</v>
      </c>
      <c r="AO133">
        <f t="shared" ref="AO133" si="904">AQ133*100+4</f>
        <v>1504</v>
      </c>
      <c r="AP133">
        <v>129</v>
      </c>
      <c r="AQ133">
        <f t="shared" ref="AQ133:AQ196" si="905">FLOOR(AP133/9+1,1)</f>
        <v>15</v>
      </c>
      <c r="AR133" s="17">
        <v>7</v>
      </c>
      <c r="AS133" s="17">
        <f t="shared" si="520"/>
        <v>125</v>
      </c>
      <c r="AT133" s="17">
        <v>6</v>
      </c>
      <c r="AU133">
        <f t="shared" ref="AU133:AU196" si="906">20+FLOOR(AQ133/10,1)*2</f>
        <v>22</v>
      </c>
      <c r="AV133">
        <v>150</v>
      </c>
      <c r="AW133">
        <f t="shared" ref="AW133:AW196" si="907">BA133*0.6*(1+BF133)</f>
        <v>20777.471999999998</v>
      </c>
      <c r="AX133">
        <f t="shared" si="570"/>
        <v>113400000</v>
      </c>
      <c r="AY133">
        <f t="shared" ref="AY133:AY196" si="908">BB133*2</f>
        <v>1890</v>
      </c>
      <c r="AZ133">
        <f t="shared" ref="AZ133:AZ196" si="909">(INDEX($BO$2:$BO$15,MATCH($AR133,$BK$2:$BK$15,0))+INDEX($BP$2:$BP$15,MATCH($AR133,$BK$2:$BK$15,0))*$AS133)*(1+INDEX($BZ$2:$BZ$15,MATCH($AT133,$BX$2:$BX$15,0)))</f>
        <v>3780</v>
      </c>
      <c r="BA133">
        <f t="shared" ref="BA133:BA196" si="910">INDEX($BQ$2:$BQ$15,MATCH($AR133,$BK$2:$BK$15,0))+INDEX($BR$2:$BR$15,MATCH($AR133,$BK$2:$BK$15,0))*$AS133</f>
        <v>25920</v>
      </c>
      <c r="BB133">
        <f t="shared" ref="BB133:BB196" si="911">(INDEX($BS$2:$BS$15,MATCH($AR133,$BK$2:$BK$15,0))+INDEX($BT$2:$BT$15,MATCH($AR133,$BK$2:$BK$15,0))*$AS133)*(1+INDEX($BZ$2:$BZ$15,MATCH($AT133,$BX$2:$BX$15,0)))</f>
        <v>945</v>
      </c>
      <c r="BC133">
        <f t="shared" si="571"/>
        <v>113400000</v>
      </c>
      <c r="BD133">
        <f t="shared" ref="BD133:BD196" si="912">1/(1+AZ133*3/(5*BB133))</f>
        <v>0.29411764705882354</v>
      </c>
      <c r="BE133" s="27">
        <f t="shared" si="572"/>
        <v>38257191.000000007</v>
      </c>
      <c r="BF133" s="30">
        <f t="shared" ref="BF133:BF196" si="913">0.3+AQ133*0.0024</f>
        <v>0.33599999999999997</v>
      </c>
      <c r="BG133" s="27"/>
      <c r="BH133" s="27"/>
      <c r="BI133" s="27"/>
      <c r="CA133" s="20">
        <f t="shared" ref="CA133:CA196" si="914">$CA$2+(AQ133-1)*5</f>
        <v>170</v>
      </c>
      <c r="CB133" s="20">
        <f t="shared" ref="CB133:CB196" si="915">$CB$2+(AQ133-1)*500</f>
        <v>17000</v>
      </c>
    </row>
    <row r="134" spans="1:80" x14ac:dyDescent="0.15">
      <c r="A134">
        <v>1505</v>
      </c>
      <c r="B134" s="3" t="s">
        <v>122</v>
      </c>
      <c r="C134" s="4" t="s">
        <v>109</v>
      </c>
      <c r="D134" s="4" t="s">
        <v>110</v>
      </c>
      <c r="E134" s="5">
        <v>2</v>
      </c>
      <c r="F134" s="7" t="s">
        <v>146</v>
      </c>
      <c r="G134" s="5">
        <v>3</v>
      </c>
      <c r="H134" s="7" t="s">
        <v>191</v>
      </c>
      <c r="I134" s="5">
        <v>0</v>
      </c>
      <c r="J134" s="7" t="s">
        <v>148</v>
      </c>
      <c r="K134">
        <v>6</v>
      </c>
      <c r="L134">
        <v>1.5</v>
      </c>
      <c r="M134" s="5">
        <v>1.5</v>
      </c>
      <c r="N134" s="5">
        <v>10</v>
      </c>
      <c r="O134" s="5">
        <f t="shared" si="895"/>
        <v>21547</v>
      </c>
      <c r="P134" s="5">
        <f t="shared" si="896"/>
        <v>117600000</v>
      </c>
      <c r="Q134" s="5">
        <f t="shared" si="897"/>
        <v>1960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70051</v>
      </c>
      <c r="X134" s="6" t="s">
        <v>183</v>
      </c>
      <c r="Y134" s="5">
        <v>300</v>
      </c>
      <c r="Z134" s="5">
        <v>1</v>
      </c>
      <c r="AA134" s="5">
        <v>8293824</v>
      </c>
      <c r="AB134" s="16" t="s">
        <v>111</v>
      </c>
      <c r="AC134" s="7" t="s">
        <v>112</v>
      </c>
      <c r="AD134" s="7" t="s">
        <v>112</v>
      </c>
      <c r="AE134" s="7" t="s">
        <v>112</v>
      </c>
      <c r="AF134" s="6" t="s">
        <v>113</v>
      </c>
      <c r="AG134" s="26" t="str">
        <f t="shared" ref="AG134" si="916">CM$8</f>
        <v>4,19,28,19,6,4,19,28,19,6</v>
      </c>
      <c r="AH134" s="26" t="str">
        <f t="shared" ref="AH134" si="917">CN$8</f>
        <v>0,0,0,0,1,0,0,0,0,1</v>
      </c>
      <c r="AI134" s="26" t="str">
        <f t="shared" ref="AI134" si="918">CO$8</f>
        <v>0,0,0,0,1,0,0,0,0,1</v>
      </c>
      <c r="AJ134" s="26" t="str">
        <f t="shared" ref="AJ134" si="919">CP$8</f>
        <v>0,0,0,0,5,0,0,0,0,5</v>
      </c>
      <c r="AK134" s="26" t="str">
        <f t="shared" ref="AK134" si="920">CQ$8</f>
        <v>200,100,1000,200,5,200,100,1000,200,5</v>
      </c>
      <c r="AL134" s="26" t="str">
        <f t="shared" ref="AL134" si="921">CR$8</f>
        <v>5,5,5,5,5,5,5,5,5,5</v>
      </c>
      <c r="AM134" s="7">
        <v>2001</v>
      </c>
      <c r="AO134">
        <f t="shared" ref="AO134" si="922">AQ134*100+5</f>
        <v>1505</v>
      </c>
      <c r="AP134">
        <v>130</v>
      </c>
      <c r="AQ134">
        <f t="shared" si="905"/>
        <v>15</v>
      </c>
      <c r="AR134" s="17">
        <v>7</v>
      </c>
      <c r="AS134" s="17">
        <f t="shared" si="520"/>
        <v>130</v>
      </c>
      <c r="AT134" s="17">
        <v>6</v>
      </c>
      <c r="AU134">
        <f t="shared" si="906"/>
        <v>22</v>
      </c>
      <c r="AV134">
        <v>150</v>
      </c>
      <c r="AW134">
        <f t="shared" si="907"/>
        <v>21547.007999999998</v>
      </c>
      <c r="AX134">
        <f t="shared" si="570"/>
        <v>117600000</v>
      </c>
      <c r="AY134">
        <f t="shared" si="908"/>
        <v>1960</v>
      </c>
      <c r="AZ134">
        <f t="shared" si="909"/>
        <v>3920</v>
      </c>
      <c r="BA134">
        <f t="shared" si="910"/>
        <v>26880</v>
      </c>
      <c r="BB134">
        <f t="shared" si="911"/>
        <v>980</v>
      </c>
      <c r="BC134">
        <f t="shared" si="571"/>
        <v>117600000</v>
      </c>
      <c r="BD134">
        <f t="shared" si="912"/>
        <v>0.29411764705882354</v>
      </c>
      <c r="BE134" s="27">
        <f t="shared" si="572"/>
        <v>41143536.000000007</v>
      </c>
      <c r="BF134" s="30">
        <f t="shared" si="913"/>
        <v>0.33599999999999997</v>
      </c>
      <c r="BG134" s="27"/>
      <c r="BH134" s="27"/>
      <c r="BI134" s="27"/>
      <c r="CA134" s="20">
        <f t="shared" si="914"/>
        <v>170</v>
      </c>
      <c r="CB134" s="20">
        <f t="shared" si="915"/>
        <v>17000</v>
      </c>
    </row>
    <row r="135" spans="1:80" x14ac:dyDescent="0.15">
      <c r="A135">
        <v>1506</v>
      </c>
      <c r="B135" s="3" t="s">
        <v>124</v>
      </c>
      <c r="C135" s="4" t="s">
        <v>109</v>
      </c>
      <c r="D135" s="6" t="s">
        <v>120</v>
      </c>
      <c r="E135" s="5">
        <v>1</v>
      </c>
      <c r="F135" s="7" t="s">
        <v>147</v>
      </c>
      <c r="G135" s="5">
        <v>3</v>
      </c>
      <c r="H135" s="7" t="s">
        <v>192</v>
      </c>
      <c r="I135" s="5">
        <v>0</v>
      </c>
      <c r="J135" s="7" t="s">
        <v>149</v>
      </c>
      <c r="K135">
        <v>6</v>
      </c>
      <c r="L135">
        <v>1.5</v>
      </c>
      <c r="M135" s="5">
        <v>1.5</v>
      </c>
      <c r="N135" s="5">
        <v>10</v>
      </c>
      <c r="O135" s="5">
        <f t="shared" si="895"/>
        <v>22316</v>
      </c>
      <c r="P135" s="5">
        <f t="shared" si="896"/>
        <v>121800000</v>
      </c>
      <c r="Q135" s="5">
        <f t="shared" si="897"/>
        <v>2030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70061</v>
      </c>
      <c r="X135" s="6" t="s">
        <v>184</v>
      </c>
      <c r="Y135" s="5">
        <v>300</v>
      </c>
      <c r="Z135" s="5">
        <v>1</v>
      </c>
      <c r="AA135" s="5">
        <v>9064944</v>
      </c>
      <c r="AB135" s="16" t="s">
        <v>111</v>
      </c>
      <c r="AC135" s="7" t="s">
        <v>112</v>
      </c>
      <c r="AD135" s="7" t="s">
        <v>112</v>
      </c>
      <c r="AE135" s="7" t="s">
        <v>112</v>
      </c>
      <c r="AF135" s="6" t="s">
        <v>113</v>
      </c>
      <c r="AG135" s="26" t="str">
        <f t="shared" ref="AG135" si="923">CM$9</f>
        <v>4,33,28,33,6,4,33,28,33,6</v>
      </c>
      <c r="AH135" s="26" t="str">
        <f t="shared" ref="AH135" si="924">CN$9</f>
        <v>0,6,0,6,1,0,6,0,6,1</v>
      </c>
      <c r="AI135" s="26" t="str">
        <f t="shared" ref="AI135" si="925">CO$9</f>
        <v>0,0,0,0,1,0,0,0,0,1</v>
      </c>
      <c r="AJ135" s="26" t="str">
        <f t="shared" ref="AJ135" si="926">CP$9</f>
        <v>0,0,0,0,5,0,0,0,0,5</v>
      </c>
      <c r="AK135" s="26" t="str">
        <f t="shared" ref="AK135" si="927">CQ$9</f>
        <v>200,1,1000,2,5,200,1,1000,2,5</v>
      </c>
      <c r="AL135" s="26" t="str">
        <f t="shared" ref="AL135" si="928">CR$9</f>
        <v>5,5,5,5,5,5,5,5,5,5</v>
      </c>
      <c r="AM135" s="7">
        <v>2001</v>
      </c>
      <c r="AO135">
        <f t="shared" ref="AO135" si="929">AQ135*100+6</f>
        <v>1506</v>
      </c>
      <c r="AP135">
        <v>131</v>
      </c>
      <c r="AQ135">
        <f t="shared" si="905"/>
        <v>15</v>
      </c>
      <c r="AR135" s="17">
        <v>7</v>
      </c>
      <c r="AS135" s="17">
        <f t="shared" si="520"/>
        <v>135</v>
      </c>
      <c r="AT135" s="17">
        <v>6</v>
      </c>
      <c r="AU135">
        <f t="shared" si="906"/>
        <v>22</v>
      </c>
      <c r="AV135">
        <v>150</v>
      </c>
      <c r="AW135">
        <f t="shared" si="907"/>
        <v>22316.543999999998</v>
      </c>
      <c r="AX135">
        <f t="shared" si="570"/>
        <v>121800000</v>
      </c>
      <c r="AY135">
        <f t="shared" si="908"/>
        <v>2030</v>
      </c>
      <c r="AZ135">
        <f t="shared" si="909"/>
        <v>4060</v>
      </c>
      <c r="BA135">
        <f t="shared" si="910"/>
        <v>27840</v>
      </c>
      <c r="BB135">
        <f t="shared" si="911"/>
        <v>1015</v>
      </c>
      <c r="BC135">
        <f t="shared" si="571"/>
        <v>121800000</v>
      </c>
      <c r="BD135">
        <f t="shared" si="912"/>
        <v>0.29411764705882354</v>
      </c>
      <c r="BE135" s="27">
        <f t="shared" si="572"/>
        <v>44134839.000000007</v>
      </c>
      <c r="BF135" s="30">
        <f t="shared" si="913"/>
        <v>0.33599999999999997</v>
      </c>
      <c r="BG135" s="27"/>
      <c r="BH135" s="27"/>
      <c r="BI135" s="27"/>
      <c r="CA135" s="20">
        <f t="shared" si="914"/>
        <v>170</v>
      </c>
      <c r="CB135" s="20">
        <f t="shared" si="915"/>
        <v>17000</v>
      </c>
    </row>
    <row r="136" spans="1:80" x14ac:dyDescent="0.15">
      <c r="A136">
        <v>1507</v>
      </c>
      <c r="B136" s="3" t="s">
        <v>126</v>
      </c>
      <c r="C136" s="4" t="s">
        <v>109</v>
      </c>
      <c r="D136" s="4" t="s">
        <v>110</v>
      </c>
      <c r="E136" s="5">
        <v>2</v>
      </c>
      <c r="F136" s="7" t="s">
        <v>143</v>
      </c>
      <c r="G136" s="5">
        <v>3</v>
      </c>
      <c r="H136" s="7" t="s">
        <v>193</v>
      </c>
      <c r="I136" s="5">
        <v>0</v>
      </c>
      <c r="J136" s="5">
        <v>0</v>
      </c>
      <c r="K136">
        <v>2</v>
      </c>
      <c r="L136">
        <v>1.5</v>
      </c>
      <c r="M136" s="5">
        <v>1.5</v>
      </c>
      <c r="N136" s="5">
        <v>10</v>
      </c>
      <c r="O136" s="5">
        <f t="shared" si="895"/>
        <v>23086</v>
      </c>
      <c r="P136" s="5">
        <f t="shared" si="896"/>
        <v>126000000</v>
      </c>
      <c r="Q136" s="5">
        <f t="shared" si="897"/>
        <v>2100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70071</v>
      </c>
      <c r="X136" s="6" t="s">
        <v>185</v>
      </c>
      <c r="Y136" s="5">
        <v>300</v>
      </c>
      <c r="Z136" s="5">
        <v>1</v>
      </c>
      <c r="AA136" s="5">
        <v>9870336</v>
      </c>
      <c r="AB136" s="16" t="s">
        <v>111</v>
      </c>
      <c r="AC136" s="7" t="s">
        <v>112</v>
      </c>
      <c r="AD136" s="7" t="s">
        <v>112</v>
      </c>
      <c r="AE136" s="7" t="s">
        <v>112</v>
      </c>
      <c r="AF136" s="6" t="s">
        <v>113</v>
      </c>
      <c r="AG136" s="26" t="str">
        <f t="shared" ref="AG136" si="930">CM$10</f>
        <v>4,14,28,14,6,4,14,28,14,6</v>
      </c>
      <c r="AH136" s="26" t="str">
        <f t="shared" ref="AH136" si="931">CN$10</f>
        <v>0,0,0,0,1,0,0,0,0,1</v>
      </c>
      <c r="AI136" s="26" t="str">
        <f t="shared" ref="AI136" si="932">CO$10</f>
        <v>0,0,0,0,1,0,0,0,0,1</v>
      </c>
      <c r="AJ136" s="26" t="str">
        <f t="shared" ref="AJ136" si="933">CP$10</f>
        <v>0,0,0,0,5,0,0,0,0,5</v>
      </c>
      <c r="AK136" s="26" t="str">
        <f t="shared" ref="AK136" si="934">CQ$10</f>
        <v>200,1,1000,2,5,200,1,1000,2,5</v>
      </c>
      <c r="AL136" s="26" t="str">
        <f t="shared" ref="AL136" si="935">CR$10</f>
        <v>5,5,5,5,5,5,5,5,5,5</v>
      </c>
      <c r="AM136" s="7">
        <v>2001</v>
      </c>
      <c r="AO136">
        <f t="shared" ref="AO136" si="936">AQ136*100+7</f>
        <v>1507</v>
      </c>
      <c r="AP136">
        <v>132</v>
      </c>
      <c r="AQ136">
        <f t="shared" si="905"/>
        <v>15</v>
      </c>
      <c r="AR136" s="17">
        <v>7</v>
      </c>
      <c r="AS136" s="17">
        <f t="shared" si="520"/>
        <v>140</v>
      </c>
      <c r="AT136" s="17">
        <v>6</v>
      </c>
      <c r="AU136">
        <f t="shared" si="906"/>
        <v>22</v>
      </c>
      <c r="AV136">
        <v>150</v>
      </c>
      <c r="AW136">
        <f t="shared" si="907"/>
        <v>23086.079999999998</v>
      </c>
      <c r="AX136">
        <f t="shared" si="570"/>
        <v>126000000</v>
      </c>
      <c r="AY136">
        <f t="shared" si="908"/>
        <v>2100</v>
      </c>
      <c r="AZ136">
        <f t="shared" si="909"/>
        <v>4200</v>
      </c>
      <c r="BA136">
        <f t="shared" si="910"/>
        <v>28800</v>
      </c>
      <c r="BB136">
        <f t="shared" si="911"/>
        <v>1050</v>
      </c>
      <c r="BC136">
        <f t="shared" si="571"/>
        <v>126000000</v>
      </c>
      <c r="BD136">
        <f t="shared" si="912"/>
        <v>0.29411764705882354</v>
      </c>
      <c r="BE136" s="27">
        <f t="shared" si="572"/>
        <v>47231100</v>
      </c>
      <c r="BF136" s="30">
        <f t="shared" si="913"/>
        <v>0.33599999999999997</v>
      </c>
      <c r="BG136" s="27"/>
      <c r="BH136" s="27"/>
      <c r="BI136" s="27"/>
      <c r="CA136" s="20">
        <f t="shared" si="914"/>
        <v>170</v>
      </c>
      <c r="CB136" s="20">
        <f t="shared" si="915"/>
        <v>17000</v>
      </c>
    </row>
    <row r="137" spans="1:80" x14ac:dyDescent="0.15">
      <c r="A137">
        <v>1508</v>
      </c>
      <c r="B137" s="3" t="s">
        <v>128</v>
      </c>
      <c r="C137" s="4" t="s">
        <v>109</v>
      </c>
      <c r="D137" s="4" t="s">
        <v>110</v>
      </c>
      <c r="E137" s="5">
        <v>5</v>
      </c>
      <c r="F137" s="7" t="s">
        <v>129</v>
      </c>
      <c r="G137" s="5">
        <v>2</v>
      </c>
      <c r="H137" s="7" t="s">
        <v>130</v>
      </c>
      <c r="I137" s="5">
        <v>0</v>
      </c>
      <c r="J137" s="5">
        <v>0</v>
      </c>
      <c r="K137">
        <v>2</v>
      </c>
      <c r="L137">
        <v>1.5</v>
      </c>
      <c r="M137" s="5">
        <v>1.5</v>
      </c>
      <c r="N137" s="5">
        <v>10</v>
      </c>
      <c r="O137" s="5">
        <f t="shared" si="895"/>
        <v>23855</v>
      </c>
      <c r="P137" s="5">
        <f t="shared" si="896"/>
        <v>130200000</v>
      </c>
      <c r="Q137" s="5">
        <f t="shared" si="897"/>
        <v>2170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70081</v>
      </c>
      <c r="X137" s="6" t="s">
        <v>186</v>
      </c>
      <c r="Y137" s="5">
        <v>300</v>
      </c>
      <c r="Z137" s="5">
        <v>1</v>
      </c>
      <c r="AA137" s="5">
        <v>10710000</v>
      </c>
      <c r="AB137" s="16" t="s">
        <v>111</v>
      </c>
      <c r="AC137" s="7" t="s">
        <v>112</v>
      </c>
      <c r="AD137" s="7" t="s">
        <v>112</v>
      </c>
      <c r="AE137" s="7" t="s">
        <v>112</v>
      </c>
      <c r="AF137" s="6" t="s">
        <v>113</v>
      </c>
      <c r="AG137" s="26" t="str">
        <f t="shared" ref="AG137" si="937">CM$11</f>
        <v>4,28,6,28,6,4,28,6,28,6</v>
      </c>
      <c r="AH137" s="26" t="str">
        <f t="shared" ref="AH137" si="938">CN$11</f>
        <v>0,0,1,0,1,0,0,1,0,1</v>
      </c>
      <c r="AI137" s="26" t="str">
        <f t="shared" ref="AI137" si="939">CO$11</f>
        <v>0,0,1,0,1,0,0,1,0,1</v>
      </c>
      <c r="AJ137" s="26" t="str">
        <f t="shared" ref="AJ137" si="940">CP$11</f>
        <v>0,0,5,0,5,0,0,5,0,5</v>
      </c>
      <c r="AK137" s="26" t="str">
        <f t="shared" ref="AK137" si="941">CQ$11</f>
        <v>100,1000,5,1500,5,200,1000,5,1500,5</v>
      </c>
      <c r="AL137" s="26" t="str">
        <f t="shared" ref="AL137" si="942">CR$11</f>
        <v>5,5,5,5,5,5,5,5,5,5</v>
      </c>
      <c r="AM137" s="7">
        <v>2001</v>
      </c>
      <c r="AO137">
        <f t="shared" ref="AO137" si="943">AQ137*100+8</f>
        <v>1508</v>
      </c>
      <c r="AP137">
        <v>133</v>
      </c>
      <c r="AQ137">
        <f t="shared" si="905"/>
        <v>15</v>
      </c>
      <c r="AR137" s="17">
        <v>7</v>
      </c>
      <c r="AS137" s="17">
        <f t="shared" si="520"/>
        <v>145</v>
      </c>
      <c r="AT137" s="17">
        <v>6</v>
      </c>
      <c r="AU137">
        <f t="shared" si="906"/>
        <v>22</v>
      </c>
      <c r="AV137">
        <v>150</v>
      </c>
      <c r="AW137">
        <f t="shared" si="907"/>
        <v>23855.615999999998</v>
      </c>
      <c r="AX137">
        <f t="shared" si="570"/>
        <v>130200000.00000001</v>
      </c>
      <c r="AY137">
        <f t="shared" si="908"/>
        <v>2170</v>
      </c>
      <c r="AZ137">
        <f t="shared" si="909"/>
        <v>4340</v>
      </c>
      <c r="BA137">
        <f t="shared" si="910"/>
        <v>29760</v>
      </c>
      <c r="BB137">
        <f t="shared" si="911"/>
        <v>1085</v>
      </c>
      <c r="BC137">
        <f t="shared" si="571"/>
        <v>130200000.00000001</v>
      </c>
      <c r="BD137">
        <f t="shared" si="912"/>
        <v>0.29411764705882354</v>
      </c>
      <c r="BE137" s="27">
        <f t="shared" si="572"/>
        <v>50432319.000000015</v>
      </c>
      <c r="BF137" s="30">
        <f t="shared" si="913"/>
        <v>0.33599999999999997</v>
      </c>
      <c r="BG137" s="27"/>
      <c r="BH137" s="27"/>
      <c r="BI137" s="27"/>
      <c r="CA137" s="20">
        <f t="shared" si="914"/>
        <v>170</v>
      </c>
      <c r="CB137" s="20">
        <f t="shared" si="915"/>
        <v>17000</v>
      </c>
    </row>
    <row r="138" spans="1:80" x14ac:dyDescent="0.15">
      <c r="A138">
        <v>1509</v>
      </c>
      <c r="B138" s="3" t="s">
        <v>132</v>
      </c>
      <c r="C138" s="4" t="s">
        <v>109</v>
      </c>
      <c r="D138" s="4" t="s">
        <v>110</v>
      </c>
      <c r="E138" s="5">
        <v>5</v>
      </c>
      <c r="F138" s="7" t="s">
        <v>140</v>
      </c>
      <c r="G138" s="5">
        <v>3</v>
      </c>
      <c r="H138" s="7" t="s">
        <v>140</v>
      </c>
      <c r="I138" s="5">
        <v>0</v>
      </c>
      <c r="J138" s="7">
        <v>0</v>
      </c>
      <c r="K138">
        <v>6</v>
      </c>
      <c r="L138">
        <v>1.5</v>
      </c>
      <c r="M138" s="5">
        <v>1.5</v>
      </c>
      <c r="N138" s="5">
        <v>10</v>
      </c>
      <c r="O138" s="5">
        <f t="shared" si="895"/>
        <v>24625</v>
      </c>
      <c r="P138" s="5">
        <f t="shared" si="896"/>
        <v>134400000</v>
      </c>
      <c r="Q138" s="5">
        <f t="shared" si="897"/>
        <v>2240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70091</v>
      </c>
      <c r="X138" s="6" t="s">
        <v>187</v>
      </c>
      <c r="Y138" s="5">
        <v>300</v>
      </c>
      <c r="Z138" s="5">
        <v>1</v>
      </c>
      <c r="AA138" s="5">
        <v>11583936</v>
      </c>
      <c r="AB138" s="16" t="s">
        <v>111</v>
      </c>
      <c r="AC138" s="7" t="s">
        <v>112</v>
      </c>
      <c r="AD138" s="7" t="s">
        <v>112</v>
      </c>
      <c r="AE138" s="7" t="s">
        <v>112</v>
      </c>
      <c r="AF138" s="6" t="s">
        <v>113</v>
      </c>
      <c r="AG138" s="26" t="str">
        <f t="shared" ref="AG138" si="944">CM$12</f>
        <v>4,33,28,33,6,4,33,28,33,6</v>
      </c>
      <c r="AH138" s="26" t="str">
        <f t="shared" ref="AH138" si="945">CN$12</f>
        <v>0,5,0,5,1,0,5,0,5,1</v>
      </c>
      <c r="AI138" s="26" t="str">
        <f t="shared" ref="AI138" si="946">CO$12</f>
        <v>0,0,0,0,1,0,0,0,0,1</v>
      </c>
      <c r="AJ138" s="26" t="str">
        <f t="shared" ref="AJ138" si="947">CP$12</f>
        <v>0,0,0,0,5,0,0,0,0,5</v>
      </c>
      <c r="AK138" s="26" t="str">
        <f t="shared" ref="AK138" si="948">CQ$12</f>
        <v>100,1,1000,2,5,200,1,1000,2,5</v>
      </c>
      <c r="AL138" s="26" t="str">
        <f t="shared" ref="AL138" si="949">CR$12</f>
        <v>5,5,5,5,5,5,5,5,5,5</v>
      </c>
      <c r="AM138" s="7">
        <v>2001</v>
      </c>
      <c r="AO138">
        <f t="shared" ref="AO138" si="950">AQ138*100+9</f>
        <v>1509</v>
      </c>
      <c r="AP138">
        <v>134</v>
      </c>
      <c r="AQ138">
        <f t="shared" si="905"/>
        <v>15</v>
      </c>
      <c r="AR138" s="17">
        <v>7</v>
      </c>
      <c r="AS138" s="17">
        <f t="shared" si="520"/>
        <v>150</v>
      </c>
      <c r="AT138" s="17">
        <v>6</v>
      </c>
      <c r="AU138">
        <f t="shared" si="906"/>
        <v>22</v>
      </c>
      <c r="AV138">
        <v>150</v>
      </c>
      <c r="AW138">
        <f t="shared" si="907"/>
        <v>24625.151999999998</v>
      </c>
      <c r="AX138">
        <f t="shared" si="570"/>
        <v>134400000</v>
      </c>
      <c r="AY138">
        <f t="shared" si="908"/>
        <v>2240</v>
      </c>
      <c r="AZ138">
        <f t="shared" si="909"/>
        <v>4480</v>
      </c>
      <c r="BA138">
        <f t="shared" si="910"/>
        <v>30720</v>
      </c>
      <c r="BB138">
        <f t="shared" si="911"/>
        <v>1120</v>
      </c>
      <c r="BC138">
        <f t="shared" si="571"/>
        <v>134400000</v>
      </c>
      <c r="BD138">
        <f t="shared" si="912"/>
        <v>0.29411764705882354</v>
      </c>
      <c r="BE138" s="27">
        <f t="shared" si="572"/>
        <v>53738496.000000007</v>
      </c>
      <c r="BF138" s="30">
        <f t="shared" si="913"/>
        <v>0.33599999999999997</v>
      </c>
      <c r="BG138" s="27"/>
      <c r="BH138" s="27"/>
      <c r="BI138" s="27"/>
      <c r="CA138" s="20">
        <f t="shared" si="914"/>
        <v>170</v>
      </c>
      <c r="CB138" s="20">
        <f t="shared" si="915"/>
        <v>17000</v>
      </c>
    </row>
    <row r="139" spans="1:80" x14ac:dyDescent="0.15">
      <c r="A139">
        <v>1601</v>
      </c>
      <c r="B139" s="3" t="s">
        <v>108</v>
      </c>
      <c r="C139" s="4" t="s">
        <v>109</v>
      </c>
      <c r="D139" s="4" t="s">
        <v>110</v>
      </c>
      <c r="E139" s="5">
        <v>3</v>
      </c>
      <c r="F139" s="7" t="s">
        <v>141</v>
      </c>
      <c r="G139" s="5">
        <v>2.5</v>
      </c>
      <c r="H139" s="7" t="s">
        <v>194</v>
      </c>
      <c r="I139" s="5">
        <v>0</v>
      </c>
      <c r="J139" s="5">
        <v>0</v>
      </c>
      <c r="K139">
        <v>2</v>
      </c>
      <c r="L139">
        <v>1.5</v>
      </c>
      <c r="M139" s="5">
        <v>1.5</v>
      </c>
      <c r="N139" s="5">
        <v>10</v>
      </c>
      <c r="O139" s="5">
        <f t="shared" si="895"/>
        <v>19272</v>
      </c>
      <c r="P139" s="5">
        <f t="shared" si="896"/>
        <v>105000000</v>
      </c>
      <c r="Q139" s="5">
        <f t="shared" si="897"/>
        <v>1750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70011</v>
      </c>
      <c r="X139" s="6" t="s">
        <v>179</v>
      </c>
      <c r="Y139" s="5">
        <v>300</v>
      </c>
      <c r="Z139" s="5">
        <v>1</v>
      </c>
      <c r="AA139" s="5">
        <v>12492144</v>
      </c>
      <c r="AB139" s="16" t="s">
        <v>111</v>
      </c>
      <c r="AC139" s="7" t="s">
        <v>112</v>
      </c>
      <c r="AD139" s="7" t="s">
        <v>112</v>
      </c>
      <c r="AE139" s="7" t="s">
        <v>112</v>
      </c>
      <c r="AF139" s="6" t="s">
        <v>113</v>
      </c>
      <c r="AG139" s="26" t="str">
        <f t="shared" ref="AG139" si="951">CM$4</f>
        <v>4,33,28,33,6,4,33,28,33,6</v>
      </c>
      <c r="AH139" s="26" t="str">
        <f t="shared" ref="AH139" si="952">CN$4</f>
        <v>0,8,0,8,1,0,8,0,8,1</v>
      </c>
      <c r="AI139" s="26" t="str">
        <f t="shared" ref="AI139" si="953">CO$4</f>
        <v>0,0,0,0,1,0,0,0,0,1</v>
      </c>
      <c r="AJ139" s="26" t="str">
        <f t="shared" ref="AJ139" si="954">CP$4</f>
        <v>0,0,0,0,5,0,0,0,0,5</v>
      </c>
      <c r="AK139" s="26" t="str">
        <f t="shared" ref="AK139" si="955">CQ$4</f>
        <v>100,1,1000,2,5,200,1,1000,2,5</v>
      </c>
      <c r="AL139" s="26" t="str">
        <f t="shared" ref="AL139" si="956">CR$4</f>
        <v>5,5,5,5,5,5,5,5,5,5</v>
      </c>
      <c r="AM139" s="7">
        <v>2001</v>
      </c>
      <c r="AO139">
        <f t="shared" ref="AO139" si="957">AQ139*100+1</f>
        <v>1601</v>
      </c>
      <c r="AP139">
        <v>135</v>
      </c>
      <c r="AQ139">
        <f t="shared" si="905"/>
        <v>16</v>
      </c>
      <c r="AR139" s="17">
        <v>7</v>
      </c>
      <c r="AS139" s="17">
        <f t="shared" si="520"/>
        <v>115</v>
      </c>
      <c r="AT139" s="17">
        <v>6</v>
      </c>
      <c r="AU139">
        <f t="shared" si="906"/>
        <v>22</v>
      </c>
      <c r="AV139">
        <v>150</v>
      </c>
      <c r="AW139">
        <f t="shared" si="907"/>
        <v>19272.96</v>
      </c>
      <c r="AX139">
        <f t="shared" si="570"/>
        <v>105000000</v>
      </c>
      <c r="AY139">
        <f t="shared" si="908"/>
        <v>1750</v>
      </c>
      <c r="AZ139">
        <f t="shared" si="909"/>
        <v>3500</v>
      </c>
      <c r="BA139">
        <f t="shared" si="910"/>
        <v>24000</v>
      </c>
      <c r="BB139">
        <f t="shared" si="911"/>
        <v>875</v>
      </c>
      <c r="BC139">
        <f t="shared" si="571"/>
        <v>105000000</v>
      </c>
      <c r="BD139">
        <f t="shared" si="912"/>
        <v>0.29411764705882354</v>
      </c>
      <c r="BE139" s="27">
        <f t="shared" si="572"/>
        <v>32799375.000000007</v>
      </c>
      <c r="BF139" s="30">
        <f t="shared" si="913"/>
        <v>0.33839999999999998</v>
      </c>
      <c r="BG139" s="27"/>
      <c r="BH139" s="27"/>
      <c r="BI139" s="27"/>
      <c r="CA139" s="20">
        <f t="shared" si="914"/>
        <v>175</v>
      </c>
      <c r="CB139" s="20">
        <f t="shared" si="915"/>
        <v>17500</v>
      </c>
    </row>
    <row r="140" spans="1:80" x14ac:dyDescent="0.15">
      <c r="A140">
        <v>1602</v>
      </c>
      <c r="B140" s="3" t="s">
        <v>115</v>
      </c>
      <c r="C140" s="4" t="s">
        <v>109</v>
      </c>
      <c r="D140" s="6" t="s">
        <v>110</v>
      </c>
      <c r="E140" s="5">
        <v>3</v>
      </c>
      <c r="F140" s="7" t="s">
        <v>142</v>
      </c>
      <c r="G140" s="5">
        <v>3</v>
      </c>
      <c r="H140" s="7" t="s">
        <v>188</v>
      </c>
      <c r="I140" s="5">
        <v>0</v>
      </c>
      <c r="J140" s="5">
        <v>0</v>
      </c>
      <c r="K140">
        <v>2</v>
      </c>
      <c r="L140">
        <v>1.5</v>
      </c>
      <c r="M140" s="5">
        <v>1.5</v>
      </c>
      <c r="N140" s="5">
        <v>10</v>
      </c>
      <c r="O140" s="5">
        <f t="shared" si="895"/>
        <v>20043</v>
      </c>
      <c r="P140" s="5">
        <f t="shared" si="896"/>
        <v>109200000</v>
      </c>
      <c r="Q140" s="5">
        <f t="shared" si="897"/>
        <v>1820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70021</v>
      </c>
      <c r="X140" s="6" t="s">
        <v>180</v>
      </c>
      <c r="Y140" s="5">
        <v>300</v>
      </c>
      <c r="Z140" s="5">
        <v>1</v>
      </c>
      <c r="AA140" s="5">
        <v>6854400</v>
      </c>
      <c r="AB140" s="16" t="s">
        <v>111</v>
      </c>
      <c r="AC140" s="7" t="s">
        <v>112</v>
      </c>
      <c r="AD140" s="7" t="s">
        <v>112</v>
      </c>
      <c r="AE140" s="7" t="s">
        <v>112</v>
      </c>
      <c r="AF140" s="6" t="s">
        <v>113</v>
      </c>
      <c r="AG140" s="26" t="str">
        <f t="shared" ref="AG140" si="958">CM$5</f>
        <v>4,33,28,33,6,4,33,28,33,6</v>
      </c>
      <c r="AH140" s="26" t="str">
        <f t="shared" ref="AH140" si="959">CN$5</f>
        <v>0,7,0,7,1,0,7,0,7,1</v>
      </c>
      <c r="AI140" s="26" t="str">
        <f t="shared" ref="AI140" si="960">CO$5</f>
        <v>0,0,0,0,1,0,0,0,0,1</v>
      </c>
      <c r="AJ140" s="26" t="str">
        <f t="shared" ref="AJ140" si="961">CP$5</f>
        <v>0,0,0,0,5,0,0,0,0,5</v>
      </c>
      <c r="AK140" s="26" t="str">
        <f t="shared" ref="AK140" si="962">CQ$5</f>
        <v>100,1,1000,2,5,200,1,1000,2,5</v>
      </c>
      <c r="AL140" s="26" t="str">
        <f t="shared" ref="AL140" si="963">CR$5</f>
        <v>5,5,5,5,5,5,5,5,5,5</v>
      </c>
      <c r="AM140" s="7">
        <v>2001</v>
      </c>
      <c r="AO140">
        <f t="shared" ref="AO140" si="964">AQ140*100+2</f>
        <v>1602</v>
      </c>
      <c r="AP140">
        <v>136</v>
      </c>
      <c r="AQ140">
        <f t="shared" si="905"/>
        <v>16</v>
      </c>
      <c r="AR140" s="17">
        <v>7</v>
      </c>
      <c r="AS140" s="17">
        <f t="shared" si="520"/>
        <v>120</v>
      </c>
      <c r="AT140" s="17">
        <v>6</v>
      </c>
      <c r="AU140">
        <f t="shared" si="906"/>
        <v>22</v>
      </c>
      <c r="AV140">
        <v>150</v>
      </c>
      <c r="AW140">
        <f t="shared" si="907"/>
        <v>20043.878400000001</v>
      </c>
      <c r="AX140">
        <f t="shared" si="570"/>
        <v>109200000</v>
      </c>
      <c r="AY140">
        <f t="shared" si="908"/>
        <v>1820</v>
      </c>
      <c r="AZ140">
        <f t="shared" si="909"/>
        <v>3640</v>
      </c>
      <c r="BA140">
        <f t="shared" si="910"/>
        <v>24960</v>
      </c>
      <c r="BB140">
        <f t="shared" si="911"/>
        <v>910</v>
      </c>
      <c r="BC140">
        <f t="shared" si="571"/>
        <v>109200000</v>
      </c>
      <c r="BD140">
        <f t="shared" si="912"/>
        <v>0.29411764705882354</v>
      </c>
      <c r="BE140" s="27">
        <f t="shared" si="572"/>
        <v>35475804.000000007</v>
      </c>
      <c r="BF140" s="30">
        <f t="shared" si="913"/>
        <v>0.33839999999999998</v>
      </c>
      <c r="BG140" s="27"/>
      <c r="BH140" s="27"/>
      <c r="BI140" s="27"/>
      <c r="CA140" s="20">
        <f t="shared" si="914"/>
        <v>175</v>
      </c>
      <c r="CB140" s="20">
        <f t="shared" si="915"/>
        <v>17500</v>
      </c>
    </row>
    <row r="141" spans="1:80" x14ac:dyDescent="0.15">
      <c r="A141">
        <v>1603</v>
      </c>
      <c r="B141" s="3" t="s">
        <v>117</v>
      </c>
      <c r="C141" s="4" t="s">
        <v>109</v>
      </c>
      <c r="D141" s="4" t="s">
        <v>110</v>
      </c>
      <c r="E141" s="5">
        <v>1</v>
      </c>
      <c r="F141" s="7" t="s">
        <v>144</v>
      </c>
      <c r="G141" s="5">
        <v>3</v>
      </c>
      <c r="H141" s="7" t="s">
        <v>189</v>
      </c>
      <c r="I141" s="5">
        <v>0</v>
      </c>
      <c r="J141" s="2">
        <v>0</v>
      </c>
      <c r="K141">
        <v>6</v>
      </c>
      <c r="L141">
        <v>1.5</v>
      </c>
      <c r="M141" s="5">
        <v>1.5</v>
      </c>
      <c r="N141" s="5">
        <v>10</v>
      </c>
      <c r="O141" s="5">
        <f t="shared" si="895"/>
        <v>20814</v>
      </c>
      <c r="P141" s="5">
        <f t="shared" si="896"/>
        <v>113400000</v>
      </c>
      <c r="Q141" s="5">
        <f t="shared" si="897"/>
        <v>1890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70031</v>
      </c>
      <c r="X141" s="6" t="s">
        <v>181</v>
      </c>
      <c r="Y141" s="5">
        <v>300</v>
      </c>
      <c r="Z141" s="5">
        <v>1</v>
      </c>
      <c r="AA141" s="5">
        <v>7556976</v>
      </c>
      <c r="AB141" s="16" t="s">
        <v>111</v>
      </c>
      <c r="AC141" s="7" t="s">
        <v>112</v>
      </c>
      <c r="AD141" s="7" t="s">
        <v>112</v>
      </c>
      <c r="AE141" s="7" t="s">
        <v>112</v>
      </c>
      <c r="AF141" s="6" t="s">
        <v>113</v>
      </c>
      <c r="AG141" s="26" t="str">
        <f t="shared" ref="AG141" si="965">CM$6</f>
        <v>4,28,6,28,6,4,28,6,28,6</v>
      </c>
      <c r="AH141" s="26" t="str">
        <f t="shared" ref="AH141" si="966">CN$6</f>
        <v>0,0,1,0,1,0,0,1,0,1</v>
      </c>
      <c r="AI141" s="26" t="str">
        <f t="shared" ref="AI141" si="967">CO$6</f>
        <v>0,0,0,0,1,0,0,0,0,1</v>
      </c>
      <c r="AJ141" s="26" t="str">
        <f t="shared" ref="AJ141" si="968">CP$6</f>
        <v>0,0,5,0,5,0,0,5,0,5</v>
      </c>
      <c r="AK141" s="26" t="str">
        <f t="shared" ref="AK141" si="969">CQ$6</f>
        <v>100,1000,5,1500,5,200,1000,5,1500,5</v>
      </c>
      <c r="AL141" s="26" t="str">
        <f t="shared" ref="AL141" si="970">CR$6</f>
        <v>5,5,5,5,5,5,5,5,5,5</v>
      </c>
      <c r="AM141" s="7">
        <v>2001</v>
      </c>
      <c r="AO141">
        <f t="shared" ref="AO141" si="971">AQ141*100+3</f>
        <v>1603</v>
      </c>
      <c r="AP141">
        <v>137</v>
      </c>
      <c r="AQ141">
        <f t="shared" si="905"/>
        <v>16</v>
      </c>
      <c r="AR141" s="17">
        <v>7</v>
      </c>
      <c r="AS141" s="17">
        <f t="shared" si="520"/>
        <v>125</v>
      </c>
      <c r="AT141" s="17">
        <v>6</v>
      </c>
      <c r="AU141">
        <f t="shared" si="906"/>
        <v>22</v>
      </c>
      <c r="AV141">
        <v>150</v>
      </c>
      <c r="AW141">
        <f t="shared" si="907"/>
        <v>20814.7968</v>
      </c>
      <c r="AX141">
        <f t="shared" si="570"/>
        <v>113400000</v>
      </c>
      <c r="AY141">
        <f t="shared" si="908"/>
        <v>1890</v>
      </c>
      <c r="AZ141">
        <f t="shared" si="909"/>
        <v>3780</v>
      </c>
      <c r="BA141">
        <f t="shared" si="910"/>
        <v>25920</v>
      </c>
      <c r="BB141">
        <f t="shared" si="911"/>
        <v>945</v>
      </c>
      <c r="BC141">
        <f t="shared" si="571"/>
        <v>113400000</v>
      </c>
      <c r="BD141">
        <f t="shared" si="912"/>
        <v>0.29411764705882354</v>
      </c>
      <c r="BE141" s="27">
        <f t="shared" si="572"/>
        <v>38257191.000000007</v>
      </c>
      <c r="BF141" s="30">
        <f t="shared" si="913"/>
        <v>0.33839999999999998</v>
      </c>
      <c r="BG141" s="27"/>
      <c r="BH141" s="27"/>
      <c r="BI141" s="27"/>
      <c r="CA141" s="20">
        <f t="shared" si="914"/>
        <v>175</v>
      </c>
      <c r="CB141" s="20">
        <f t="shared" si="915"/>
        <v>17500</v>
      </c>
    </row>
    <row r="142" spans="1:80" x14ac:dyDescent="0.15">
      <c r="A142">
        <v>1604</v>
      </c>
      <c r="B142" s="3" t="s">
        <v>119</v>
      </c>
      <c r="C142" s="4" t="s">
        <v>109</v>
      </c>
      <c r="D142" s="6" t="s">
        <v>120</v>
      </c>
      <c r="E142" s="5">
        <v>3</v>
      </c>
      <c r="F142" s="7" t="s">
        <v>145</v>
      </c>
      <c r="G142" s="5">
        <v>3</v>
      </c>
      <c r="H142" s="7" t="s">
        <v>190</v>
      </c>
      <c r="I142" s="5">
        <v>0</v>
      </c>
      <c r="J142" s="5">
        <v>0</v>
      </c>
      <c r="K142">
        <v>2</v>
      </c>
      <c r="L142">
        <v>1.5</v>
      </c>
      <c r="M142" s="5">
        <v>1.5</v>
      </c>
      <c r="N142" s="5">
        <v>10</v>
      </c>
      <c r="O142" s="5">
        <f t="shared" si="895"/>
        <v>21585</v>
      </c>
      <c r="P142" s="5">
        <f t="shared" si="896"/>
        <v>117600000</v>
      </c>
      <c r="Q142" s="5">
        <f t="shared" si="897"/>
        <v>1960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70041</v>
      </c>
      <c r="X142" s="6" t="s">
        <v>182</v>
      </c>
      <c r="Y142" s="5">
        <v>300</v>
      </c>
      <c r="Z142" s="5">
        <v>1</v>
      </c>
      <c r="AA142" s="5">
        <v>8293824</v>
      </c>
      <c r="AB142" s="16" t="s">
        <v>111</v>
      </c>
      <c r="AC142" s="7" t="s">
        <v>112</v>
      </c>
      <c r="AD142" s="7" t="s">
        <v>112</v>
      </c>
      <c r="AE142" s="7" t="s">
        <v>112</v>
      </c>
      <c r="AF142" s="6" t="s">
        <v>113</v>
      </c>
      <c r="AG142" s="26" t="str">
        <f t="shared" ref="AG142" si="972">CM$7</f>
        <v>4,14,28,14,6,4,14,28,14,6</v>
      </c>
      <c r="AH142" s="26" t="str">
        <f t="shared" ref="AH142" si="973">CN$7</f>
        <v>0,0,0,0,1,0,0,0,0,1</v>
      </c>
      <c r="AI142" s="26" t="str">
        <f t="shared" ref="AI142" si="974">CO$7</f>
        <v>0,0,0,0,1,0,0,0,0,1</v>
      </c>
      <c r="AJ142" s="26" t="str">
        <f t="shared" ref="AJ142" si="975">CP$7</f>
        <v>0,0,0,0,5,0,0,0,0,5</v>
      </c>
      <c r="AK142" s="26" t="str">
        <f t="shared" ref="AK142" si="976">CQ$7</f>
        <v>100,1,1000,2,5,200,1,1000,2,5</v>
      </c>
      <c r="AL142" s="26" t="str">
        <f t="shared" ref="AL142" si="977">CR$7</f>
        <v>5,5,5,5,5,5,5,5,5,5</v>
      </c>
      <c r="AM142" s="7">
        <v>2001</v>
      </c>
      <c r="AO142">
        <f t="shared" ref="AO142" si="978">AQ142*100+4</f>
        <v>1604</v>
      </c>
      <c r="AP142">
        <v>138</v>
      </c>
      <c r="AQ142">
        <f t="shared" si="905"/>
        <v>16</v>
      </c>
      <c r="AR142" s="17">
        <v>7</v>
      </c>
      <c r="AS142" s="17">
        <f t="shared" si="520"/>
        <v>130</v>
      </c>
      <c r="AT142" s="17">
        <v>6</v>
      </c>
      <c r="AU142">
        <f t="shared" si="906"/>
        <v>22</v>
      </c>
      <c r="AV142">
        <v>150</v>
      </c>
      <c r="AW142">
        <f t="shared" si="907"/>
        <v>21585.715199999999</v>
      </c>
      <c r="AX142">
        <f t="shared" si="570"/>
        <v>117600000</v>
      </c>
      <c r="AY142">
        <f t="shared" si="908"/>
        <v>1960</v>
      </c>
      <c r="AZ142">
        <f t="shared" si="909"/>
        <v>3920</v>
      </c>
      <c r="BA142">
        <f t="shared" si="910"/>
        <v>26880</v>
      </c>
      <c r="BB142">
        <f t="shared" si="911"/>
        <v>980</v>
      </c>
      <c r="BC142">
        <f t="shared" si="571"/>
        <v>117600000</v>
      </c>
      <c r="BD142">
        <f t="shared" si="912"/>
        <v>0.29411764705882354</v>
      </c>
      <c r="BE142" s="27">
        <f t="shared" si="572"/>
        <v>41143536.000000007</v>
      </c>
      <c r="BF142" s="30">
        <f t="shared" si="913"/>
        <v>0.33839999999999998</v>
      </c>
      <c r="BG142" s="27"/>
      <c r="BH142" s="27"/>
      <c r="BI142" s="27"/>
      <c r="CA142" s="20">
        <f t="shared" si="914"/>
        <v>175</v>
      </c>
      <c r="CB142" s="20">
        <f t="shared" si="915"/>
        <v>17500</v>
      </c>
    </row>
    <row r="143" spans="1:80" x14ac:dyDescent="0.15">
      <c r="A143">
        <v>1605</v>
      </c>
      <c r="B143" s="3" t="s">
        <v>122</v>
      </c>
      <c r="C143" s="4" t="s">
        <v>109</v>
      </c>
      <c r="D143" s="4" t="s">
        <v>110</v>
      </c>
      <c r="E143" s="5">
        <v>2</v>
      </c>
      <c r="F143" s="7" t="s">
        <v>146</v>
      </c>
      <c r="G143" s="5">
        <v>3</v>
      </c>
      <c r="H143" s="7" t="s">
        <v>191</v>
      </c>
      <c r="I143" s="5">
        <v>0</v>
      </c>
      <c r="J143" s="7" t="s">
        <v>148</v>
      </c>
      <c r="K143">
        <v>6</v>
      </c>
      <c r="L143">
        <v>1.5</v>
      </c>
      <c r="M143" s="5">
        <v>1.5</v>
      </c>
      <c r="N143" s="5">
        <v>10</v>
      </c>
      <c r="O143" s="5">
        <f t="shared" si="895"/>
        <v>22356</v>
      </c>
      <c r="P143" s="5">
        <f t="shared" si="896"/>
        <v>121800000</v>
      </c>
      <c r="Q143" s="5">
        <f t="shared" si="897"/>
        <v>2030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70051</v>
      </c>
      <c r="X143" s="6" t="s">
        <v>183</v>
      </c>
      <c r="Y143" s="5">
        <v>300</v>
      </c>
      <c r="Z143" s="5">
        <v>1</v>
      </c>
      <c r="AA143" s="5">
        <v>9064944</v>
      </c>
      <c r="AB143" s="16" t="s">
        <v>111</v>
      </c>
      <c r="AC143" s="7" t="s">
        <v>112</v>
      </c>
      <c r="AD143" s="7" t="s">
        <v>112</v>
      </c>
      <c r="AE143" s="7" t="s">
        <v>112</v>
      </c>
      <c r="AF143" s="6" t="s">
        <v>113</v>
      </c>
      <c r="AG143" s="26" t="str">
        <f t="shared" ref="AG143" si="979">CM$8</f>
        <v>4,19,28,19,6,4,19,28,19,6</v>
      </c>
      <c r="AH143" s="26" t="str">
        <f t="shared" ref="AH143" si="980">CN$8</f>
        <v>0,0,0,0,1,0,0,0,0,1</v>
      </c>
      <c r="AI143" s="26" t="str">
        <f t="shared" ref="AI143" si="981">CO$8</f>
        <v>0,0,0,0,1,0,0,0,0,1</v>
      </c>
      <c r="AJ143" s="26" t="str">
        <f t="shared" ref="AJ143" si="982">CP$8</f>
        <v>0,0,0,0,5,0,0,0,0,5</v>
      </c>
      <c r="AK143" s="26" t="str">
        <f t="shared" ref="AK143" si="983">CQ$8</f>
        <v>200,100,1000,200,5,200,100,1000,200,5</v>
      </c>
      <c r="AL143" s="26" t="str">
        <f t="shared" ref="AL143" si="984">CR$8</f>
        <v>5,5,5,5,5,5,5,5,5,5</v>
      </c>
      <c r="AM143" s="7">
        <v>2001</v>
      </c>
      <c r="AO143">
        <f t="shared" ref="AO143" si="985">AQ143*100+5</f>
        <v>1605</v>
      </c>
      <c r="AP143">
        <v>139</v>
      </c>
      <c r="AQ143">
        <f t="shared" si="905"/>
        <v>16</v>
      </c>
      <c r="AR143" s="17">
        <v>7</v>
      </c>
      <c r="AS143" s="17">
        <f t="shared" ref="AS143:AS206" si="986">AS134+5</f>
        <v>135</v>
      </c>
      <c r="AT143" s="17">
        <v>6</v>
      </c>
      <c r="AU143">
        <f t="shared" si="906"/>
        <v>22</v>
      </c>
      <c r="AV143">
        <v>150</v>
      </c>
      <c r="AW143">
        <f t="shared" si="907"/>
        <v>22356.633600000001</v>
      </c>
      <c r="AX143">
        <f t="shared" si="570"/>
        <v>121800000</v>
      </c>
      <c r="AY143">
        <f t="shared" si="908"/>
        <v>2030</v>
      </c>
      <c r="AZ143">
        <f t="shared" si="909"/>
        <v>4060</v>
      </c>
      <c r="BA143">
        <f t="shared" si="910"/>
        <v>27840</v>
      </c>
      <c r="BB143">
        <f t="shared" si="911"/>
        <v>1015</v>
      </c>
      <c r="BC143">
        <f t="shared" si="571"/>
        <v>121800000</v>
      </c>
      <c r="BD143">
        <f t="shared" si="912"/>
        <v>0.29411764705882354</v>
      </c>
      <c r="BE143" s="27">
        <f t="shared" si="572"/>
        <v>44134839.000000007</v>
      </c>
      <c r="BF143" s="30">
        <f t="shared" si="913"/>
        <v>0.33839999999999998</v>
      </c>
      <c r="BG143" s="27"/>
      <c r="BH143" s="27"/>
      <c r="BI143" s="27"/>
      <c r="CA143" s="20">
        <f t="shared" si="914"/>
        <v>175</v>
      </c>
      <c r="CB143" s="20">
        <f t="shared" si="915"/>
        <v>17500</v>
      </c>
    </row>
    <row r="144" spans="1:80" x14ac:dyDescent="0.15">
      <c r="A144">
        <v>1606</v>
      </c>
      <c r="B144" s="3" t="s">
        <v>124</v>
      </c>
      <c r="C144" s="4" t="s">
        <v>109</v>
      </c>
      <c r="D144" s="6" t="s">
        <v>120</v>
      </c>
      <c r="E144" s="5">
        <v>1</v>
      </c>
      <c r="F144" s="7" t="s">
        <v>147</v>
      </c>
      <c r="G144" s="5">
        <v>3</v>
      </c>
      <c r="H144" s="7" t="s">
        <v>192</v>
      </c>
      <c r="I144" s="5">
        <v>0</v>
      </c>
      <c r="J144" s="7" t="s">
        <v>149</v>
      </c>
      <c r="K144">
        <v>6</v>
      </c>
      <c r="L144">
        <v>1.5</v>
      </c>
      <c r="M144" s="5">
        <v>1.5</v>
      </c>
      <c r="N144" s="5">
        <v>10</v>
      </c>
      <c r="O144" s="5">
        <f t="shared" si="895"/>
        <v>23127</v>
      </c>
      <c r="P144" s="5">
        <f t="shared" si="896"/>
        <v>126000000</v>
      </c>
      <c r="Q144" s="5">
        <f t="shared" si="897"/>
        <v>2100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70061</v>
      </c>
      <c r="X144" s="6" t="s">
        <v>184</v>
      </c>
      <c r="Y144" s="5">
        <v>300</v>
      </c>
      <c r="Z144" s="5">
        <v>1</v>
      </c>
      <c r="AA144" s="5">
        <v>9870336</v>
      </c>
      <c r="AB144" s="16" t="s">
        <v>111</v>
      </c>
      <c r="AC144" s="7" t="s">
        <v>112</v>
      </c>
      <c r="AD144" s="7" t="s">
        <v>112</v>
      </c>
      <c r="AE144" s="7" t="s">
        <v>112</v>
      </c>
      <c r="AF144" s="6" t="s">
        <v>113</v>
      </c>
      <c r="AG144" s="26" t="str">
        <f t="shared" ref="AG144" si="987">CM$9</f>
        <v>4,33,28,33,6,4,33,28,33,6</v>
      </c>
      <c r="AH144" s="26" t="str">
        <f t="shared" ref="AH144" si="988">CN$9</f>
        <v>0,6,0,6,1,0,6,0,6,1</v>
      </c>
      <c r="AI144" s="26" t="str">
        <f t="shared" ref="AI144" si="989">CO$9</f>
        <v>0,0,0,0,1,0,0,0,0,1</v>
      </c>
      <c r="AJ144" s="26" t="str">
        <f t="shared" ref="AJ144" si="990">CP$9</f>
        <v>0,0,0,0,5,0,0,0,0,5</v>
      </c>
      <c r="AK144" s="26" t="str">
        <f t="shared" ref="AK144" si="991">CQ$9</f>
        <v>200,1,1000,2,5,200,1,1000,2,5</v>
      </c>
      <c r="AL144" s="26" t="str">
        <f t="shared" ref="AL144" si="992">CR$9</f>
        <v>5,5,5,5,5,5,5,5,5,5</v>
      </c>
      <c r="AM144" s="7">
        <v>2001</v>
      </c>
      <c r="AO144">
        <f t="shared" ref="AO144" si="993">AQ144*100+6</f>
        <v>1606</v>
      </c>
      <c r="AP144">
        <v>140</v>
      </c>
      <c r="AQ144">
        <f t="shared" si="905"/>
        <v>16</v>
      </c>
      <c r="AR144" s="17">
        <v>7</v>
      </c>
      <c r="AS144" s="17">
        <f t="shared" si="986"/>
        <v>140</v>
      </c>
      <c r="AT144" s="17">
        <v>6</v>
      </c>
      <c r="AU144">
        <f t="shared" si="906"/>
        <v>22</v>
      </c>
      <c r="AV144">
        <v>150</v>
      </c>
      <c r="AW144">
        <f t="shared" si="907"/>
        <v>23127.552</v>
      </c>
      <c r="AX144">
        <f t="shared" si="570"/>
        <v>126000000</v>
      </c>
      <c r="AY144">
        <f t="shared" si="908"/>
        <v>2100</v>
      </c>
      <c r="AZ144">
        <f t="shared" si="909"/>
        <v>4200</v>
      </c>
      <c r="BA144">
        <f t="shared" si="910"/>
        <v>28800</v>
      </c>
      <c r="BB144">
        <f t="shared" si="911"/>
        <v>1050</v>
      </c>
      <c r="BC144">
        <f t="shared" si="571"/>
        <v>126000000</v>
      </c>
      <c r="BD144">
        <f t="shared" si="912"/>
        <v>0.29411764705882354</v>
      </c>
      <c r="BE144" s="27">
        <f t="shared" si="572"/>
        <v>47231100</v>
      </c>
      <c r="BF144" s="30">
        <f t="shared" si="913"/>
        <v>0.33839999999999998</v>
      </c>
      <c r="BG144" s="27"/>
      <c r="BH144" s="27"/>
      <c r="BI144" s="27"/>
      <c r="CA144" s="20">
        <f t="shared" si="914"/>
        <v>175</v>
      </c>
      <c r="CB144" s="20">
        <f t="shared" si="915"/>
        <v>17500</v>
      </c>
    </row>
    <row r="145" spans="1:80" x14ac:dyDescent="0.15">
      <c r="A145">
        <v>1607</v>
      </c>
      <c r="B145" s="3" t="s">
        <v>126</v>
      </c>
      <c r="C145" s="4" t="s">
        <v>109</v>
      </c>
      <c r="D145" s="4" t="s">
        <v>110</v>
      </c>
      <c r="E145" s="5">
        <v>2</v>
      </c>
      <c r="F145" s="7" t="s">
        <v>143</v>
      </c>
      <c r="G145" s="5">
        <v>3</v>
      </c>
      <c r="H145" s="7" t="s">
        <v>193</v>
      </c>
      <c r="I145" s="5">
        <v>0</v>
      </c>
      <c r="J145" s="5">
        <v>0</v>
      </c>
      <c r="K145">
        <v>2</v>
      </c>
      <c r="L145">
        <v>1.5</v>
      </c>
      <c r="M145" s="5">
        <v>1.5</v>
      </c>
      <c r="N145" s="5">
        <v>10</v>
      </c>
      <c r="O145" s="5">
        <f t="shared" si="895"/>
        <v>23898</v>
      </c>
      <c r="P145" s="5">
        <f t="shared" si="896"/>
        <v>130200000</v>
      </c>
      <c r="Q145" s="5">
        <f t="shared" si="897"/>
        <v>2170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70071</v>
      </c>
      <c r="X145" s="6" t="s">
        <v>185</v>
      </c>
      <c r="Y145" s="5">
        <v>300</v>
      </c>
      <c r="Z145" s="5">
        <v>1</v>
      </c>
      <c r="AA145" s="5">
        <v>10710000</v>
      </c>
      <c r="AB145" s="16" t="s">
        <v>111</v>
      </c>
      <c r="AC145" s="7" t="s">
        <v>112</v>
      </c>
      <c r="AD145" s="7" t="s">
        <v>112</v>
      </c>
      <c r="AE145" s="7" t="s">
        <v>112</v>
      </c>
      <c r="AF145" s="6" t="s">
        <v>113</v>
      </c>
      <c r="AG145" s="26" t="str">
        <f t="shared" ref="AG145" si="994">CM$10</f>
        <v>4,14,28,14,6,4,14,28,14,6</v>
      </c>
      <c r="AH145" s="26" t="str">
        <f t="shared" ref="AH145" si="995">CN$10</f>
        <v>0,0,0,0,1,0,0,0,0,1</v>
      </c>
      <c r="AI145" s="26" t="str">
        <f t="shared" ref="AI145" si="996">CO$10</f>
        <v>0,0,0,0,1,0,0,0,0,1</v>
      </c>
      <c r="AJ145" s="26" t="str">
        <f t="shared" ref="AJ145" si="997">CP$10</f>
        <v>0,0,0,0,5,0,0,0,0,5</v>
      </c>
      <c r="AK145" s="26" t="str">
        <f t="shared" ref="AK145" si="998">CQ$10</f>
        <v>200,1,1000,2,5,200,1,1000,2,5</v>
      </c>
      <c r="AL145" s="26" t="str">
        <f t="shared" ref="AL145" si="999">CR$10</f>
        <v>5,5,5,5,5,5,5,5,5,5</v>
      </c>
      <c r="AM145" s="7">
        <v>2001</v>
      </c>
      <c r="AO145">
        <f t="shared" ref="AO145" si="1000">AQ145*100+7</f>
        <v>1607</v>
      </c>
      <c r="AP145">
        <v>141</v>
      </c>
      <c r="AQ145">
        <f t="shared" si="905"/>
        <v>16</v>
      </c>
      <c r="AR145" s="17">
        <v>7</v>
      </c>
      <c r="AS145" s="17">
        <f t="shared" si="986"/>
        <v>145</v>
      </c>
      <c r="AT145" s="17">
        <v>6</v>
      </c>
      <c r="AU145">
        <f t="shared" si="906"/>
        <v>22</v>
      </c>
      <c r="AV145">
        <v>150</v>
      </c>
      <c r="AW145">
        <f t="shared" si="907"/>
        <v>23898.470400000002</v>
      </c>
      <c r="AX145">
        <f t="shared" si="570"/>
        <v>130200000.00000001</v>
      </c>
      <c r="AY145">
        <f t="shared" si="908"/>
        <v>2170</v>
      </c>
      <c r="AZ145">
        <f t="shared" si="909"/>
        <v>4340</v>
      </c>
      <c r="BA145">
        <f t="shared" si="910"/>
        <v>29760</v>
      </c>
      <c r="BB145">
        <f t="shared" si="911"/>
        <v>1085</v>
      </c>
      <c r="BC145">
        <f t="shared" si="571"/>
        <v>130200000.00000001</v>
      </c>
      <c r="BD145">
        <f t="shared" si="912"/>
        <v>0.29411764705882354</v>
      </c>
      <c r="BE145" s="27">
        <f t="shared" si="572"/>
        <v>50432319.000000015</v>
      </c>
      <c r="BF145" s="30">
        <f t="shared" si="913"/>
        <v>0.33839999999999998</v>
      </c>
      <c r="BG145" s="27"/>
      <c r="BH145" s="27"/>
      <c r="BI145" s="27"/>
      <c r="CA145" s="20">
        <f t="shared" si="914"/>
        <v>175</v>
      </c>
      <c r="CB145" s="20">
        <f t="shared" si="915"/>
        <v>17500</v>
      </c>
    </row>
    <row r="146" spans="1:80" x14ac:dyDescent="0.15">
      <c r="A146">
        <v>1608</v>
      </c>
      <c r="B146" s="3" t="s">
        <v>128</v>
      </c>
      <c r="C146" s="4" t="s">
        <v>109</v>
      </c>
      <c r="D146" s="4" t="s">
        <v>110</v>
      </c>
      <c r="E146" s="5">
        <v>5</v>
      </c>
      <c r="F146" s="7" t="s">
        <v>129</v>
      </c>
      <c r="G146" s="5">
        <v>2</v>
      </c>
      <c r="H146" s="7" t="s">
        <v>130</v>
      </c>
      <c r="I146" s="5">
        <v>0</v>
      </c>
      <c r="J146" s="5">
        <v>0</v>
      </c>
      <c r="K146">
        <v>2</v>
      </c>
      <c r="L146">
        <v>1.5</v>
      </c>
      <c r="M146" s="5">
        <v>1.5</v>
      </c>
      <c r="N146" s="5">
        <v>10</v>
      </c>
      <c r="O146" s="5">
        <f t="shared" si="895"/>
        <v>24669</v>
      </c>
      <c r="P146" s="5">
        <f t="shared" si="896"/>
        <v>134400000</v>
      </c>
      <c r="Q146" s="5">
        <f t="shared" si="897"/>
        <v>2240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70081</v>
      </c>
      <c r="X146" s="6" t="s">
        <v>186</v>
      </c>
      <c r="Y146" s="5">
        <v>300</v>
      </c>
      <c r="Z146" s="5">
        <v>1</v>
      </c>
      <c r="AA146" s="5">
        <v>11583936</v>
      </c>
      <c r="AB146" s="16" t="s">
        <v>111</v>
      </c>
      <c r="AC146" s="7" t="s">
        <v>112</v>
      </c>
      <c r="AD146" s="7" t="s">
        <v>112</v>
      </c>
      <c r="AE146" s="7" t="s">
        <v>112</v>
      </c>
      <c r="AF146" s="6" t="s">
        <v>113</v>
      </c>
      <c r="AG146" s="26" t="str">
        <f t="shared" ref="AG146" si="1001">CM$11</f>
        <v>4,28,6,28,6,4,28,6,28,6</v>
      </c>
      <c r="AH146" s="26" t="str">
        <f t="shared" ref="AH146" si="1002">CN$11</f>
        <v>0,0,1,0,1,0,0,1,0,1</v>
      </c>
      <c r="AI146" s="26" t="str">
        <f t="shared" ref="AI146" si="1003">CO$11</f>
        <v>0,0,1,0,1,0,0,1,0,1</v>
      </c>
      <c r="AJ146" s="26" t="str">
        <f t="shared" ref="AJ146" si="1004">CP$11</f>
        <v>0,0,5,0,5,0,0,5,0,5</v>
      </c>
      <c r="AK146" s="26" t="str">
        <f t="shared" ref="AK146" si="1005">CQ$11</f>
        <v>100,1000,5,1500,5,200,1000,5,1500,5</v>
      </c>
      <c r="AL146" s="26" t="str">
        <f t="shared" ref="AL146" si="1006">CR$11</f>
        <v>5,5,5,5,5,5,5,5,5,5</v>
      </c>
      <c r="AM146" s="7">
        <v>2001</v>
      </c>
      <c r="AO146">
        <f t="shared" ref="AO146" si="1007">AQ146*100+8</f>
        <v>1608</v>
      </c>
      <c r="AP146">
        <v>142</v>
      </c>
      <c r="AQ146">
        <f t="shared" si="905"/>
        <v>16</v>
      </c>
      <c r="AR146" s="17">
        <v>7</v>
      </c>
      <c r="AS146" s="17">
        <f t="shared" si="986"/>
        <v>150</v>
      </c>
      <c r="AT146" s="17">
        <v>6</v>
      </c>
      <c r="AU146">
        <f t="shared" si="906"/>
        <v>22</v>
      </c>
      <c r="AV146">
        <v>150</v>
      </c>
      <c r="AW146">
        <f t="shared" si="907"/>
        <v>24669.388800000001</v>
      </c>
      <c r="AX146">
        <f t="shared" si="570"/>
        <v>134400000</v>
      </c>
      <c r="AY146">
        <f t="shared" si="908"/>
        <v>2240</v>
      </c>
      <c r="AZ146">
        <f t="shared" si="909"/>
        <v>4480</v>
      </c>
      <c r="BA146">
        <f t="shared" si="910"/>
        <v>30720</v>
      </c>
      <c r="BB146">
        <f t="shared" si="911"/>
        <v>1120</v>
      </c>
      <c r="BC146">
        <f t="shared" si="571"/>
        <v>134400000</v>
      </c>
      <c r="BD146">
        <f t="shared" si="912"/>
        <v>0.29411764705882354</v>
      </c>
      <c r="BE146" s="27">
        <f t="shared" si="572"/>
        <v>53738496.000000007</v>
      </c>
      <c r="BF146" s="30">
        <f t="shared" si="913"/>
        <v>0.33839999999999998</v>
      </c>
      <c r="BG146" s="27"/>
      <c r="BH146" s="27"/>
      <c r="BI146" s="27"/>
      <c r="CA146" s="20">
        <f t="shared" si="914"/>
        <v>175</v>
      </c>
      <c r="CB146" s="20">
        <f t="shared" si="915"/>
        <v>17500</v>
      </c>
    </row>
    <row r="147" spans="1:80" x14ac:dyDescent="0.15">
      <c r="A147">
        <v>1609</v>
      </c>
      <c r="B147" s="3" t="s">
        <v>132</v>
      </c>
      <c r="C147" s="4" t="s">
        <v>109</v>
      </c>
      <c r="D147" s="4" t="s">
        <v>110</v>
      </c>
      <c r="E147" s="5">
        <v>5</v>
      </c>
      <c r="F147" s="7" t="s">
        <v>140</v>
      </c>
      <c r="G147" s="5">
        <v>3</v>
      </c>
      <c r="H147" s="7" t="s">
        <v>140</v>
      </c>
      <c r="I147" s="5">
        <v>0</v>
      </c>
      <c r="J147" s="7">
        <v>0</v>
      </c>
      <c r="K147">
        <v>6</v>
      </c>
      <c r="L147">
        <v>1.5</v>
      </c>
      <c r="M147" s="5">
        <v>1.5</v>
      </c>
      <c r="N147" s="5">
        <v>10</v>
      </c>
      <c r="O147" s="5">
        <f t="shared" si="895"/>
        <v>25440</v>
      </c>
      <c r="P147" s="5">
        <f t="shared" si="896"/>
        <v>138600000</v>
      </c>
      <c r="Q147" s="5">
        <f t="shared" si="897"/>
        <v>2310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70091</v>
      </c>
      <c r="X147" s="6" t="s">
        <v>187</v>
      </c>
      <c r="Y147" s="5">
        <v>300</v>
      </c>
      <c r="Z147" s="5">
        <v>1</v>
      </c>
      <c r="AA147" s="5">
        <v>12492144</v>
      </c>
      <c r="AB147" s="16" t="s">
        <v>111</v>
      </c>
      <c r="AC147" s="7" t="s">
        <v>112</v>
      </c>
      <c r="AD147" s="7" t="s">
        <v>112</v>
      </c>
      <c r="AE147" s="7" t="s">
        <v>112</v>
      </c>
      <c r="AF147" s="6" t="s">
        <v>113</v>
      </c>
      <c r="AG147" s="26" t="str">
        <f t="shared" ref="AG147" si="1008">CM$12</f>
        <v>4,33,28,33,6,4,33,28,33,6</v>
      </c>
      <c r="AH147" s="26" t="str">
        <f t="shared" ref="AH147" si="1009">CN$12</f>
        <v>0,5,0,5,1,0,5,0,5,1</v>
      </c>
      <c r="AI147" s="26" t="str">
        <f t="shared" ref="AI147" si="1010">CO$12</f>
        <v>0,0,0,0,1,0,0,0,0,1</v>
      </c>
      <c r="AJ147" s="26" t="str">
        <f t="shared" ref="AJ147" si="1011">CP$12</f>
        <v>0,0,0,0,5,0,0,0,0,5</v>
      </c>
      <c r="AK147" s="26" t="str">
        <f t="shared" ref="AK147" si="1012">CQ$12</f>
        <v>100,1,1000,2,5,200,1,1000,2,5</v>
      </c>
      <c r="AL147" s="26" t="str">
        <f t="shared" ref="AL147" si="1013">CR$12</f>
        <v>5,5,5,5,5,5,5,5,5,5</v>
      </c>
      <c r="AM147" s="7">
        <v>2001</v>
      </c>
      <c r="AO147">
        <f t="shared" ref="AO147" si="1014">AQ147*100+9</f>
        <v>1609</v>
      </c>
      <c r="AP147">
        <v>143</v>
      </c>
      <c r="AQ147">
        <f t="shared" si="905"/>
        <v>16</v>
      </c>
      <c r="AR147" s="17">
        <v>7</v>
      </c>
      <c r="AS147" s="17">
        <f t="shared" si="986"/>
        <v>155</v>
      </c>
      <c r="AT147" s="17">
        <v>6</v>
      </c>
      <c r="AU147">
        <f t="shared" si="906"/>
        <v>22</v>
      </c>
      <c r="AV147">
        <v>150</v>
      </c>
      <c r="AW147">
        <f t="shared" si="907"/>
        <v>25440.307199999999</v>
      </c>
      <c r="AX147">
        <f t="shared" si="570"/>
        <v>138600000</v>
      </c>
      <c r="AY147">
        <f t="shared" si="908"/>
        <v>2310</v>
      </c>
      <c r="AZ147">
        <f t="shared" si="909"/>
        <v>4620</v>
      </c>
      <c r="BA147">
        <f t="shared" si="910"/>
        <v>31680</v>
      </c>
      <c r="BB147">
        <f t="shared" si="911"/>
        <v>1155</v>
      </c>
      <c r="BC147">
        <f t="shared" si="571"/>
        <v>138600000</v>
      </c>
      <c r="BD147">
        <f t="shared" si="912"/>
        <v>0.29411764705882354</v>
      </c>
      <c r="BE147" s="27">
        <f t="shared" si="572"/>
        <v>57149631</v>
      </c>
      <c r="BF147" s="30">
        <f t="shared" si="913"/>
        <v>0.33839999999999998</v>
      </c>
      <c r="BG147" s="27"/>
      <c r="BH147" s="27"/>
      <c r="BI147" s="27"/>
      <c r="CA147" s="20">
        <f t="shared" si="914"/>
        <v>175</v>
      </c>
      <c r="CB147" s="20">
        <f t="shared" si="915"/>
        <v>17500</v>
      </c>
    </row>
    <row r="148" spans="1:80" x14ac:dyDescent="0.15">
      <c r="A148">
        <v>1701</v>
      </c>
      <c r="B148" s="3" t="s">
        <v>108</v>
      </c>
      <c r="C148" s="4" t="s">
        <v>109</v>
      </c>
      <c r="D148" s="4" t="s">
        <v>110</v>
      </c>
      <c r="E148" s="5">
        <v>3</v>
      </c>
      <c r="F148" s="7" t="s">
        <v>141</v>
      </c>
      <c r="G148" s="5">
        <v>2.5</v>
      </c>
      <c r="H148" s="7" t="s">
        <v>194</v>
      </c>
      <c r="I148" s="5">
        <v>0</v>
      </c>
      <c r="J148" s="5">
        <v>0</v>
      </c>
      <c r="K148">
        <v>2</v>
      </c>
      <c r="L148">
        <v>1.5</v>
      </c>
      <c r="M148" s="5">
        <v>1.5</v>
      </c>
      <c r="N148" s="5">
        <v>10</v>
      </c>
      <c r="O148" s="5">
        <f t="shared" si="895"/>
        <v>20079</v>
      </c>
      <c r="P148" s="5">
        <f t="shared" si="896"/>
        <v>109200000</v>
      </c>
      <c r="Q148" s="5">
        <f t="shared" si="897"/>
        <v>1820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70011</v>
      </c>
      <c r="X148" s="6" t="s">
        <v>179</v>
      </c>
      <c r="Y148" s="5">
        <v>300</v>
      </c>
      <c r="Z148" s="5">
        <v>1</v>
      </c>
      <c r="AA148" s="5">
        <v>13434624</v>
      </c>
      <c r="AB148" s="16" t="s">
        <v>111</v>
      </c>
      <c r="AC148" s="7" t="s">
        <v>112</v>
      </c>
      <c r="AD148" s="7" t="s">
        <v>112</v>
      </c>
      <c r="AE148" s="7" t="s">
        <v>112</v>
      </c>
      <c r="AF148" s="6" t="s">
        <v>113</v>
      </c>
      <c r="AG148" s="26" t="str">
        <f t="shared" ref="AG148" si="1015">CM$4</f>
        <v>4,33,28,33,6,4,33,28,33,6</v>
      </c>
      <c r="AH148" s="26" t="str">
        <f t="shared" ref="AH148" si="1016">CN$4</f>
        <v>0,8,0,8,1,0,8,0,8,1</v>
      </c>
      <c r="AI148" s="26" t="str">
        <f t="shared" ref="AI148" si="1017">CO$4</f>
        <v>0,0,0,0,1,0,0,0,0,1</v>
      </c>
      <c r="AJ148" s="26" t="str">
        <f t="shared" ref="AJ148" si="1018">CP$4</f>
        <v>0,0,0,0,5,0,0,0,0,5</v>
      </c>
      <c r="AK148" s="26" t="str">
        <f t="shared" ref="AK148" si="1019">CQ$4</f>
        <v>100,1,1000,2,5,200,1,1000,2,5</v>
      </c>
      <c r="AL148" s="26" t="str">
        <f t="shared" ref="AL148" si="1020">CR$4</f>
        <v>5,5,5,5,5,5,5,5,5,5</v>
      </c>
      <c r="AM148" s="7">
        <v>2001</v>
      </c>
      <c r="AO148">
        <f t="shared" ref="AO148" si="1021">AQ148*100+1</f>
        <v>1701</v>
      </c>
      <c r="AP148">
        <v>144</v>
      </c>
      <c r="AQ148">
        <f t="shared" si="905"/>
        <v>17</v>
      </c>
      <c r="AR148" s="17">
        <v>7</v>
      </c>
      <c r="AS148" s="17">
        <f t="shared" si="986"/>
        <v>120</v>
      </c>
      <c r="AT148" s="17">
        <v>6</v>
      </c>
      <c r="AU148">
        <f t="shared" si="906"/>
        <v>22</v>
      </c>
      <c r="AV148">
        <v>150</v>
      </c>
      <c r="AW148">
        <f t="shared" si="907"/>
        <v>20079.820800000001</v>
      </c>
      <c r="AX148">
        <f t="shared" si="570"/>
        <v>109200000</v>
      </c>
      <c r="AY148">
        <f t="shared" si="908"/>
        <v>1820</v>
      </c>
      <c r="AZ148">
        <f t="shared" si="909"/>
        <v>3640</v>
      </c>
      <c r="BA148">
        <f t="shared" si="910"/>
        <v>24960</v>
      </c>
      <c r="BB148">
        <f t="shared" si="911"/>
        <v>910</v>
      </c>
      <c r="BC148">
        <f t="shared" si="571"/>
        <v>109200000</v>
      </c>
      <c r="BD148">
        <f t="shared" si="912"/>
        <v>0.29411764705882354</v>
      </c>
      <c r="BE148" s="27">
        <f t="shared" si="572"/>
        <v>35475804.000000007</v>
      </c>
      <c r="BF148" s="30">
        <f t="shared" si="913"/>
        <v>0.34079999999999999</v>
      </c>
      <c r="BG148" s="27"/>
      <c r="BH148" s="27"/>
      <c r="BI148" s="27"/>
      <c r="CA148" s="20">
        <f t="shared" si="914"/>
        <v>180</v>
      </c>
      <c r="CB148" s="20">
        <f t="shared" si="915"/>
        <v>18000</v>
      </c>
    </row>
    <row r="149" spans="1:80" x14ac:dyDescent="0.15">
      <c r="A149">
        <v>1702</v>
      </c>
      <c r="B149" s="3" t="s">
        <v>115</v>
      </c>
      <c r="C149" s="4" t="s">
        <v>109</v>
      </c>
      <c r="D149" s="6" t="s">
        <v>110</v>
      </c>
      <c r="E149" s="5">
        <v>3</v>
      </c>
      <c r="F149" s="7" t="s">
        <v>142</v>
      </c>
      <c r="G149" s="5">
        <v>3</v>
      </c>
      <c r="H149" s="7" t="s">
        <v>188</v>
      </c>
      <c r="I149" s="5">
        <v>0</v>
      </c>
      <c r="J149" s="5">
        <v>0</v>
      </c>
      <c r="K149">
        <v>2</v>
      </c>
      <c r="L149">
        <v>1.5</v>
      </c>
      <c r="M149" s="5">
        <v>1.5</v>
      </c>
      <c r="N149" s="5">
        <v>10</v>
      </c>
      <c r="O149" s="5">
        <f t="shared" si="895"/>
        <v>20852</v>
      </c>
      <c r="P149" s="5">
        <f t="shared" si="896"/>
        <v>113400000</v>
      </c>
      <c r="Q149" s="5">
        <f t="shared" si="897"/>
        <v>1890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70021</v>
      </c>
      <c r="X149" s="6" t="s">
        <v>180</v>
      </c>
      <c r="Y149" s="5">
        <v>300</v>
      </c>
      <c r="Z149" s="5">
        <v>1</v>
      </c>
      <c r="AA149" s="5">
        <v>7556976</v>
      </c>
      <c r="AB149" s="16" t="s">
        <v>111</v>
      </c>
      <c r="AC149" s="7" t="s">
        <v>112</v>
      </c>
      <c r="AD149" s="7" t="s">
        <v>112</v>
      </c>
      <c r="AE149" s="7" t="s">
        <v>112</v>
      </c>
      <c r="AF149" s="6" t="s">
        <v>113</v>
      </c>
      <c r="AG149" s="26" t="str">
        <f t="shared" ref="AG149" si="1022">CM$5</f>
        <v>4,33,28,33,6,4,33,28,33,6</v>
      </c>
      <c r="AH149" s="26" t="str">
        <f t="shared" ref="AH149" si="1023">CN$5</f>
        <v>0,7,0,7,1,0,7,0,7,1</v>
      </c>
      <c r="AI149" s="26" t="str">
        <f t="shared" ref="AI149" si="1024">CO$5</f>
        <v>0,0,0,0,1,0,0,0,0,1</v>
      </c>
      <c r="AJ149" s="26" t="str">
        <f t="shared" ref="AJ149" si="1025">CP$5</f>
        <v>0,0,0,0,5,0,0,0,0,5</v>
      </c>
      <c r="AK149" s="26" t="str">
        <f t="shared" ref="AK149" si="1026">CQ$5</f>
        <v>100,1,1000,2,5,200,1,1000,2,5</v>
      </c>
      <c r="AL149" s="26" t="str">
        <f t="shared" ref="AL149" si="1027">CR$5</f>
        <v>5,5,5,5,5,5,5,5,5,5</v>
      </c>
      <c r="AM149" s="7">
        <v>2001</v>
      </c>
      <c r="AO149">
        <f t="shared" ref="AO149" si="1028">AQ149*100+2</f>
        <v>1702</v>
      </c>
      <c r="AP149">
        <v>145</v>
      </c>
      <c r="AQ149">
        <f t="shared" si="905"/>
        <v>17</v>
      </c>
      <c r="AR149" s="17">
        <v>7</v>
      </c>
      <c r="AS149" s="17">
        <f t="shared" si="986"/>
        <v>125</v>
      </c>
      <c r="AT149" s="17">
        <v>6</v>
      </c>
      <c r="AU149">
        <f t="shared" si="906"/>
        <v>22</v>
      </c>
      <c r="AV149">
        <v>150</v>
      </c>
      <c r="AW149">
        <f t="shared" si="907"/>
        <v>20852.121599999999</v>
      </c>
      <c r="AX149">
        <f t="shared" si="570"/>
        <v>113400000</v>
      </c>
      <c r="AY149">
        <f t="shared" si="908"/>
        <v>1890</v>
      </c>
      <c r="AZ149">
        <f t="shared" si="909"/>
        <v>3780</v>
      </c>
      <c r="BA149">
        <f t="shared" si="910"/>
        <v>25920</v>
      </c>
      <c r="BB149">
        <f t="shared" si="911"/>
        <v>945</v>
      </c>
      <c r="BC149">
        <f t="shared" si="571"/>
        <v>113400000</v>
      </c>
      <c r="BD149">
        <f t="shared" si="912"/>
        <v>0.29411764705882354</v>
      </c>
      <c r="BE149" s="27">
        <f t="shared" si="572"/>
        <v>38257191.000000007</v>
      </c>
      <c r="BF149" s="30">
        <f t="shared" si="913"/>
        <v>0.34079999999999999</v>
      </c>
      <c r="BG149" s="27"/>
      <c r="BH149" s="27"/>
      <c r="BI149" s="27"/>
      <c r="CA149" s="20">
        <f t="shared" si="914"/>
        <v>180</v>
      </c>
      <c r="CB149" s="20">
        <f t="shared" si="915"/>
        <v>18000</v>
      </c>
    </row>
    <row r="150" spans="1:80" x14ac:dyDescent="0.15">
      <c r="A150">
        <v>1703</v>
      </c>
      <c r="B150" s="3" t="s">
        <v>117</v>
      </c>
      <c r="C150" s="4" t="s">
        <v>109</v>
      </c>
      <c r="D150" s="4" t="s">
        <v>110</v>
      </c>
      <c r="E150" s="5">
        <v>1</v>
      </c>
      <c r="F150" s="7" t="s">
        <v>144</v>
      </c>
      <c r="G150" s="5">
        <v>3</v>
      </c>
      <c r="H150" s="7" t="s">
        <v>189</v>
      </c>
      <c r="I150" s="5">
        <v>0</v>
      </c>
      <c r="J150" s="2">
        <v>0</v>
      </c>
      <c r="K150">
        <v>6</v>
      </c>
      <c r="L150">
        <v>1.5</v>
      </c>
      <c r="M150" s="5">
        <v>1.5</v>
      </c>
      <c r="N150" s="5">
        <v>10</v>
      </c>
      <c r="O150" s="5">
        <f t="shared" si="895"/>
        <v>21624</v>
      </c>
      <c r="P150" s="5">
        <f t="shared" si="896"/>
        <v>117600000</v>
      </c>
      <c r="Q150" s="5">
        <f t="shared" si="897"/>
        <v>1960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70031</v>
      </c>
      <c r="X150" s="6" t="s">
        <v>181</v>
      </c>
      <c r="Y150" s="5">
        <v>300</v>
      </c>
      <c r="Z150" s="5">
        <v>1</v>
      </c>
      <c r="AA150" s="5">
        <v>8293824</v>
      </c>
      <c r="AB150" s="16" t="s">
        <v>111</v>
      </c>
      <c r="AC150" s="7" t="s">
        <v>112</v>
      </c>
      <c r="AD150" s="7" t="s">
        <v>112</v>
      </c>
      <c r="AE150" s="7" t="s">
        <v>112</v>
      </c>
      <c r="AF150" s="6" t="s">
        <v>113</v>
      </c>
      <c r="AG150" s="26" t="str">
        <f t="shared" ref="AG150" si="1029">CM$6</f>
        <v>4,28,6,28,6,4,28,6,28,6</v>
      </c>
      <c r="AH150" s="26" t="str">
        <f t="shared" ref="AH150" si="1030">CN$6</f>
        <v>0,0,1,0,1,0,0,1,0,1</v>
      </c>
      <c r="AI150" s="26" t="str">
        <f t="shared" ref="AI150" si="1031">CO$6</f>
        <v>0,0,0,0,1,0,0,0,0,1</v>
      </c>
      <c r="AJ150" s="26" t="str">
        <f t="shared" ref="AJ150" si="1032">CP$6</f>
        <v>0,0,5,0,5,0,0,5,0,5</v>
      </c>
      <c r="AK150" s="26" t="str">
        <f t="shared" ref="AK150" si="1033">CQ$6</f>
        <v>100,1000,5,1500,5,200,1000,5,1500,5</v>
      </c>
      <c r="AL150" s="26" t="str">
        <f t="shared" ref="AL150" si="1034">CR$6</f>
        <v>5,5,5,5,5,5,5,5,5,5</v>
      </c>
      <c r="AM150" s="7">
        <v>2001</v>
      </c>
      <c r="AO150">
        <f t="shared" ref="AO150" si="1035">AQ150*100+3</f>
        <v>1703</v>
      </c>
      <c r="AP150">
        <v>146</v>
      </c>
      <c r="AQ150">
        <f t="shared" si="905"/>
        <v>17</v>
      </c>
      <c r="AR150" s="17">
        <v>7</v>
      </c>
      <c r="AS150" s="17">
        <f t="shared" si="986"/>
        <v>130</v>
      </c>
      <c r="AT150" s="17">
        <v>6</v>
      </c>
      <c r="AU150">
        <f t="shared" si="906"/>
        <v>22</v>
      </c>
      <c r="AV150">
        <v>150</v>
      </c>
      <c r="AW150">
        <f t="shared" si="907"/>
        <v>21624.422399999999</v>
      </c>
      <c r="AX150">
        <f t="shared" ref="AX150:AX213" si="1036">BC150</f>
        <v>117600000</v>
      </c>
      <c r="AY150">
        <f t="shared" si="908"/>
        <v>1960</v>
      </c>
      <c r="AZ150">
        <f t="shared" si="909"/>
        <v>3920</v>
      </c>
      <c r="BA150">
        <f t="shared" si="910"/>
        <v>26880</v>
      </c>
      <c r="BB150">
        <f t="shared" si="911"/>
        <v>980</v>
      </c>
      <c r="BC150">
        <f t="shared" ref="BC150:BC213" si="1037">90/1.5*AZ150*(1/(1+AZ150/(5*BB150)))*6*AV150</f>
        <v>117600000</v>
      </c>
      <c r="BD150">
        <f t="shared" si="912"/>
        <v>0.29411764705882354</v>
      </c>
      <c r="BE150" s="27">
        <f t="shared" ref="BE150:BE213" si="1038">BC150/10000/(1-BD150)/1*AZ150/L150*(1+0.1*0.5)*0.9*1</f>
        <v>41143536.000000007</v>
      </c>
      <c r="BF150" s="30">
        <f t="shared" si="913"/>
        <v>0.34079999999999999</v>
      </c>
      <c r="BG150" s="27"/>
      <c r="BH150" s="27"/>
      <c r="BI150" s="27"/>
      <c r="CA150" s="20">
        <f t="shared" si="914"/>
        <v>180</v>
      </c>
      <c r="CB150" s="20">
        <f t="shared" si="915"/>
        <v>18000</v>
      </c>
    </row>
    <row r="151" spans="1:80" x14ac:dyDescent="0.15">
      <c r="A151">
        <v>1704</v>
      </c>
      <c r="B151" s="3" t="s">
        <v>119</v>
      </c>
      <c r="C151" s="4" t="s">
        <v>109</v>
      </c>
      <c r="D151" s="6" t="s">
        <v>120</v>
      </c>
      <c r="E151" s="5">
        <v>3</v>
      </c>
      <c r="F151" s="7" t="s">
        <v>145</v>
      </c>
      <c r="G151" s="5">
        <v>3</v>
      </c>
      <c r="H151" s="7" t="s">
        <v>190</v>
      </c>
      <c r="I151" s="5">
        <v>0</v>
      </c>
      <c r="J151" s="5">
        <v>0</v>
      </c>
      <c r="K151">
        <v>2</v>
      </c>
      <c r="L151">
        <v>1.5</v>
      </c>
      <c r="M151" s="5">
        <v>1.5</v>
      </c>
      <c r="N151" s="5">
        <v>10</v>
      </c>
      <c r="O151" s="5">
        <f t="shared" si="895"/>
        <v>22396</v>
      </c>
      <c r="P151" s="5">
        <f t="shared" si="896"/>
        <v>121800000</v>
      </c>
      <c r="Q151" s="5">
        <f t="shared" si="897"/>
        <v>2030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70041</v>
      </c>
      <c r="X151" s="6" t="s">
        <v>182</v>
      </c>
      <c r="Y151" s="5">
        <v>300</v>
      </c>
      <c r="Z151" s="5">
        <v>1</v>
      </c>
      <c r="AA151" s="5">
        <v>9064944</v>
      </c>
      <c r="AB151" s="16" t="s">
        <v>111</v>
      </c>
      <c r="AC151" s="7" t="s">
        <v>112</v>
      </c>
      <c r="AD151" s="7" t="s">
        <v>112</v>
      </c>
      <c r="AE151" s="7" t="s">
        <v>112</v>
      </c>
      <c r="AF151" s="6" t="s">
        <v>113</v>
      </c>
      <c r="AG151" s="26" t="str">
        <f t="shared" ref="AG151" si="1039">CM$7</f>
        <v>4,14,28,14,6,4,14,28,14,6</v>
      </c>
      <c r="AH151" s="26" t="str">
        <f t="shared" ref="AH151" si="1040">CN$7</f>
        <v>0,0,0,0,1,0,0,0,0,1</v>
      </c>
      <c r="AI151" s="26" t="str">
        <f t="shared" ref="AI151" si="1041">CO$7</f>
        <v>0,0,0,0,1,0,0,0,0,1</v>
      </c>
      <c r="AJ151" s="26" t="str">
        <f t="shared" ref="AJ151" si="1042">CP$7</f>
        <v>0,0,0,0,5,0,0,0,0,5</v>
      </c>
      <c r="AK151" s="26" t="str">
        <f t="shared" ref="AK151" si="1043">CQ$7</f>
        <v>100,1,1000,2,5,200,1,1000,2,5</v>
      </c>
      <c r="AL151" s="26" t="str">
        <f t="shared" ref="AL151" si="1044">CR$7</f>
        <v>5,5,5,5,5,5,5,5,5,5</v>
      </c>
      <c r="AM151" s="7">
        <v>2001</v>
      </c>
      <c r="AO151">
        <f t="shared" ref="AO151" si="1045">AQ151*100+4</f>
        <v>1704</v>
      </c>
      <c r="AP151">
        <v>147</v>
      </c>
      <c r="AQ151">
        <f t="shared" si="905"/>
        <v>17</v>
      </c>
      <c r="AR151" s="17">
        <v>7</v>
      </c>
      <c r="AS151" s="17">
        <f t="shared" si="986"/>
        <v>135</v>
      </c>
      <c r="AT151" s="17">
        <v>6</v>
      </c>
      <c r="AU151">
        <f t="shared" si="906"/>
        <v>22</v>
      </c>
      <c r="AV151">
        <v>150</v>
      </c>
      <c r="AW151">
        <f t="shared" si="907"/>
        <v>22396.7232</v>
      </c>
      <c r="AX151">
        <f t="shared" si="1036"/>
        <v>121800000</v>
      </c>
      <c r="AY151">
        <f t="shared" si="908"/>
        <v>2030</v>
      </c>
      <c r="AZ151">
        <f t="shared" si="909"/>
        <v>4060</v>
      </c>
      <c r="BA151">
        <f t="shared" si="910"/>
        <v>27840</v>
      </c>
      <c r="BB151">
        <f t="shared" si="911"/>
        <v>1015</v>
      </c>
      <c r="BC151">
        <f t="shared" si="1037"/>
        <v>121800000</v>
      </c>
      <c r="BD151">
        <f t="shared" si="912"/>
        <v>0.29411764705882354</v>
      </c>
      <c r="BE151" s="27">
        <f t="shared" si="1038"/>
        <v>44134839.000000007</v>
      </c>
      <c r="BF151" s="30">
        <f t="shared" si="913"/>
        <v>0.34079999999999999</v>
      </c>
      <c r="BG151" s="27"/>
      <c r="BH151" s="27"/>
      <c r="BI151" s="27"/>
      <c r="CA151" s="20">
        <f t="shared" si="914"/>
        <v>180</v>
      </c>
      <c r="CB151" s="20">
        <f t="shared" si="915"/>
        <v>18000</v>
      </c>
    </row>
    <row r="152" spans="1:80" x14ac:dyDescent="0.15">
      <c r="A152">
        <v>1705</v>
      </c>
      <c r="B152" s="3" t="s">
        <v>122</v>
      </c>
      <c r="C152" s="4" t="s">
        <v>109</v>
      </c>
      <c r="D152" s="4" t="s">
        <v>110</v>
      </c>
      <c r="E152" s="5">
        <v>2</v>
      </c>
      <c r="F152" s="7" t="s">
        <v>146</v>
      </c>
      <c r="G152" s="5">
        <v>3</v>
      </c>
      <c r="H152" s="7" t="s">
        <v>191</v>
      </c>
      <c r="I152" s="5">
        <v>0</v>
      </c>
      <c r="J152" s="7" t="s">
        <v>148</v>
      </c>
      <c r="K152">
        <v>6</v>
      </c>
      <c r="L152">
        <v>1.5</v>
      </c>
      <c r="M152" s="5">
        <v>1.5</v>
      </c>
      <c r="N152" s="5">
        <v>10</v>
      </c>
      <c r="O152" s="5">
        <f t="shared" si="895"/>
        <v>23169</v>
      </c>
      <c r="P152" s="5">
        <f t="shared" si="896"/>
        <v>126000000</v>
      </c>
      <c r="Q152" s="5">
        <f t="shared" si="897"/>
        <v>2100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70051</v>
      </c>
      <c r="X152" s="6" t="s">
        <v>183</v>
      </c>
      <c r="Y152" s="5">
        <v>300</v>
      </c>
      <c r="Z152" s="5">
        <v>1</v>
      </c>
      <c r="AA152" s="5">
        <v>9870336</v>
      </c>
      <c r="AB152" s="16" t="s">
        <v>111</v>
      </c>
      <c r="AC152" s="7" t="s">
        <v>112</v>
      </c>
      <c r="AD152" s="7" t="s">
        <v>112</v>
      </c>
      <c r="AE152" s="7" t="s">
        <v>112</v>
      </c>
      <c r="AF152" s="6" t="s">
        <v>113</v>
      </c>
      <c r="AG152" s="26" t="str">
        <f t="shared" ref="AG152" si="1046">CM$8</f>
        <v>4,19,28,19,6,4,19,28,19,6</v>
      </c>
      <c r="AH152" s="26" t="str">
        <f t="shared" ref="AH152" si="1047">CN$8</f>
        <v>0,0,0,0,1,0,0,0,0,1</v>
      </c>
      <c r="AI152" s="26" t="str">
        <f t="shared" ref="AI152" si="1048">CO$8</f>
        <v>0,0,0,0,1,0,0,0,0,1</v>
      </c>
      <c r="AJ152" s="26" t="str">
        <f t="shared" ref="AJ152" si="1049">CP$8</f>
        <v>0,0,0,0,5,0,0,0,0,5</v>
      </c>
      <c r="AK152" s="26" t="str">
        <f t="shared" ref="AK152" si="1050">CQ$8</f>
        <v>200,100,1000,200,5,200,100,1000,200,5</v>
      </c>
      <c r="AL152" s="26" t="str">
        <f t="shared" ref="AL152" si="1051">CR$8</f>
        <v>5,5,5,5,5,5,5,5,5,5</v>
      </c>
      <c r="AM152" s="7">
        <v>2001</v>
      </c>
      <c r="AO152">
        <f t="shared" ref="AO152" si="1052">AQ152*100+5</f>
        <v>1705</v>
      </c>
      <c r="AP152">
        <v>148</v>
      </c>
      <c r="AQ152">
        <f t="shared" si="905"/>
        <v>17</v>
      </c>
      <c r="AR152" s="17">
        <v>7</v>
      </c>
      <c r="AS152" s="17">
        <f t="shared" si="986"/>
        <v>140</v>
      </c>
      <c r="AT152" s="17">
        <v>6</v>
      </c>
      <c r="AU152">
        <f t="shared" si="906"/>
        <v>22</v>
      </c>
      <c r="AV152">
        <v>150</v>
      </c>
      <c r="AW152">
        <f t="shared" si="907"/>
        <v>23169.024000000001</v>
      </c>
      <c r="AX152">
        <f t="shared" si="1036"/>
        <v>126000000</v>
      </c>
      <c r="AY152">
        <f t="shared" si="908"/>
        <v>2100</v>
      </c>
      <c r="AZ152">
        <f t="shared" si="909"/>
        <v>4200</v>
      </c>
      <c r="BA152">
        <f t="shared" si="910"/>
        <v>28800</v>
      </c>
      <c r="BB152">
        <f t="shared" si="911"/>
        <v>1050</v>
      </c>
      <c r="BC152">
        <f t="shared" si="1037"/>
        <v>126000000</v>
      </c>
      <c r="BD152">
        <f t="shared" si="912"/>
        <v>0.29411764705882354</v>
      </c>
      <c r="BE152" s="27">
        <f t="shared" si="1038"/>
        <v>47231100</v>
      </c>
      <c r="BF152" s="30">
        <f t="shared" si="913"/>
        <v>0.34079999999999999</v>
      </c>
      <c r="BG152" s="27"/>
      <c r="BH152" s="27"/>
      <c r="BI152" s="27"/>
      <c r="CA152" s="20">
        <f t="shared" si="914"/>
        <v>180</v>
      </c>
      <c r="CB152" s="20">
        <f t="shared" si="915"/>
        <v>18000</v>
      </c>
    </row>
    <row r="153" spans="1:80" x14ac:dyDescent="0.15">
      <c r="A153">
        <v>1706</v>
      </c>
      <c r="B153" s="3" t="s">
        <v>124</v>
      </c>
      <c r="C153" s="4" t="s">
        <v>109</v>
      </c>
      <c r="D153" s="6" t="s">
        <v>120</v>
      </c>
      <c r="E153" s="5">
        <v>1</v>
      </c>
      <c r="F153" s="7" t="s">
        <v>147</v>
      </c>
      <c r="G153" s="5">
        <v>3</v>
      </c>
      <c r="H153" s="7" t="s">
        <v>192</v>
      </c>
      <c r="I153" s="5">
        <v>0</v>
      </c>
      <c r="J153" s="7" t="s">
        <v>149</v>
      </c>
      <c r="K153">
        <v>6</v>
      </c>
      <c r="L153">
        <v>1.5</v>
      </c>
      <c r="M153" s="5">
        <v>1.5</v>
      </c>
      <c r="N153" s="5">
        <v>10</v>
      </c>
      <c r="O153" s="5">
        <f t="shared" si="895"/>
        <v>23941</v>
      </c>
      <c r="P153" s="5">
        <f t="shared" si="896"/>
        <v>130200000</v>
      </c>
      <c r="Q153" s="5">
        <f t="shared" si="897"/>
        <v>2170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70061</v>
      </c>
      <c r="X153" s="6" t="s">
        <v>184</v>
      </c>
      <c r="Y153" s="5">
        <v>300</v>
      </c>
      <c r="Z153" s="5">
        <v>1</v>
      </c>
      <c r="AA153" s="5">
        <v>10710000</v>
      </c>
      <c r="AB153" s="16" t="s">
        <v>111</v>
      </c>
      <c r="AC153" s="7" t="s">
        <v>112</v>
      </c>
      <c r="AD153" s="7" t="s">
        <v>112</v>
      </c>
      <c r="AE153" s="7" t="s">
        <v>112</v>
      </c>
      <c r="AF153" s="6" t="s">
        <v>113</v>
      </c>
      <c r="AG153" s="26" t="str">
        <f t="shared" ref="AG153" si="1053">CM$9</f>
        <v>4,33,28,33,6,4,33,28,33,6</v>
      </c>
      <c r="AH153" s="26" t="str">
        <f t="shared" ref="AH153" si="1054">CN$9</f>
        <v>0,6,0,6,1,0,6,0,6,1</v>
      </c>
      <c r="AI153" s="26" t="str">
        <f t="shared" ref="AI153" si="1055">CO$9</f>
        <v>0,0,0,0,1,0,0,0,0,1</v>
      </c>
      <c r="AJ153" s="26" t="str">
        <f t="shared" ref="AJ153" si="1056">CP$9</f>
        <v>0,0,0,0,5,0,0,0,0,5</v>
      </c>
      <c r="AK153" s="26" t="str">
        <f t="shared" ref="AK153" si="1057">CQ$9</f>
        <v>200,1,1000,2,5,200,1,1000,2,5</v>
      </c>
      <c r="AL153" s="26" t="str">
        <f t="shared" ref="AL153" si="1058">CR$9</f>
        <v>5,5,5,5,5,5,5,5,5,5</v>
      </c>
      <c r="AM153" s="7">
        <v>2001</v>
      </c>
      <c r="AO153">
        <f t="shared" ref="AO153" si="1059">AQ153*100+6</f>
        <v>1706</v>
      </c>
      <c r="AP153">
        <v>149</v>
      </c>
      <c r="AQ153">
        <f t="shared" si="905"/>
        <v>17</v>
      </c>
      <c r="AR153" s="17">
        <v>7</v>
      </c>
      <c r="AS153" s="17">
        <f t="shared" si="986"/>
        <v>145</v>
      </c>
      <c r="AT153" s="17">
        <v>6</v>
      </c>
      <c r="AU153">
        <f t="shared" si="906"/>
        <v>22</v>
      </c>
      <c r="AV153">
        <v>150</v>
      </c>
      <c r="AW153">
        <f t="shared" si="907"/>
        <v>23941.324799999999</v>
      </c>
      <c r="AX153">
        <f t="shared" si="1036"/>
        <v>130200000.00000001</v>
      </c>
      <c r="AY153">
        <f t="shared" si="908"/>
        <v>2170</v>
      </c>
      <c r="AZ153">
        <f t="shared" si="909"/>
        <v>4340</v>
      </c>
      <c r="BA153">
        <f t="shared" si="910"/>
        <v>29760</v>
      </c>
      <c r="BB153">
        <f t="shared" si="911"/>
        <v>1085</v>
      </c>
      <c r="BC153">
        <f t="shared" si="1037"/>
        <v>130200000.00000001</v>
      </c>
      <c r="BD153">
        <f t="shared" si="912"/>
        <v>0.29411764705882354</v>
      </c>
      <c r="BE153" s="27">
        <f t="shared" si="1038"/>
        <v>50432319.000000015</v>
      </c>
      <c r="BF153" s="30">
        <f t="shared" si="913"/>
        <v>0.34079999999999999</v>
      </c>
      <c r="BG153" s="27"/>
      <c r="BH153" s="27"/>
      <c r="BI153" s="27"/>
      <c r="CA153" s="20">
        <f t="shared" si="914"/>
        <v>180</v>
      </c>
      <c r="CB153" s="20">
        <f t="shared" si="915"/>
        <v>18000</v>
      </c>
    </row>
    <row r="154" spans="1:80" x14ac:dyDescent="0.15">
      <c r="A154">
        <v>1707</v>
      </c>
      <c r="B154" s="3" t="s">
        <v>126</v>
      </c>
      <c r="C154" s="4" t="s">
        <v>109</v>
      </c>
      <c r="D154" s="4" t="s">
        <v>110</v>
      </c>
      <c r="E154" s="5">
        <v>2</v>
      </c>
      <c r="F154" s="7" t="s">
        <v>143</v>
      </c>
      <c r="G154" s="5">
        <v>3</v>
      </c>
      <c r="H154" s="7" t="s">
        <v>193</v>
      </c>
      <c r="I154" s="5">
        <v>0</v>
      </c>
      <c r="J154" s="5">
        <v>0</v>
      </c>
      <c r="K154">
        <v>2</v>
      </c>
      <c r="L154">
        <v>1.5</v>
      </c>
      <c r="M154" s="5">
        <v>1.5</v>
      </c>
      <c r="N154" s="5">
        <v>10</v>
      </c>
      <c r="O154" s="5">
        <f t="shared" si="895"/>
        <v>24713</v>
      </c>
      <c r="P154" s="5">
        <f t="shared" si="896"/>
        <v>134400000</v>
      </c>
      <c r="Q154" s="5">
        <f t="shared" si="897"/>
        <v>2240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70071</v>
      </c>
      <c r="X154" s="6" t="s">
        <v>185</v>
      </c>
      <c r="Y154" s="5">
        <v>300</v>
      </c>
      <c r="Z154" s="5">
        <v>1</v>
      </c>
      <c r="AA154" s="5">
        <v>11583936</v>
      </c>
      <c r="AB154" s="16" t="s">
        <v>111</v>
      </c>
      <c r="AC154" s="7" t="s">
        <v>112</v>
      </c>
      <c r="AD154" s="7" t="s">
        <v>112</v>
      </c>
      <c r="AE154" s="7" t="s">
        <v>112</v>
      </c>
      <c r="AF154" s="6" t="s">
        <v>113</v>
      </c>
      <c r="AG154" s="26" t="str">
        <f t="shared" ref="AG154" si="1060">CM$10</f>
        <v>4,14,28,14,6,4,14,28,14,6</v>
      </c>
      <c r="AH154" s="26" t="str">
        <f t="shared" ref="AH154" si="1061">CN$10</f>
        <v>0,0,0,0,1,0,0,0,0,1</v>
      </c>
      <c r="AI154" s="26" t="str">
        <f t="shared" ref="AI154" si="1062">CO$10</f>
        <v>0,0,0,0,1,0,0,0,0,1</v>
      </c>
      <c r="AJ154" s="26" t="str">
        <f t="shared" ref="AJ154" si="1063">CP$10</f>
        <v>0,0,0,0,5,0,0,0,0,5</v>
      </c>
      <c r="AK154" s="26" t="str">
        <f t="shared" ref="AK154" si="1064">CQ$10</f>
        <v>200,1,1000,2,5,200,1,1000,2,5</v>
      </c>
      <c r="AL154" s="26" t="str">
        <f t="shared" ref="AL154" si="1065">CR$10</f>
        <v>5,5,5,5,5,5,5,5,5,5</v>
      </c>
      <c r="AM154" s="7">
        <v>2001</v>
      </c>
      <c r="AO154">
        <f t="shared" ref="AO154" si="1066">AQ154*100+7</f>
        <v>1707</v>
      </c>
      <c r="AP154">
        <v>150</v>
      </c>
      <c r="AQ154">
        <f t="shared" si="905"/>
        <v>17</v>
      </c>
      <c r="AR154" s="17">
        <v>7</v>
      </c>
      <c r="AS154" s="17">
        <f t="shared" si="986"/>
        <v>150</v>
      </c>
      <c r="AT154" s="17">
        <v>6</v>
      </c>
      <c r="AU154">
        <f t="shared" si="906"/>
        <v>22</v>
      </c>
      <c r="AV154">
        <v>150</v>
      </c>
      <c r="AW154">
        <f t="shared" si="907"/>
        <v>24713.625599999999</v>
      </c>
      <c r="AX154">
        <f t="shared" si="1036"/>
        <v>134400000</v>
      </c>
      <c r="AY154">
        <f t="shared" si="908"/>
        <v>2240</v>
      </c>
      <c r="AZ154">
        <f t="shared" si="909"/>
        <v>4480</v>
      </c>
      <c r="BA154">
        <f t="shared" si="910"/>
        <v>30720</v>
      </c>
      <c r="BB154">
        <f t="shared" si="911"/>
        <v>1120</v>
      </c>
      <c r="BC154">
        <f t="shared" si="1037"/>
        <v>134400000</v>
      </c>
      <c r="BD154">
        <f t="shared" si="912"/>
        <v>0.29411764705882354</v>
      </c>
      <c r="BE154" s="27">
        <f t="shared" si="1038"/>
        <v>53738496.000000007</v>
      </c>
      <c r="BF154" s="30">
        <f t="shared" si="913"/>
        <v>0.34079999999999999</v>
      </c>
      <c r="BG154" s="27"/>
      <c r="BH154" s="27"/>
      <c r="BI154" s="27"/>
      <c r="CA154" s="20">
        <f t="shared" si="914"/>
        <v>180</v>
      </c>
      <c r="CB154" s="20">
        <f t="shared" si="915"/>
        <v>18000</v>
      </c>
    </row>
    <row r="155" spans="1:80" x14ac:dyDescent="0.15">
      <c r="A155">
        <v>1708</v>
      </c>
      <c r="B155" s="3" t="s">
        <v>128</v>
      </c>
      <c r="C155" s="4" t="s">
        <v>109</v>
      </c>
      <c r="D155" s="4" t="s">
        <v>110</v>
      </c>
      <c r="E155" s="5">
        <v>5</v>
      </c>
      <c r="F155" s="7" t="s">
        <v>129</v>
      </c>
      <c r="G155" s="5">
        <v>2</v>
      </c>
      <c r="H155" s="7" t="s">
        <v>130</v>
      </c>
      <c r="I155" s="5">
        <v>0</v>
      </c>
      <c r="J155" s="5">
        <v>0</v>
      </c>
      <c r="K155">
        <v>2</v>
      </c>
      <c r="L155">
        <v>1.5</v>
      </c>
      <c r="M155" s="5">
        <v>1.5</v>
      </c>
      <c r="N155" s="5">
        <v>10</v>
      </c>
      <c r="O155" s="5">
        <f t="shared" si="895"/>
        <v>25485</v>
      </c>
      <c r="P155" s="5">
        <f t="shared" si="896"/>
        <v>138600000</v>
      </c>
      <c r="Q155" s="5">
        <f t="shared" si="897"/>
        <v>2310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70081</v>
      </c>
      <c r="X155" s="6" t="s">
        <v>186</v>
      </c>
      <c r="Y155" s="5">
        <v>300</v>
      </c>
      <c r="Z155" s="5">
        <v>1</v>
      </c>
      <c r="AA155" s="5">
        <v>12492144</v>
      </c>
      <c r="AB155" s="16" t="s">
        <v>111</v>
      </c>
      <c r="AC155" s="7" t="s">
        <v>112</v>
      </c>
      <c r="AD155" s="7" t="s">
        <v>112</v>
      </c>
      <c r="AE155" s="7" t="s">
        <v>112</v>
      </c>
      <c r="AF155" s="6" t="s">
        <v>113</v>
      </c>
      <c r="AG155" s="26" t="str">
        <f t="shared" ref="AG155" si="1067">CM$11</f>
        <v>4,28,6,28,6,4,28,6,28,6</v>
      </c>
      <c r="AH155" s="26" t="str">
        <f t="shared" ref="AH155" si="1068">CN$11</f>
        <v>0,0,1,0,1,0,0,1,0,1</v>
      </c>
      <c r="AI155" s="26" t="str">
        <f t="shared" ref="AI155" si="1069">CO$11</f>
        <v>0,0,1,0,1,0,0,1,0,1</v>
      </c>
      <c r="AJ155" s="26" t="str">
        <f t="shared" ref="AJ155" si="1070">CP$11</f>
        <v>0,0,5,0,5,0,0,5,0,5</v>
      </c>
      <c r="AK155" s="26" t="str">
        <f t="shared" ref="AK155" si="1071">CQ$11</f>
        <v>100,1000,5,1500,5,200,1000,5,1500,5</v>
      </c>
      <c r="AL155" s="26" t="str">
        <f t="shared" ref="AL155" si="1072">CR$11</f>
        <v>5,5,5,5,5,5,5,5,5,5</v>
      </c>
      <c r="AM155" s="7">
        <v>2001</v>
      </c>
      <c r="AO155">
        <f t="shared" ref="AO155" si="1073">AQ155*100+8</f>
        <v>1708</v>
      </c>
      <c r="AP155">
        <v>151</v>
      </c>
      <c r="AQ155">
        <f t="shared" si="905"/>
        <v>17</v>
      </c>
      <c r="AR155" s="17">
        <v>7</v>
      </c>
      <c r="AS155" s="17">
        <f t="shared" si="986"/>
        <v>155</v>
      </c>
      <c r="AT155" s="17">
        <v>6</v>
      </c>
      <c r="AU155">
        <f t="shared" si="906"/>
        <v>22</v>
      </c>
      <c r="AV155">
        <v>150</v>
      </c>
      <c r="AW155">
        <f t="shared" si="907"/>
        <v>25485.9264</v>
      </c>
      <c r="AX155">
        <f t="shared" si="1036"/>
        <v>138600000</v>
      </c>
      <c r="AY155">
        <f t="shared" si="908"/>
        <v>2310</v>
      </c>
      <c r="AZ155">
        <f t="shared" si="909"/>
        <v>4620</v>
      </c>
      <c r="BA155">
        <f t="shared" si="910"/>
        <v>31680</v>
      </c>
      <c r="BB155">
        <f t="shared" si="911"/>
        <v>1155</v>
      </c>
      <c r="BC155">
        <f t="shared" si="1037"/>
        <v>138600000</v>
      </c>
      <c r="BD155">
        <f t="shared" si="912"/>
        <v>0.29411764705882354</v>
      </c>
      <c r="BE155" s="27">
        <f t="shared" si="1038"/>
        <v>57149631</v>
      </c>
      <c r="BF155" s="30">
        <f t="shared" si="913"/>
        <v>0.34079999999999999</v>
      </c>
      <c r="BG155" s="27"/>
      <c r="BH155" s="27"/>
      <c r="BI155" s="27"/>
      <c r="CA155" s="20">
        <f t="shared" si="914"/>
        <v>180</v>
      </c>
      <c r="CB155" s="20">
        <f t="shared" si="915"/>
        <v>18000</v>
      </c>
    </row>
    <row r="156" spans="1:80" x14ac:dyDescent="0.15">
      <c r="A156">
        <v>1709</v>
      </c>
      <c r="B156" s="3" t="s">
        <v>132</v>
      </c>
      <c r="C156" s="4" t="s">
        <v>109</v>
      </c>
      <c r="D156" s="4" t="s">
        <v>110</v>
      </c>
      <c r="E156" s="5">
        <v>5</v>
      </c>
      <c r="F156" s="7" t="s">
        <v>140</v>
      </c>
      <c r="G156" s="5">
        <v>3</v>
      </c>
      <c r="H156" s="7" t="s">
        <v>140</v>
      </c>
      <c r="I156" s="5">
        <v>0</v>
      </c>
      <c r="J156" s="7">
        <v>0</v>
      </c>
      <c r="K156">
        <v>6</v>
      </c>
      <c r="L156">
        <v>1.5</v>
      </c>
      <c r="M156" s="5">
        <v>1.5</v>
      </c>
      <c r="N156" s="5">
        <v>10</v>
      </c>
      <c r="O156" s="5">
        <f t="shared" si="895"/>
        <v>26258</v>
      </c>
      <c r="P156" s="5">
        <f t="shared" si="896"/>
        <v>142800000</v>
      </c>
      <c r="Q156" s="5">
        <f t="shared" si="897"/>
        <v>2380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70091</v>
      </c>
      <c r="X156" s="6" t="s">
        <v>187</v>
      </c>
      <c r="Y156" s="5">
        <v>300</v>
      </c>
      <c r="Z156" s="5">
        <v>1</v>
      </c>
      <c r="AA156" s="5">
        <v>13434624</v>
      </c>
      <c r="AB156" s="16" t="s">
        <v>111</v>
      </c>
      <c r="AC156" s="7" t="s">
        <v>112</v>
      </c>
      <c r="AD156" s="7" t="s">
        <v>112</v>
      </c>
      <c r="AE156" s="7" t="s">
        <v>112</v>
      </c>
      <c r="AF156" s="6" t="s">
        <v>113</v>
      </c>
      <c r="AG156" s="26" t="str">
        <f t="shared" ref="AG156" si="1074">CM$12</f>
        <v>4,33,28,33,6,4,33,28,33,6</v>
      </c>
      <c r="AH156" s="26" t="str">
        <f t="shared" ref="AH156" si="1075">CN$12</f>
        <v>0,5,0,5,1,0,5,0,5,1</v>
      </c>
      <c r="AI156" s="26" t="str">
        <f t="shared" ref="AI156" si="1076">CO$12</f>
        <v>0,0,0,0,1,0,0,0,0,1</v>
      </c>
      <c r="AJ156" s="26" t="str">
        <f t="shared" ref="AJ156" si="1077">CP$12</f>
        <v>0,0,0,0,5,0,0,0,0,5</v>
      </c>
      <c r="AK156" s="26" t="str">
        <f t="shared" ref="AK156" si="1078">CQ$12</f>
        <v>100,1,1000,2,5,200,1,1000,2,5</v>
      </c>
      <c r="AL156" s="26" t="str">
        <f t="shared" ref="AL156" si="1079">CR$12</f>
        <v>5,5,5,5,5,5,5,5,5,5</v>
      </c>
      <c r="AM156" s="7">
        <v>2001</v>
      </c>
      <c r="AO156">
        <f t="shared" ref="AO156" si="1080">AQ156*100+9</f>
        <v>1709</v>
      </c>
      <c r="AP156">
        <v>152</v>
      </c>
      <c r="AQ156">
        <f t="shared" si="905"/>
        <v>17</v>
      </c>
      <c r="AR156" s="17">
        <v>7</v>
      </c>
      <c r="AS156" s="17">
        <f t="shared" si="986"/>
        <v>160</v>
      </c>
      <c r="AT156" s="17">
        <v>6</v>
      </c>
      <c r="AU156">
        <f t="shared" si="906"/>
        <v>22</v>
      </c>
      <c r="AV156">
        <v>150</v>
      </c>
      <c r="AW156">
        <f t="shared" si="907"/>
        <v>26258.227200000001</v>
      </c>
      <c r="AX156">
        <f t="shared" si="1036"/>
        <v>142800000.00000003</v>
      </c>
      <c r="AY156">
        <f t="shared" si="908"/>
        <v>2380</v>
      </c>
      <c r="AZ156">
        <f t="shared" si="909"/>
        <v>4760</v>
      </c>
      <c r="BA156">
        <f t="shared" si="910"/>
        <v>32640</v>
      </c>
      <c r="BB156">
        <f t="shared" si="911"/>
        <v>1190</v>
      </c>
      <c r="BC156">
        <f t="shared" si="1037"/>
        <v>142800000.00000003</v>
      </c>
      <c r="BD156">
        <f t="shared" si="912"/>
        <v>0.29411764705882354</v>
      </c>
      <c r="BE156" s="27">
        <f t="shared" si="1038"/>
        <v>60665724.000000015</v>
      </c>
      <c r="BF156" s="30">
        <f t="shared" si="913"/>
        <v>0.34079999999999999</v>
      </c>
      <c r="BG156" s="27"/>
      <c r="BH156" s="27"/>
      <c r="BI156" s="27"/>
      <c r="CA156" s="20">
        <f t="shared" si="914"/>
        <v>180</v>
      </c>
      <c r="CB156" s="20">
        <f t="shared" si="915"/>
        <v>18000</v>
      </c>
    </row>
    <row r="157" spans="1:80" x14ac:dyDescent="0.15">
      <c r="A157">
        <v>1801</v>
      </c>
      <c r="B157" s="3" t="s">
        <v>108</v>
      </c>
      <c r="C157" s="4" t="s">
        <v>109</v>
      </c>
      <c r="D157" s="4" t="s">
        <v>110</v>
      </c>
      <c r="E157" s="5">
        <v>3</v>
      </c>
      <c r="F157" s="7" t="s">
        <v>141</v>
      </c>
      <c r="G157" s="5">
        <v>2.5</v>
      </c>
      <c r="H157" s="7" t="s">
        <v>194</v>
      </c>
      <c r="I157" s="5">
        <v>0</v>
      </c>
      <c r="J157" s="5">
        <v>0</v>
      </c>
      <c r="K157">
        <v>2</v>
      </c>
      <c r="L157">
        <v>1.5</v>
      </c>
      <c r="M157" s="5">
        <v>1.5</v>
      </c>
      <c r="N157" s="5">
        <v>10</v>
      </c>
      <c r="O157" s="5">
        <f t="shared" si="895"/>
        <v>20889</v>
      </c>
      <c r="P157" s="5">
        <f t="shared" si="896"/>
        <v>113400000</v>
      </c>
      <c r="Q157" s="5">
        <f t="shared" si="897"/>
        <v>1890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70011</v>
      </c>
      <c r="X157" s="6" t="s">
        <v>179</v>
      </c>
      <c r="Y157" s="5">
        <v>300</v>
      </c>
      <c r="Z157" s="5">
        <v>1</v>
      </c>
      <c r="AA157" s="5">
        <v>14411376</v>
      </c>
      <c r="AB157" s="16" t="s">
        <v>111</v>
      </c>
      <c r="AC157" s="7" t="s">
        <v>112</v>
      </c>
      <c r="AD157" s="7" t="s">
        <v>112</v>
      </c>
      <c r="AE157" s="7" t="s">
        <v>112</v>
      </c>
      <c r="AF157" s="6" t="s">
        <v>113</v>
      </c>
      <c r="AG157" s="26" t="str">
        <f t="shared" ref="AG157" si="1081">CM$4</f>
        <v>4,33,28,33,6,4,33,28,33,6</v>
      </c>
      <c r="AH157" s="26" t="str">
        <f t="shared" ref="AH157" si="1082">CN$4</f>
        <v>0,8,0,8,1,0,8,0,8,1</v>
      </c>
      <c r="AI157" s="26" t="str">
        <f t="shared" ref="AI157" si="1083">CO$4</f>
        <v>0,0,0,0,1,0,0,0,0,1</v>
      </c>
      <c r="AJ157" s="26" t="str">
        <f t="shared" ref="AJ157" si="1084">CP$4</f>
        <v>0,0,0,0,5,0,0,0,0,5</v>
      </c>
      <c r="AK157" s="26" t="str">
        <f t="shared" ref="AK157" si="1085">CQ$4</f>
        <v>100,1,1000,2,5,200,1,1000,2,5</v>
      </c>
      <c r="AL157" s="26" t="str">
        <f t="shared" ref="AL157" si="1086">CR$4</f>
        <v>5,5,5,5,5,5,5,5,5,5</v>
      </c>
      <c r="AM157" s="7">
        <v>2001</v>
      </c>
      <c r="AO157">
        <f t="shared" ref="AO157" si="1087">AQ157*100+1</f>
        <v>1801</v>
      </c>
      <c r="AP157">
        <v>153</v>
      </c>
      <c r="AQ157">
        <f t="shared" si="905"/>
        <v>18</v>
      </c>
      <c r="AR157" s="17">
        <v>7</v>
      </c>
      <c r="AS157" s="17">
        <f t="shared" si="986"/>
        <v>125</v>
      </c>
      <c r="AT157" s="17">
        <v>6</v>
      </c>
      <c r="AU157">
        <f t="shared" si="906"/>
        <v>22</v>
      </c>
      <c r="AV157">
        <v>150</v>
      </c>
      <c r="AW157">
        <f t="shared" si="907"/>
        <v>20889.446400000001</v>
      </c>
      <c r="AX157">
        <f t="shared" si="1036"/>
        <v>113400000</v>
      </c>
      <c r="AY157">
        <f t="shared" si="908"/>
        <v>1890</v>
      </c>
      <c r="AZ157">
        <f t="shared" si="909"/>
        <v>3780</v>
      </c>
      <c r="BA157">
        <f t="shared" si="910"/>
        <v>25920</v>
      </c>
      <c r="BB157">
        <f t="shared" si="911"/>
        <v>945</v>
      </c>
      <c r="BC157">
        <f t="shared" si="1037"/>
        <v>113400000</v>
      </c>
      <c r="BD157">
        <f t="shared" si="912"/>
        <v>0.29411764705882354</v>
      </c>
      <c r="BE157" s="27">
        <f t="shared" si="1038"/>
        <v>38257191.000000007</v>
      </c>
      <c r="BF157" s="30">
        <f t="shared" si="913"/>
        <v>0.34320000000000001</v>
      </c>
      <c r="BG157" s="27"/>
      <c r="BH157" s="27"/>
      <c r="BI157" s="27"/>
      <c r="CA157" s="20">
        <f t="shared" si="914"/>
        <v>185</v>
      </c>
      <c r="CB157" s="20">
        <f t="shared" si="915"/>
        <v>18500</v>
      </c>
    </row>
    <row r="158" spans="1:80" x14ac:dyDescent="0.15">
      <c r="A158">
        <v>1802</v>
      </c>
      <c r="B158" s="3" t="s">
        <v>115</v>
      </c>
      <c r="C158" s="4" t="s">
        <v>109</v>
      </c>
      <c r="D158" s="6" t="s">
        <v>110</v>
      </c>
      <c r="E158" s="5">
        <v>3</v>
      </c>
      <c r="F158" s="7" t="s">
        <v>142</v>
      </c>
      <c r="G158" s="5">
        <v>3</v>
      </c>
      <c r="H158" s="7" t="s">
        <v>188</v>
      </c>
      <c r="I158" s="5">
        <v>0</v>
      </c>
      <c r="J158" s="5">
        <v>0</v>
      </c>
      <c r="K158">
        <v>2</v>
      </c>
      <c r="L158">
        <v>1.5</v>
      </c>
      <c r="M158" s="5">
        <v>1.5</v>
      </c>
      <c r="N158" s="5">
        <v>10</v>
      </c>
      <c r="O158" s="5">
        <f t="shared" si="895"/>
        <v>21663</v>
      </c>
      <c r="P158" s="5">
        <f t="shared" si="896"/>
        <v>117600000</v>
      </c>
      <c r="Q158" s="5">
        <f t="shared" si="897"/>
        <v>1960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70021</v>
      </c>
      <c r="X158" s="6" t="s">
        <v>180</v>
      </c>
      <c r="Y158" s="5">
        <v>300</v>
      </c>
      <c r="Z158" s="5">
        <v>1</v>
      </c>
      <c r="AA158" s="5">
        <v>8293824</v>
      </c>
      <c r="AB158" s="16" t="s">
        <v>111</v>
      </c>
      <c r="AC158" s="7" t="s">
        <v>112</v>
      </c>
      <c r="AD158" s="7" t="s">
        <v>112</v>
      </c>
      <c r="AE158" s="7" t="s">
        <v>112</v>
      </c>
      <c r="AF158" s="6" t="s">
        <v>113</v>
      </c>
      <c r="AG158" s="26" t="str">
        <f t="shared" ref="AG158" si="1088">CM$5</f>
        <v>4,33,28,33,6,4,33,28,33,6</v>
      </c>
      <c r="AH158" s="26" t="str">
        <f t="shared" ref="AH158" si="1089">CN$5</f>
        <v>0,7,0,7,1,0,7,0,7,1</v>
      </c>
      <c r="AI158" s="26" t="str">
        <f t="shared" ref="AI158" si="1090">CO$5</f>
        <v>0,0,0,0,1,0,0,0,0,1</v>
      </c>
      <c r="AJ158" s="26" t="str">
        <f t="shared" ref="AJ158" si="1091">CP$5</f>
        <v>0,0,0,0,5,0,0,0,0,5</v>
      </c>
      <c r="AK158" s="26" t="str">
        <f t="shared" ref="AK158" si="1092">CQ$5</f>
        <v>100,1,1000,2,5,200,1,1000,2,5</v>
      </c>
      <c r="AL158" s="26" t="str">
        <f t="shared" ref="AL158" si="1093">CR$5</f>
        <v>5,5,5,5,5,5,5,5,5,5</v>
      </c>
      <c r="AM158" s="7">
        <v>2001</v>
      </c>
      <c r="AO158">
        <f t="shared" ref="AO158" si="1094">AQ158*100+2</f>
        <v>1802</v>
      </c>
      <c r="AP158">
        <v>154</v>
      </c>
      <c r="AQ158">
        <f t="shared" si="905"/>
        <v>18</v>
      </c>
      <c r="AR158" s="17">
        <v>7</v>
      </c>
      <c r="AS158" s="17">
        <f t="shared" si="986"/>
        <v>130</v>
      </c>
      <c r="AT158" s="17">
        <v>6</v>
      </c>
      <c r="AU158">
        <f t="shared" si="906"/>
        <v>22</v>
      </c>
      <c r="AV158">
        <v>150</v>
      </c>
      <c r="AW158">
        <f t="shared" si="907"/>
        <v>21663.1296</v>
      </c>
      <c r="AX158">
        <f t="shared" si="1036"/>
        <v>117600000</v>
      </c>
      <c r="AY158">
        <f t="shared" si="908"/>
        <v>1960</v>
      </c>
      <c r="AZ158">
        <f t="shared" si="909"/>
        <v>3920</v>
      </c>
      <c r="BA158">
        <f t="shared" si="910"/>
        <v>26880</v>
      </c>
      <c r="BB158">
        <f t="shared" si="911"/>
        <v>980</v>
      </c>
      <c r="BC158">
        <f t="shared" si="1037"/>
        <v>117600000</v>
      </c>
      <c r="BD158">
        <f t="shared" si="912"/>
        <v>0.29411764705882354</v>
      </c>
      <c r="BE158" s="27">
        <f t="shared" si="1038"/>
        <v>41143536.000000007</v>
      </c>
      <c r="BF158" s="30">
        <f t="shared" si="913"/>
        <v>0.34320000000000001</v>
      </c>
      <c r="BG158" s="27"/>
      <c r="BH158" s="27"/>
      <c r="BI158" s="27"/>
      <c r="CA158" s="20">
        <f t="shared" si="914"/>
        <v>185</v>
      </c>
      <c r="CB158" s="20">
        <f t="shared" si="915"/>
        <v>18500</v>
      </c>
    </row>
    <row r="159" spans="1:80" x14ac:dyDescent="0.15">
      <c r="A159">
        <v>1803</v>
      </c>
      <c r="B159" s="3" t="s">
        <v>117</v>
      </c>
      <c r="C159" s="4" t="s">
        <v>109</v>
      </c>
      <c r="D159" s="4" t="s">
        <v>110</v>
      </c>
      <c r="E159" s="5">
        <v>1</v>
      </c>
      <c r="F159" s="7" t="s">
        <v>144</v>
      </c>
      <c r="G159" s="5">
        <v>3</v>
      </c>
      <c r="H159" s="7" t="s">
        <v>189</v>
      </c>
      <c r="I159" s="5">
        <v>0</v>
      </c>
      <c r="J159" s="2">
        <v>0</v>
      </c>
      <c r="K159">
        <v>6</v>
      </c>
      <c r="L159">
        <v>1.5</v>
      </c>
      <c r="M159" s="5">
        <v>1.5</v>
      </c>
      <c r="N159" s="5">
        <v>10</v>
      </c>
      <c r="O159" s="5">
        <f t="shared" si="895"/>
        <v>22436</v>
      </c>
      <c r="P159" s="5">
        <f t="shared" si="896"/>
        <v>121800000</v>
      </c>
      <c r="Q159" s="5">
        <f t="shared" si="897"/>
        <v>2030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70031</v>
      </c>
      <c r="X159" s="6" t="s">
        <v>181</v>
      </c>
      <c r="Y159" s="5">
        <v>300</v>
      </c>
      <c r="Z159" s="5">
        <v>1</v>
      </c>
      <c r="AA159" s="5">
        <v>9064944</v>
      </c>
      <c r="AB159" s="16" t="s">
        <v>111</v>
      </c>
      <c r="AC159" s="7" t="s">
        <v>112</v>
      </c>
      <c r="AD159" s="7" t="s">
        <v>112</v>
      </c>
      <c r="AE159" s="7" t="s">
        <v>112</v>
      </c>
      <c r="AF159" s="6" t="s">
        <v>113</v>
      </c>
      <c r="AG159" s="26" t="str">
        <f t="shared" ref="AG159" si="1095">CM$6</f>
        <v>4,28,6,28,6,4,28,6,28,6</v>
      </c>
      <c r="AH159" s="26" t="str">
        <f t="shared" ref="AH159" si="1096">CN$6</f>
        <v>0,0,1,0,1,0,0,1,0,1</v>
      </c>
      <c r="AI159" s="26" t="str">
        <f t="shared" ref="AI159" si="1097">CO$6</f>
        <v>0,0,0,0,1,0,0,0,0,1</v>
      </c>
      <c r="AJ159" s="26" t="str">
        <f t="shared" ref="AJ159" si="1098">CP$6</f>
        <v>0,0,5,0,5,0,0,5,0,5</v>
      </c>
      <c r="AK159" s="26" t="str">
        <f t="shared" ref="AK159" si="1099">CQ$6</f>
        <v>100,1000,5,1500,5,200,1000,5,1500,5</v>
      </c>
      <c r="AL159" s="26" t="str">
        <f t="shared" ref="AL159" si="1100">CR$6</f>
        <v>5,5,5,5,5,5,5,5,5,5</v>
      </c>
      <c r="AM159" s="7">
        <v>2001</v>
      </c>
      <c r="AO159">
        <f t="shared" ref="AO159" si="1101">AQ159*100+3</f>
        <v>1803</v>
      </c>
      <c r="AP159">
        <v>155</v>
      </c>
      <c r="AQ159">
        <f t="shared" si="905"/>
        <v>18</v>
      </c>
      <c r="AR159" s="17">
        <v>7</v>
      </c>
      <c r="AS159" s="17">
        <f t="shared" si="986"/>
        <v>135</v>
      </c>
      <c r="AT159" s="17">
        <v>6</v>
      </c>
      <c r="AU159">
        <f t="shared" si="906"/>
        <v>22</v>
      </c>
      <c r="AV159">
        <v>150</v>
      </c>
      <c r="AW159">
        <f t="shared" si="907"/>
        <v>22436.8128</v>
      </c>
      <c r="AX159">
        <f t="shared" si="1036"/>
        <v>121800000</v>
      </c>
      <c r="AY159">
        <f t="shared" si="908"/>
        <v>2030</v>
      </c>
      <c r="AZ159">
        <f t="shared" si="909"/>
        <v>4060</v>
      </c>
      <c r="BA159">
        <f t="shared" si="910"/>
        <v>27840</v>
      </c>
      <c r="BB159">
        <f t="shared" si="911"/>
        <v>1015</v>
      </c>
      <c r="BC159">
        <f t="shared" si="1037"/>
        <v>121800000</v>
      </c>
      <c r="BD159">
        <f t="shared" si="912"/>
        <v>0.29411764705882354</v>
      </c>
      <c r="BE159" s="27">
        <f t="shared" si="1038"/>
        <v>44134839.000000007</v>
      </c>
      <c r="BF159" s="30">
        <f t="shared" si="913"/>
        <v>0.34320000000000001</v>
      </c>
      <c r="BG159" s="27"/>
      <c r="BH159" s="27"/>
      <c r="BI159" s="27"/>
      <c r="CA159" s="20">
        <f t="shared" si="914"/>
        <v>185</v>
      </c>
      <c r="CB159" s="20">
        <f t="shared" si="915"/>
        <v>18500</v>
      </c>
    </row>
    <row r="160" spans="1:80" x14ac:dyDescent="0.15">
      <c r="A160">
        <v>1804</v>
      </c>
      <c r="B160" s="3" t="s">
        <v>119</v>
      </c>
      <c r="C160" s="4" t="s">
        <v>109</v>
      </c>
      <c r="D160" s="6" t="s">
        <v>120</v>
      </c>
      <c r="E160" s="5">
        <v>3</v>
      </c>
      <c r="F160" s="7" t="s">
        <v>145</v>
      </c>
      <c r="G160" s="5">
        <v>3</v>
      </c>
      <c r="H160" s="7" t="s">
        <v>190</v>
      </c>
      <c r="I160" s="5">
        <v>0</v>
      </c>
      <c r="J160" s="5">
        <v>0</v>
      </c>
      <c r="K160">
        <v>2</v>
      </c>
      <c r="L160">
        <v>1.5</v>
      </c>
      <c r="M160" s="5">
        <v>1.5</v>
      </c>
      <c r="N160" s="5">
        <v>10</v>
      </c>
      <c r="O160" s="5">
        <f t="shared" si="895"/>
        <v>23210</v>
      </c>
      <c r="P160" s="5">
        <f t="shared" si="896"/>
        <v>126000000</v>
      </c>
      <c r="Q160" s="5">
        <f t="shared" si="897"/>
        <v>2100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70041</v>
      </c>
      <c r="X160" s="6" t="s">
        <v>182</v>
      </c>
      <c r="Y160" s="5">
        <v>300</v>
      </c>
      <c r="Z160" s="5">
        <v>1</v>
      </c>
      <c r="AA160" s="5">
        <v>9870336</v>
      </c>
      <c r="AB160" s="16" t="s">
        <v>111</v>
      </c>
      <c r="AC160" s="7" t="s">
        <v>112</v>
      </c>
      <c r="AD160" s="7" t="s">
        <v>112</v>
      </c>
      <c r="AE160" s="7" t="s">
        <v>112</v>
      </c>
      <c r="AF160" s="6" t="s">
        <v>113</v>
      </c>
      <c r="AG160" s="26" t="str">
        <f t="shared" ref="AG160" si="1102">CM$7</f>
        <v>4,14,28,14,6,4,14,28,14,6</v>
      </c>
      <c r="AH160" s="26" t="str">
        <f t="shared" ref="AH160" si="1103">CN$7</f>
        <v>0,0,0,0,1,0,0,0,0,1</v>
      </c>
      <c r="AI160" s="26" t="str">
        <f t="shared" ref="AI160" si="1104">CO$7</f>
        <v>0,0,0,0,1,0,0,0,0,1</v>
      </c>
      <c r="AJ160" s="26" t="str">
        <f t="shared" ref="AJ160" si="1105">CP$7</f>
        <v>0,0,0,0,5,0,0,0,0,5</v>
      </c>
      <c r="AK160" s="26" t="str">
        <f t="shared" ref="AK160" si="1106">CQ$7</f>
        <v>100,1,1000,2,5,200,1,1000,2,5</v>
      </c>
      <c r="AL160" s="26" t="str">
        <f t="shared" ref="AL160" si="1107">CR$7</f>
        <v>5,5,5,5,5,5,5,5,5,5</v>
      </c>
      <c r="AM160" s="7">
        <v>2001</v>
      </c>
      <c r="AO160">
        <f t="shared" ref="AO160" si="1108">AQ160*100+4</f>
        <v>1804</v>
      </c>
      <c r="AP160">
        <v>156</v>
      </c>
      <c r="AQ160">
        <f t="shared" si="905"/>
        <v>18</v>
      </c>
      <c r="AR160" s="17">
        <v>7</v>
      </c>
      <c r="AS160" s="17">
        <f t="shared" si="986"/>
        <v>140</v>
      </c>
      <c r="AT160" s="17">
        <v>6</v>
      </c>
      <c r="AU160">
        <f t="shared" si="906"/>
        <v>22</v>
      </c>
      <c r="AV160">
        <v>150</v>
      </c>
      <c r="AW160">
        <f t="shared" si="907"/>
        <v>23210.495999999999</v>
      </c>
      <c r="AX160">
        <f t="shared" si="1036"/>
        <v>126000000</v>
      </c>
      <c r="AY160">
        <f t="shared" si="908"/>
        <v>2100</v>
      </c>
      <c r="AZ160">
        <f t="shared" si="909"/>
        <v>4200</v>
      </c>
      <c r="BA160">
        <f t="shared" si="910"/>
        <v>28800</v>
      </c>
      <c r="BB160">
        <f t="shared" si="911"/>
        <v>1050</v>
      </c>
      <c r="BC160">
        <f t="shared" si="1037"/>
        <v>126000000</v>
      </c>
      <c r="BD160">
        <f t="shared" si="912"/>
        <v>0.29411764705882354</v>
      </c>
      <c r="BE160" s="27">
        <f t="shared" si="1038"/>
        <v>47231100</v>
      </c>
      <c r="BF160" s="30">
        <f t="shared" si="913"/>
        <v>0.34320000000000001</v>
      </c>
      <c r="BG160" s="27"/>
      <c r="BH160" s="27"/>
      <c r="BI160" s="27"/>
      <c r="CA160" s="20">
        <f t="shared" si="914"/>
        <v>185</v>
      </c>
      <c r="CB160" s="20">
        <f t="shared" si="915"/>
        <v>18500</v>
      </c>
    </row>
    <row r="161" spans="1:80" x14ac:dyDescent="0.15">
      <c r="A161">
        <v>1805</v>
      </c>
      <c r="B161" s="3" t="s">
        <v>122</v>
      </c>
      <c r="C161" s="4" t="s">
        <v>109</v>
      </c>
      <c r="D161" s="4" t="s">
        <v>110</v>
      </c>
      <c r="E161" s="5">
        <v>2</v>
      </c>
      <c r="F161" s="7" t="s">
        <v>146</v>
      </c>
      <c r="G161" s="5">
        <v>3</v>
      </c>
      <c r="H161" s="7" t="s">
        <v>191</v>
      </c>
      <c r="I161" s="5">
        <v>0</v>
      </c>
      <c r="J161" s="7" t="s">
        <v>148</v>
      </c>
      <c r="K161">
        <v>6</v>
      </c>
      <c r="L161">
        <v>1.5</v>
      </c>
      <c r="M161" s="5">
        <v>1.5</v>
      </c>
      <c r="N161" s="5">
        <v>10</v>
      </c>
      <c r="O161" s="5">
        <f t="shared" si="895"/>
        <v>23984</v>
      </c>
      <c r="P161" s="5">
        <f t="shared" si="896"/>
        <v>130200000</v>
      </c>
      <c r="Q161" s="5">
        <f t="shared" si="897"/>
        <v>2170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70051</v>
      </c>
      <c r="X161" s="6" t="s">
        <v>183</v>
      </c>
      <c r="Y161" s="5">
        <v>300</v>
      </c>
      <c r="Z161" s="5">
        <v>1</v>
      </c>
      <c r="AA161" s="5">
        <v>10710000</v>
      </c>
      <c r="AB161" s="16" t="s">
        <v>111</v>
      </c>
      <c r="AC161" s="7" t="s">
        <v>112</v>
      </c>
      <c r="AD161" s="7" t="s">
        <v>112</v>
      </c>
      <c r="AE161" s="7" t="s">
        <v>112</v>
      </c>
      <c r="AF161" s="6" t="s">
        <v>113</v>
      </c>
      <c r="AG161" s="26" t="str">
        <f t="shared" ref="AG161" si="1109">CM$8</f>
        <v>4,19,28,19,6,4,19,28,19,6</v>
      </c>
      <c r="AH161" s="26" t="str">
        <f t="shared" ref="AH161" si="1110">CN$8</f>
        <v>0,0,0,0,1,0,0,0,0,1</v>
      </c>
      <c r="AI161" s="26" t="str">
        <f t="shared" ref="AI161" si="1111">CO$8</f>
        <v>0,0,0,0,1,0,0,0,0,1</v>
      </c>
      <c r="AJ161" s="26" t="str">
        <f t="shared" ref="AJ161" si="1112">CP$8</f>
        <v>0,0,0,0,5,0,0,0,0,5</v>
      </c>
      <c r="AK161" s="26" t="str">
        <f t="shared" ref="AK161" si="1113">CQ$8</f>
        <v>200,100,1000,200,5,200,100,1000,200,5</v>
      </c>
      <c r="AL161" s="26" t="str">
        <f t="shared" ref="AL161" si="1114">CR$8</f>
        <v>5,5,5,5,5,5,5,5,5,5</v>
      </c>
      <c r="AM161" s="7">
        <v>2001</v>
      </c>
      <c r="AO161">
        <f t="shared" ref="AO161" si="1115">AQ161*100+5</f>
        <v>1805</v>
      </c>
      <c r="AP161">
        <v>157</v>
      </c>
      <c r="AQ161">
        <f t="shared" si="905"/>
        <v>18</v>
      </c>
      <c r="AR161" s="17">
        <v>7</v>
      </c>
      <c r="AS161" s="17">
        <f t="shared" si="986"/>
        <v>145</v>
      </c>
      <c r="AT161" s="17">
        <v>6</v>
      </c>
      <c r="AU161">
        <f t="shared" si="906"/>
        <v>22</v>
      </c>
      <c r="AV161">
        <v>150</v>
      </c>
      <c r="AW161">
        <f t="shared" si="907"/>
        <v>23984.179199999999</v>
      </c>
      <c r="AX161">
        <f t="shared" si="1036"/>
        <v>130200000.00000001</v>
      </c>
      <c r="AY161">
        <f t="shared" si="908"/>
        <v>2170</v>
      </c>
      <c r="AZ161">
        <f t="shared" si="909"/>
        <v>4340</v>
      </c>
      <c r="BA161">
        <f t="shared" si="910"/>
        <v>29760</v>
      </c>
      <c r="BB161">
        <f t="shared" si="911"/>
        <v>1085</v>
      </c>
      <c r="BC161">
        <f t="shared" si="1037"/>
        <v>130200000.00000001</v>
      </c>
      <c r="BD161">
        <f t="shared" si="912"/>
        <v>0.29411764705882354</v>
      </c>
      <c r="BE161" s="27">
        <f t="shared" si="1038"/>
        <v>50432319.000000015</v>
      </c>
      <c r="BF161" s="30">
        <f t="shared" si="913"/>
        <v>0.34320000000000001</v>
      </c>
      <c r="BG161" s="27"/>
      <c r="BH161" s="27"/>
      <c r="BI161" s="27"/>
      <c r="CA161" s="20">
        <f t="shared" si="914"/>
        <v>185</v>
      </c>
      <c r="CB161" s="20">
        <f t="shared" si="915"/>
        <v>18500</v>
      </c>
    </row>
    <row r="162" spans="1:80" x14ac:dyDescent="0.15">
      <c r="A162">
        <v>1806</v>
      </c>
      <c r="B162" s="3" t="s">
        <v>124</v>
      </c>
      <c r="C162" s="4" t="s">
        <v>109</v>
      </c>
      <c r="D162" s="6" t="s">
        <v>120</v>
      </c>
      <c r="E162" s="5">
        <v>1</v>
      </c>
      <c r="F162" s="7" t="s">
        <v>147</v>
      </c>
      <c r="G162" s="5">
        <v>3</v>
      </c>
      <c r="H162" s="7" t="s">
        <v>192</v>
      </c>
      <c r="I162" s="5">
        <v>0</v>
      </c>
      <c r="J162" s="7" t="s">
        <v>149</v>
      </c>
      <c r="K162">
        <v>6</v>
      </c>
      <c r="L162">
        <v>1.5</v>
      </c>
      <c r="M162" s="5">
        <v>1.5</v>
      </c>
      <c r="N162" s="5">
        <v>10</v>
      </c>
      <c r="O162" s="5">
        <f t="shared" si="895"/>
        <v>24757</v>
      </c>
      <c r="P162" s="5">
        <f t="shared" si="896"/>
        <v>134400000</v>
      </c>
      <c r="Q162" s="5">
        <f t="shared" si="897"/>
        <v>2240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70061</v>
      </c>
      <c r="X162" s="6" t="s">
        <v>184</v>
      </c>
      <c r="Y162" s="5">
        <v>300</v>
      </c>
      <c r="Z162" s="5">
        <v>1</v>
      </c>
      <c r="AA162" s="5">
        <v>11583936</v>
      </c>
      <c r="AB162" s="16" t="s">
        <v>111</v>
      </c>
      <c r="AC162" s="7" t="s">
        <v>112</v>
      </c>
      <c r="AD162" s="7" t="s">
        <v>112</v>
      </c>
      <c r="AE162" s="7" t="s">
        <v>112</v>
      </c>
      <c r="AF162" s="6" t="s">
        <v>113</v>
      </c>
      <c r="AG162" s="26" t="str">
        <f t="shared" ref="AG162" si="1116">CM$9</f>
        <v>4,33,28,33,6,4,33,28,33,6</v>
      </c>
      <c r="AH162" s="26" t="str">
        <f t="shared" ref="AH162" si="1117">CN$9</f>
        <v>0,6,0,6,1,0,6,0,6,1</v>
      </c>
      <c r="AI162" s="26" t="str">
        <f t="shared" ref="AI162" si="1118">CO$9</f>
        <v>0,0,0,0,1,0,0,0,0,1</v>
      </c>
      <c r="AJ162" s="26" t="str">
        <f t="shared" ref="AJ162" si="1119">CP$9</f>
        <v>0,0,0,0,5,0,0,0,0,5</v>
      </c>
      <c r="AK162" s="26" t="str">
        <f t="shared" ref="AK162" si="1120">CQ$9</f>
        <v>200,1,1000,2,5,200,1,1000,2,5</v>
      </c>
      <c r="AL162" s="26" t="str">
        <f t="shared" ref="AL162" si="1121">CR$9</f>
        <v>5,5,5,5,5,5,5,5,5,5</v>
      </c>
      <c r="AM162" s="7">
        <v>2001</v>
      </c>
      <c r="AO162">
        <f t="shared" ref="AO162" si="1122">AQ162*100+6</f>
        <v>1806</v>
      </c>
      <c r="AP162">
        <v>158</v>
      </c>
      <c r="AQ162">
        <f t="shared" si="905"/>
        <v>18</v>
      </c>
      <c r="AR162" s="17">
        <v>7</v>
      </c>
      <c r="AS162" s="17">
        <f t="shared" si="986"/>
        <v>150</v>
      </c>
      <c r="AT162" s="17">
        <v>6</v>
      </c>
      <c r="AU162">
        <f t="shared" si="906"/>
        <v>22</v>
      </c>
      <c r="AV162">
        <v>150</v>
      </c>
      <c r="AW162">
        <f t="shared" si="907"/>
        <v>24757.862399999998</v>
      </c>
      <c r="AX162">
        <f t="shared" si="1036"/>
        <v>134400000</v>
      </c>
      <c r="AY162">
        <f t="shared" si="908"/>
        <v>2240</v>
      </c>
      <c r="AZ162">
        <f t="shared" si="909"/>
        <v>4480</v>
      </c>
      <c r="BA162">
        <f t="shared" si="910"/>
        <v>30720</v>
      </c>
      <c r="BB162">
        <f t="shared" si="911"/>
        <v>1120</v>
      </c>
      <c r="BC162">
        <f t="shared" si="1037"/>
        <v>134400000</v>
      </c>
      <c r="BD162">
        <f t="shared" si="912"/>
        <v>0.29411764705882354</v>
      </c>
      <c r="BE162" s="27">
        <f t="shared" si="1038"/>
        <v>53738496.000000007</v>
      </c>
      <c r="BF162" s="30">
        <f t="shared" si="913"/>
        <v>0.34320000000000001</v>
      </c>
      <c r="BG162" s="27"/>
      <c r="BH162" s="27"/>
      <c r="BI162" s="27"/>
      <c r="CA162" s="20">
        <f t="shared" si="914"/>
        <v>185</v>
      </c>
      <c r="CB162" s="20">
        <f t="shared" si="915"/>
        <v>18500</v>
      </c>
    </row>
    <row r="163" spans="1:80" x14ac:dyDescent="0.15">
      <c r="A163">
        <v>1807</v>
      </c>
      <c r="B163" s="3" t="s">
        <v>126</v>
      </c>
      <c r="C163" s="4" t="s">
        <v>109</v>
      </c>
      <c r="D163" s="4" t="s">
        <v>110</v>
      </c>
      <c r="E163" s="5">
        <v>2</v>
      </c>
      <c r="F163" s="7" t="s">
        <v>143</v>
      </c>
      <c r="G163" s="5">
        <v>3</v>
      </c>
      <c r="H163" s="7" t="s">
        <v>193</v>
      </c>
      <c r="I163" s="5">
        <v>0</v>
      </c>
      <c r="J163" s="5">
        <v>0</v>
      </c>
      <c r="K163">
        <v>2</v>
      </c>
      <c r="L163">
        <v>1.5</v>
      </c>
      <c r="M163" s="5">
        <v>1.5</v>
      </c>
      <c r="N163" s="5">
        <v>10</v>
      </c>
      <c r="O163" s="5">
        <f t="shared" si="895"/>
        <v>25531</v>
      </c>
      <c r="P163" s="5">
        <f t="shared" si="896"/>
        <v>138600000</v>
      </c>
      <c r="Q163" s="5">
        <f t="shared" si="897"/>
        <v>2310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70071</v>
      </c>
      <c r="X163" s="6" t="s">
        <v>185</v>
      </c>
      <c r="Y163" s="5">
        <v>300</v>
      </c>
      <c r="Z163" s="5">
        <v>1</v>
      </c>
      <c r="AA163" s="5">
        <v>12492144</v>
      </c>
      <c r="AB163" s="16" t="s">
        <v>111</v>
      </c>
      <c r="AC163" s="7" t="s">
        <v>112</v>
      </c>
      <c r="AD163" s="7" t="s">
        <v>112</v>
      </c>
      <c r="AE163" s="7" t="s">
        <v>112</v>
      </c>
      <c r="AF163" s="6" t="s">
        <v>113</v>
      </c>
      <c r="AG163" s="26" t="str">
        <f t="shared" ref="AG163" si="1123">CM$10</f>
        <v>4,14,28,14,6,4,14,28,14,6</v>
      </c>
      <c r="AH163" s="26" t="str">
        <f t="shared" ref="AH163" si="1124">CN$10</f>
        <v>0,0,0,0,1,0,0,0,0,1</v>
      </c>
      <c r="AI163" s="26" t="str">
        <f t="shared" ref="AI163" si="1125">CO$10</f>
        <v>0,0,0,0,1,0,0,0,0,1</v>
      </c>
      <c r="AJ163" s="26" t="str">
        <f t="shared" ref="AJ163" si="1126">CP$10</f>
        <v>0,0,0,0,5,0,0,0,0,5</v>
      </c>
      <c r="AK163" s="26" t="str">
        <f t="shared" ref="AK163" si="1127">CQ$10</f>
        <v>200,1,1000,2,5,200,1,1000,2,5</v>
      </c>
      <c r="AL163" s="26" t="str">
        <f t="shared" ref="AL163" si="1128">CR$10</f>
        <v>5,5,5,5,5,5,5,5,5,5</v>
      </c>
      <c r="AM163" s="7">
        <v>2001</v>
      </c>
      <c r="AO163">
        <f t="shared" ref="AO163" si="1129">AQ163*100+7</f>
        <v>1807</v>
      </c>
      <c r="AP163">
        <v>159</v>
      </c>
      <c r="AQ163">
        <f t="shared" si="905"/>
        <v>18</v>
      </c>
      <c r="AR163" s="17">
        <v>7</v>
      </c>
      <c r="AS163" s="17">
        <f t="shared" si="986"/>
        <v>155</v>
      </c>
      <c r="AT163" s="17">
        <v>6</v>
      </c>
      <c r="AU163">
        <f t="shared" si="906"/>
        <v>22</v>
      </c>
      <c r="AV163">
        <v>150</v>
      </c>
      <c r="AW163">
        <f t="shared" si="907"/>
        <v>25531.545599999998</v>
      </c>
      <c r="AX163">
        <f t="shared" si="1036"/>
        <v>138600000</v>
      </c>
      <c r="AY163">
        <f t="shared" si="908"/>
        <v>2310</v>
      </c>
      <c r="AZ163">
        <f t="shared" si="909"/>
        <v>4620</v>
      </c>
      <c r="BA163">
        <f t="shared" si="910"/>
        <v>31680</v>
      </c>
      <c r="BB163">
        <f t="shared" si="911"/>
        <v>1155</v>
      </c>
      <c r="BC163">
        <f t="shared" si="1037"/>
        <v>138600000</v>
      </c>
      <c r="BD163">
        <f t="shared" si="912"/>
        <v>0.29411764705882354</v>
      </c>
      <c r="BE163" s="27">
        <f t="shared" si="1038"/>
        <v>57149631</v>
      </c>
      <c r="BF163" s="30">
        <f t="shared" si="913"/>
        <v>0.34320000000000001</v>
      </c>
      <c r="BG163" s="27"/>
      <c r="BH163" s="27"/>
      <c r="BI163" s="27"/>
      <c r="CA163" s="20">
        <f t="shared" si="914"/>
        <v>185</v>
      </c>
      <c r="CB163" s="20">
        <f t="shared" si="915"/>
        <v>18500</v>
      </c>
    </row>
    <row r="164" spans="1:80" x14ac:dyDescent="0.15">
      <c r="A164">
        <v>1808</v>
      </c>
      <c r="B164" s="3" t="s">
        <v>128</v>
      </c>
      <c r="C164" s="4" t="s">
        <v>109</v>
      </c>
      <c r="D164" s="4" t="s">
        <v>110</v>
      </c>
      <c r="E164" s="5">
        <v>5</v>
      </c>
      <c r="F164" s="7" t="s">
        <v>129</v>
      </c>
      <c r="G164" s="5">
        <v>2</v>
      </c>
      <c r="H164" s="7" t="s">
        <v>130</v>
      </c>
      <c r="I164" s="5">
        <v>0</v>
      </c>
      <c r="J164" s="5">
        <v>0</v>
      </c>
      <c r="K164">
        <v>2</v>
      </c>
      <c r="L164">
        <v>1.5</v>
      </c>
      <c r="M164" s="5">
        <v>1.5</v>
      </c>
      <c r="N164" s="5">
        <v>10</v>
      </c>
      <c r="O164" s="5">
        <f t="shared" si="895"/>
        <v>26305</v>
      </c>
      <c r="P164" s="5">
        <f t="shared" si="896"/>
        <v>142800000</v>
      </c>
      <c r="Q164" s="5">
        <f t="shared" si="897"/>
        <v>2380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70081</v>
      </c>
      <c r="X164" s="6" t="s">
        <v>186</v>
      </c>
      <c r="Y164" s="5">
        <v>300</v>
      </c>
      <c r="Z164" s="5">
        <v>1</v>
      </c>
      <c r="AA164" s="5">
        <v>13434624</v>
      </c>
      <c r="AB164" s="16" t="s">
        <v>111</v>
      </c>
      <c r="AC164" s="7" t="s">
        <v>112</v>
      </c>
      <c r="AD164" s="7" t="s">
        <v>112</v>
      </c>
      <c r="AE164" s="7" t="s">
        <v>112</v>
      </c>
      <c r="AF164" s="6" t="s">
        <v>113</v>
      </c>
      <c r="AG164" s="26" t="str">
        <f t="shared" ref="AG164" si="1130">CM$11</f>
        <v>4,28,6,28,6,4,28,6,28,6</v>
      </c>
      <c r="AH164" s="26" t="str">
        <f t="shared" ref="AH164" si="1131">CN$11</f>
        <v>0,0,1,0,1,0,0,1,0,1</v>
      </c>
      <c r="AI164" s="26" t="str">
        <f t="shared" ref="AI164" si="1132">CO$11</f>
        <v>0,0,1,0,1,0,0,1,0,1</v>
      </c>
      <c r="AJ164" s="26" t="str">
        <f t="shared" ref="AJ164" si="1133">CP$11</f>
        <v>0,0,5,0,5,0,0,5,0,5</v>
      </c>
      <c r="AK164" s="26" t="str">
        <f t="shared" ref="AK164" si="1134">CQ$11</f>
        <v>100,1000,5,1500,5,200,1000,5,1500,5</v>
      </c>
      <c r="AL164" s="26" t="str">
        <f t="shared" ref="AL164" si="1135">CR$11</f>
        <v>5,5,5,5,5,5,5,5,5,5</v>
      </c>
      <c r="AM164" s="7">
        <v>2001</v>
      </c>
      <c r="AO164">
        <f t="shared" ref="AO164" si="1136">AQ164*100+8</f>
        <v>1808</v>
      </c>
      <c r="AP164">
        <v>160</v>
      </c>
      <c r="AQ164">
        <f t="shared" si="905"/>
        <v>18</v>
      </c>
      <c r="AR164" s="17">
        <v>7</v>
      </c>
      <c r="AS164" s="17">
        <f t="shared" si="986"/>
        <v>160</v>
      </c>
      <c r="AT164" s="17">
        <v>6</v>
      </c>
      <c r="AU164">
        <f t="shared" si="906"/>
        <v>22</v>
      </c>
      <c r="AV164">
        <v>150</v>
      </c>
      <c r="AW164">
        <f t="shared" si="907"/>
        <v>26305.228800000001</v>
      </c>
      <c r="AX164">
        <f t="shared" si="1036"/>
        <v>142800000.00000003</v>
      </c>
      <c r="AY164">
        <f t="shared" si="908"/>
        <v>2380</v>
      </c>
      <c r="AZ164">
        <f t="shared" si="909"/>
        <v>4760</v>
      </c>
      <c r="BA164">
        <f t="shared" si="910"/>
        <v>32640</v>
      </c>
      <c r="BB164">
        <f t="shared" si="911"/>
        <v>1190</v>
      </c>
      <c r="BC164">
        <f t="shared" si="1037"/>
        <v>142800000.00000003</v>
      </c>
      <c r="BD164">
        <f t="shared" si="912"/>
        <v>0.29411764705882354</v>
      </c>
      <c r="BE164" s="27">
        <f t="shared" si="1038"/>
        <v>60665724.000000015</v>
      </c>
      <c r="BF164" s="30">
        <f t="shared" si="913"/>
        <v>0.34320000000000001</v>
      </c>
      <c r="BG164" s="27"/>
      <c r="BH164" s="27"/>
      <c r="BI164" s="27"/>
      <c r="CA164" s="20">
        <f t="shared" si="914"/>
        <v>185</v>
      </c>
      <c r="CB164" s="20">
        <f t="shared" si="915"/>
        <v>18500</v>
      </c>
    </row>
    <row r="165" spans="1:80" x14ac:dyDescent="0.15">
      <c r="A165">
        <v>1809</v>
      </c>
      <c r="B165" s="3" t="s">
        <v>132</v>
      </c>
      <c r="C165" s="4" t="s">
        <v>109</v>
      </c>
      <c r="D165" s="4" t="s">
        <v>110</v>
      </c>
      <c r="E165" s="5">
        <v>5</v>
      </c>
      <c r="F165" s="7" t="s">
        <v>140</v>
      </c>
      <c r="G165" s="5">
        <v>3</v>
      </c>
      <c r="H165" s="7" t="s">
        <v>140</v>
      </c>
      <c r="I165" s="5">
        <v>0</v>
      </c>
      <c r="J165" s="7">
        <v>0</v>
      </c>
      <c r="K165">
        <v>6</v>
      </c>
      <c r="L165">
        <v>1.5</v>
      </c>
      <c r="M165" s="5">
        <v>1.5</v>
      </c>
      <c r="N165" s="5">
        <v>10</v>
      </c>
      <c r="O165" s="5">
        <f t="shared" si="895"/>
        <v>27078</v>
      </c>
      <c r="P165" s="5">
        <f t="shared" si="896"/>
        <v>147000000</v>
      </c>
      <c r="Q165" s="5">
        <f t="shared" si="897"/>
        <v>2450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70091</v>
      </c>
      <c r="X165" s="6" t="s">
        <v>187</v>
      </c>
      <c r="Y165" s="5">
        <v>300</v>
      </c>
      <c r="Z165" s="5">
        <v>1</v>
      </c>
      <c r="AA165" s="5">
        <v>14411376</v>
      </c>
      <c r="AB165" s="16" t="s">
        <v>111</v>
      </c>
      <c r="AC165" s="7" t="s">
        <v>112</v>
      </c>
      <c r="AD165" s="7" t="s">
        <v>112</v>
      </c>
      <c r="AE165" s="7" t="s">
        <v>112</v>
      </c>
      <c r="AF165" s="6" t="s">
        <v>113</v>
      </c>
      <c r="AG165" s="26" t="str">
        <f t="shared" ref="AG165" si="1137">CM$12</f>
        <v>4,33,28,33,6,4,33,28,33,6</v>
      </c>
      <c r="AH165" s="26" t="str">
        <f t="shared" ref="AH165" si="1138">CN$12</f>
        <v>0,5,0,5,1,0,5,0,5,1</v>
      </c>
      <c r="AI165" s="26" t="str">
        <f t="shared" ref="AI165" si="1139">CO$12</f>
        <v>0,0,0,0,1,0,0,0,0,1</v>
      </c>
      <c r="AJ165" s="26" t="str">
        <f t="shared" ref="AJ165" si="1140">CP$12</f>
        <v>0,0,0,0,5,0,0,0,0,5</v>
      </c>
      <c r="AK165" s="26" t="str">
        <f t="shared" ref="AK165" si="1141">CQ$12</f>
        <v>100,1,1000,2,5,200,1,1000,2,5</v>
      </c>
      <c r="AL165" s="26" t="str">
        <f t="shared" ref="AL165" si="1142">CR$12</f>
        <v>5,5,5,5,5,5,5,5,5,5</v>
      </c>
      <c r="AM165" s="7">
        <v>2001</v>
      </c>
      <c r="AO165">
        <f t="shared" ref="AO165" si="1143">AQ165*100+9</f>
        <v>1809</v>
      </c>
      <c r="AP165">
        <v>161</v>
      </c>
      <c r="AQ165">
        <f t="shared" si="905"/>
        <v>18</v>
      </c>
      <c r="AR165" s="17">
        <v>7</v>
      </c>
      <c r="AS165" s="17">
        <f t="shared" si="986"/>
        <v>165</v>
      </c>
      <c r="AT165" s="17">
        <v>6</v>
      </c>
      <c r="AU165">
        <f t="shared" si="906"/>
        <v>22</v>
      </c>
      <c r="AV165">
        <v>150</v>
      </c>
      <c r="AW165">
        <f t="shared" si="907"/>
        <v>27078.912</v>
      </c>
      <c r="AX165">
        <f t="shared" si="1036"/>
        <v>147000000</v>
      </c>
      <c r="AY165">
        <f t="shared" si="908"/>
        <v>2450</v>
      </c>
      <c r="AZ165">
        <f t="shared" si="909"/>
        <v>4900</v>
      </c>
      <c r="BA165">
        <f t="shared" si="910"/>
        <v>33600</v>
      </c>
      <c r="BB165">
        <f t="shared" si="911"/>
        <v>1225</v>
      </c>
      <c r="BC165">
        <f t="shared" si="1037"/>
        <v>147000000</v>
      </c>
      <c r="BD165">
        <f t="shared" si="912"/>
        <v>0.29411764705882354</v>
      </c>
      <c r="BE165" s="27">
        <f t="shared" si="1038"/>
        <v>64286775.000000015</v>
      </c>
      <c r="BF165" s="30">
        <f t="shared" si="913"/>
        <v>0.34320000000000001</v>
      </c>
      <c r="BG165" s="27"/>
      <c r="BH165" s="27"/>
      <c r="BI165" s="27"/>
      <c r="CA165" s="20">
        <f t="shared" si="914"/>
        <v>185</v>
      </c>
      <c r="CB165" s="20">
        <f t="shared" si="915"/>
        <v>18500</v>
      </c>
    </row>
    <row r="166" spans="1:80" x14ac:dyDescent="0.15">
      <c r="A166">
        <v>1901</v>
      </c>
      <c r="B166" s="3" t="s">
        <v>108</v>
      </c>
      <c r="C166" s="4" t="s">
        <v>109</v>
      </c>
      <c r="D166" s="4" t="s">
        <v>110</v>
      </c>
      <c r="E166" s="5">
        <v>3</v>
      </c>
      <c r="F166" s="7" t="s">
        <v>141</v>
      </c>
      <c r="G166" s="5">
        <v>2.5</v>
      </c>
      <c r="H166" s="7" t="s">
        <v>194</v>
      </c>
      <c r="I166" s="5">
        <v>0</v>
      </c>
      <c r="J166" s="5">
        <v>0</v>
      </c>
      <c r="K166">
        <v>2</v>
      </c>
      <c r="L166">
        <v>1.5</v>
      </c>
      <c r="M166" s="5">
        <v>1.5</v>
      </c>
      <c r="N166" s="5">
        <v>10</v>
      </c>
      <c r="O166" s="5">
        <f t="shared" si="895"/>
        <v>21701</v>
      </c>
      <c r="P166" s="5">
        <f t="shared" si="896"/>
        <v>117600000</v>
      </c>
      <c r="Q166" s="5">
        <f t="shared" si="897"/>
        <v>1960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70011</v>
      </c>
      <c r="X166" s="6" t="s">
        <v>179</v>
      </c>
      <c r="Y166" s="5">
        <v>300</v>
      </c>
      <c r="Z166" s="5">
        <v>1</v>
      </c>
      <c r="AA166" s="5">
        <v>15422400</v>
      </c>
      <c r="AB166" s="16" t="s">
        <v>111</v>
      </c>
      <c r="AC166" s="7" t="s">
        <v>112</v>
      </c>
      <c r="AD166" s="7" t="s">
        <v>112</v>
      </c>
      <c r="AE166" s="7" t="s">
        <v>112</v>
      </c>
      <c r="AF166" s="6" t="s">
        <v>113</v>
      </c>
      <c r="AG166" s="26" t="str">
        <f t="shared" ref="AG166" si="1144">CM$4</f>
        <v>4,33,28,33,6,4,33,28,33,6</v>
      </c>
      <c r="AH166" s="26" t="str">
        <f t="shared" ref="AH166" si="1145">CN$4</f>
        <v>0,8,0,8,1,0,8,0,8,1</v>
      </c>
      <c r="AI166" s="26" t="str">
        <f t="shared" ref="AI166" si="1146">CO$4</f>
        <v>0,0,0,0,1,0,0,0,0,1</v>
      </c>
      <c r="AJ166" s="26" t="str">
        <f t="shared" ref="AJ166" si="1147">CP$4</f>
        <v>0,0,0,0,5,0,0,0,0,5</v>
      </c>
      <c r="AK166" s="26" t="str">
        <f t="shared" ref="AK166" si="1148">CQ$4</f>
        <v>100,1,1000,2,5,200,1,1000,2,5</v>
      </c>
      <c r="AL166" s="26" t="str">
        <f t="shared" ref="AL166" si="1149">CR$4</f>
        <v>5,5,5,5,5,5,5,5,5,5</v>
      </c>
      <c r="AM166" s="7">
        <v>2001</v>
      </c>
      <c r="AO166">
        <f t="shared" ref="AO166" si="1150">AQ166*100+1</f>
        <v>1901</v>
      </c>
      <c r="AP166">
        <v>162</v>
      </c>
      <c r="AQ166">
        <f t="shared" si="905"/>
        <v>19</v>
      </c>
      <c r="AR166" s="17">
        <v>7</v>
      </c>
      <c r="AS166" s="17">
        <f t="shared" si="986"/>
        <v>130</v>
      </c>
      <c r="AT166" s="17">
        <v>6</v>
      </c>
      <c r="AU166">
        <f t="shared" si="906"/>
        <v>22</v>
      </c>
      <c r="AV166">
        <v>150</v>
      </c>
      <c r="AW166">
        <f t="shared" si="907"/>
        <v>21701.836799999997</v>
      </c>
      <c r="AX166">
        <f t="shared" si="1036"/>
        <v>117600000</v>
      </c>
      <c r="AY166">
        <f t="shared" si="908"/>
        <v>1960</v>
      </c>
      <c r="AZ166">
        <f t="shared" si="909"/>
        <v>3920</v>
      </c>
      <c r="BA166">
        <f t="shared" si="910"/>
        <v>26880</v>
      </c>
      <c r="BB166">
        <f t="shared" si="911"/>
        <v>980</v>
      </c>
      <c r="BC166">
        <f t="shared" si="1037"/>
        <v>117600000</v>
      </c>
      <c r="BD166">
        <f t="shared" si="912"/>
        <v>0.29411764705882354</v>
      </c>
      <c r="BE166" s="27">
        <f t="shared" si="1038"/>
        <v>41143536.000000007</v>
      </c>
      <c r="BF166" s="30">
        <f t="shared" si="913"/>
        <v>0.34559999999999996</v>
      </c>
      <c r="BG166" s="27"/>
      <c r="BH166" s="27"/>
      <c r="BI166" s="27"/>
      <c r="CA166" s="20">
        <f t="shared" si="914"/>
        <v>190</v>
      </c>
      <c r="CB166" s="20">
        <f t="shared" si="915"/>
        <v>19000</v>
      </c>
    </row>
    <row r="167" spans="1:80" x14ac:dyDescent="0.15">
      <c r="A167">
        <v>1902</v>
      </c>
      <c r="B167" s="3" t="s">
        <v>115</v>
      </c>
      <c r="C167" s="4" t="s">
        <v>109</v>
      </c>
      <c r="D167" s="6" t="s">
        <v>110</v>
      </c>
      <c r="E167" s="5">
        <v>3</v>
      </c>
      <c r="F167" s="7" t="s">
        <v>142</v>
      </c>
      <c r="G167" s="5">
        <v>3</v>
      </c>
      <c r="H167" s="7" t="s">
        <v>188</v>
      </c>
      <c r="I167" s="5">
        <v>0</v>
      </c>
      <c r="J167" s="5">
        <v>0</v>
      </c>
      <c r="K167">
        <v>2</v>
      </c>
      <c r="L167">
        <v>1.5</v>
      </c>
      <c r="M167" s="5">
        <v>1.5</v>
      </c>
      <c r="N167" s="5">
        <v>10</v>
      </c>
      <c r="O167" s="5">
        <f t="shared" si="895"/>
        <v>22476</v>
      </c>
      <c r="P167" s="5">
        <f t="shared" si="896"/>
        <v>121800000</v>
      </c>
      <c r="Q167" s="5">
        <f t="shared" si="897"/>
        <v>2030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70021</v>
      </c>
      <c r="X167" s="6" t="s">
        <v>180</v>
      </c>
      <c r="Y167" s="5">
        <v>300</v>
      </c>
      <c r="Z167" s="5">
        <v>1</v>
      </c>
      <c r="AA167" s="5">
        <v>9064944</v>
      </c>
      <c r="AB167" s="16" t="s">
        <v>111</v>
      </c>
      <c r="AC167" s="7" t="s">
        <v>112</v>
      </c>
      <c r="AD167" s="7" t="s">
        <v>112</v>
      </c>
      <c r="AE167" s="7" t="s">
        <v>112</v>
      </c>
      <c r="AF167" s="6" t="s">
        <v>113</v>
      </c>
      <c r="AG167" s="26" t="str">
        <f t="shared" ref="AG167" si="1151">CM$5</f>
        <v>4,33,28,33,6,4,33,28,33,6</v>
      </c>
      <c r="AH167" s="26" t="str">
        <f t="shared" ref="AH167" si="1152">CN$5</f>
        <v>0,7,0,7,1,0,7,0,7,1</v>
      </c>
      <c r="AI167" s="26" t="str">
        <f t="shared" ref="AI167" si="1153">CO$5</f>
        <v>0,0,0,0,1,0,0,0,0,1</v>
      </c>
      <c r="AJ167" s="26" t="str">
        <f t="shared" ref="AJ167" si="1154">CP$5</f>
        <v>0,0,0,0,5,0,0,0,0,5</v>
      </c>
      <c r="AK167" s="26" t="str">
        <f t="shared" ref="AK167" si="1155">CQ$5</f>
        <v>100,1,1000,2,5,200,1,1000,2,5</v>
      </c>
      <c r="AL167" s="26" t="str">
        <f t="shared" ref="AL167" si="1156">CR$5</f>
        <v>5,5,5,5,5,5,5,5,5,5</v>
      </c>
      <c r="AM167" s="7">
        <v>2001</v>
      </c>
      <c r="AO167">
        <f t="shared" ref="AO167" si="1157">AQ167*100+2</f>
        <v>1902</v>
      </c>
      <c r="AP167">
        <v>163</v>
      </c>
      <c r="AQ167">
        <f t="shared" si="905"/>
        <v>19</v>
      </c>
      <c r="AR167" s="17">
        <v>7</v>
      </c>
      <c r="AS167" s="17">
        <f t="shared" si="986"/>
        <v>135</v>
      </c>
      <c r="AT167" s="17">
        <v>6</v>
      </c>
      <c r="AU167">
        <f t="shared" si="906"/>
        <v>22</v>
      </c>
      <c r="AV167">
        <v>150</v>
      </c>
      <c r="AW167">
        <f t="shared" si="907"/>
        <v>22476.902399999999</v>
      </c>
      <c r="AX167">
        <f t="shared" si="1036"/>
        <v>121800000</v>
      </c>
      <c r="AY167">
        <f t="shared" si="908"/>
        <v>2030</v>
      </c>
      <c r="AZ167">
        <f t="shared" si="909"/>
        <v>4060</v>
      </c>
      <c r="BA167">
        <f t="shared" si="910"/>
        <v>27840</v>
      </c>
      <c r="BB167">
        <f t="shared" si="911"/>
        <v>1015</v>
      </c>
      <c r="BC167">
        <f t="shared" si="1037"/>
        <v>121800000</v>
      </c>
      <c r="BD167">
        <f t="shared" si="912"/>
        <v>0.29411764705882354</v>
      </c>
      <c r="BE167" s="27">
        <f t="shared" si="1038"/>
        <v>44134839.000000007</v>
      </c>
      <c r="BF167" s="30">
        <f t="shared" si="913"/>
        <v>0.34559999999999996</v>
      </c>
      <c r="BG167" s="27"/>
      <c r="BH167" s="27"/>
      <c r="BI167" s="27"/>
      <c r="CA167" s="20">
        <f t="shared" si="914"/>
        <v>190</v>
      </c>
      <c r="CB167" s="20">
        <f t="shared" si="915"/>
        <v>19000</v>
      </c>
    </row>
    <row r="168" spans="1:80" x14ac:dyDescent="0.15">
      <c r="A168">
        <v>1903</v>
      </c>
      <c r="B168" s="3" t="s">
        <v>117</v>
      </c>
      <c r="C168" s="4" t="s">
        <v>109</v>
      </c>
      <c r="D168" s="4" t="s">
        <v>110</v>
      </c>
      <c r="E168" s="5">
        <v>1</v>
      </c>
      <c r="F168" s="7" t="s">
        <v>144</v>
      </c>
      <c r="G168" s="5">
        <v>3</v>
      </c>
      <c r="H168" s="7" t="s">
        <v>189</v>
      </c>
      <c r="I168" s="5">
        <v>0</v>
      </c>
      <c r="J168" s="2">
        <v>0</v>
      </c>
      <c r="K168">
        <v>6</v>
      </c>
      <c r="L168">
        <v>1.5</v>
      </c>
      <c r="M168" s="5">
        <v>1.5</v>
      </c>
      <c r="N168" s="5">
        <v>10</v>
      </c>
      <c r="O168" s="5">
        <f t="shared" si="895"/>
        <v>23251</v>
      </c>
      <c r="P168" s="5">
        <f t="shared" si="896"/>
        <v>126000000</v>
      </c>
      <c r="Q168" s="5">
        <f t="shared" si="897"/>
        <v>2100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70031</v>
      </c>
      <c r="X168" s="6" t="s">
        <v>181</v>
      </c>
      <c r="Y168" s="5">
        <v>300</v>
      </c>
      <c r="Z168" s="5">
        <v>1</v>
      </c>
      <c r="AA168" s="5">
        <v>9870336</v>
      </c>
      <c r="AB168" s="16" t="s">
        <v>111</v>
      </c>
      <c r="AC168" s="7" t="s">
        <v>112</v>
      </c>
      <c r="AD168" s="7" t="s">
        <v>112</v>
      </c>
      <c r="AE168" s="7" t="s">
        <v>112</v>
      </c>
      <c r="AF168" s="6" t="s">
        <v>113</v>
      </c>
      <c r="AG168" s="26" t="str">
        <f t="shared" ref="AG168" si="1158">CM$6</f>
        <v>4,28,6,28,6,4,28,6,28,6</v>
      </c>
      <c r="AH168" s="26" t="str">
        <f t="shared" ref="AH168" si="1159">CN$6</f>
        <v>0,0,1,0,1,0,0,1,0,1</v>
      </c>
      <c r="AI168" s="26" t="str">
        <f t="shared" ref="AI168" si="1160">CO$6</f>
        <v>0,0,0,0,1,0,0,0,0,1</v>
      </c>
      <c r="AJ168" s="26" t="str">
        <f t="shared" ref="AJ168" si="1161">CP$6</f>
        <v>0,0,5,0,5,0,0,5,0,5</v>
      </c>
      <c r="AK168" s="26" t="str">
        <f t="shared" ref="AK168" si="1162">CQ$6</f>
        <v>100,1000,5,1500,5,200,1000,5,1500,5</v>
      </c>
      <c r="AL168" s="26" t="str">
        <f t="shared" ref="AL168" si="1163">CR$6</f>
        <v>5,5,5,5,5,5,5,5,5,5</v>
      </c>
      <c r="AM168" s="7">
        <v>2001</v>
      </c>
      <c r="AO168">
        <f t="shared" ref="AO168" si="1164">AQ168*100+3</f>
        <v>1903</v>
      </c>
      <c r="AP168">
        <v>164</v>
      </c>
      <c r="AQ168">
        <f t="shared" si="905"/>
        <v>19</v>
      </c>
      <c r="AR168" s="17">
        <v>7</v>
      </c>
      <c r="AS168" s="17">
        <f t="shared" si="986"/>
        <v>140</v>
      </c>
      <c r="AT168" s="17">
        <v>6</v>
      </c>
      <c r="AU168">
        <f t="shared" si="906"/>
        <v>22</v>
      </c>
      <c r="AV168">
        <v>150</v>
      </c>
      <c r="AW168">
        <f t="shared" si="907"/>
        <v>23251.967999999997</v>
      </c>
      <c r="AX168">
        <f t="shared" si="1036"/>
        <v>126000000</v>
      </c>
      <c r="AY168">
        <f t="shared" si="908"/>
        <v>2100</v>
      </c>
      <c r="AZ168">
        <f t="shared" si="909"/>
        <v>4200</v>
      </c>
      <c r="BA168">
        <f t="shared" si="910"/>
        <v>28800</v>
      </c>
      <c r="BB168">
        <f t="shared" si="911"/>
        <v>1050</v>
      </c>
      <c r="BC168">
        <f t="shared" si="1037"/>
        <v>126000000</v>
      </c>
      <c r="BD168">
        <f t="shared" si="912"/>
        <v>0.29411764705882354</v>
      </c>
      <c r="BE168" s="27">
        <f t="shared" si="1038"/>
        <v>47231100</v>
      </c>
      <c r="BF168" s="30">
        <f t="shared" si="913"/>
        <v>0.34559999999999996</v>
      </c>
      <c r="BG168" s="27"/>
      <c r="BH168" s="27"/>
      <c r="BI168" s="27"/>
      <c r="CA168" s="20">
        <f t="shared" si="914"/>
        <v>190</v>
      </c>
      <c r="CB168" s="20">
        <f t="shared" si="915"/>
        <v>19000</v>
      </c>
    </row>
    <row r="169" spans="1:80" x14ac:dyDescent="0.15">
      <c r="A169">
        <v>1904</v>
      </c>
      <c r="B169" s="3" t="s">
        <v>119</v>
      </c>
      <c r="C169" s="4" t="s">
        <v>109</v>
      </c>
      <c r="D169" s="6" t="s">
        <v>120</v>
      </c>
      <c r="E169" s="5">
        <v>3</v>
      </c>
      <c r="F169" s="7" t="s">
        <v>145</v>
      </c>
      <c r="G169" s="5">
        <v>3</v>
      </c>
      <c r="H169" s="7" t="s">
        <v>190</v>
      </c>
      <c r="I169" s="5">
        <v>0</v>
      </c>
      <c r="J169" s="5">
        <v>0</v>
      </c>
      <c r="K169">
        <v>2</v>
      </c>
      <c r="L169">
        <v>1.5</v>
      </c>
      <c r="M169" s="5">
        <v>1.5</v>
      </c>
      <c r="N169" s="5">
        <v>10</v>
      </c>
      <c r="O169" s="5">
        <f t="shared" si="895"/>
        <v>24027</v>
      </c>
      <c r="P169" s="5">
        <f t="shared" si="896"/>
        <v>130200000</v>
      </c>
      <c r="Q169" s="5">
        <f t="shared" si="897"/>
        <v>2170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70041</v>
      </c>
      <c r="X169" s="6" t="s">
        <v>182</v>
      </c>
      <c r="Y169" s="5">
        <v>300</v>
      </c>
      <c r="Z169" s="5">
        <v>1</v>
      </c>
      <c r="AA169" s="5">
        <v>10710000</v>
      </c>
      <c r="AB169" s="16" t="s">
        <v>111</v>
      </c>
      <c r="AC169" s="7" t="s">
        <v>112</v>
      </c>
      <c r="AD169" s="7" t="s">
        <v>112</v>
      </c>
      <c r="AE169" s="7" t="s">
        <v>112</v>
      </c>
      <c r="AF169" s="6" t="s">
        <v>113</v>
      </c>
      <c r="AG169" s="26" t="str">
        <f t="shared" ref="AG169" si="1165">CM$7</f>
        <v>4,14,28,14,6,4,14,28,14,6</v>
      </c>
      <c r="AH169" s="26" t="str">
        <f t="shared" ref="AH169" si="1166">CN$7</f>
        <v>0,0,0,0,1,0,0,0,0,1</v>
      </c>
      <c r="AI169" s="26" t="str">
        <f t="shared" ref="AI169" si="1167">CO$7</f>
        <v>0,0,0,0,1,0,0,0,0,1</v>
      </c>
      <c r="AJ169" s="26" t="str">
        <f t="shared" ref="AJ169" si="1168">CP$7</f>
        <v>0,0,0,0,5,0,0,0,0,5</v>
      </c>
      <c r="AK169" s="26" t="str">
        <f t="shared" ref="AK169" si="1169">CQ$7</f>
        <v>100,1,1000,2,5,200,1,1000,2,5</v>
      </c>
      <c r="AL169" s="26" t="str">
        <f t="shared" ref="AL169" si="1170">CR$7</f>
        <v>5,5,5,5,5,5,5,5,5,5</v>
      </c>
      <c r="AM169" s="7">
        <v>2001</v>
      </c>
      <c r="AO169">
        <f t="shared" ref="AO169" si="1171">AQ169*100+4</f>
        <v>1904</v>
      </c>
      <c r="AP169">
        <v>165</v>
      </c>
      <c r="AQ169">
        <f t="shared" si="905"/>
        <v>19</v>
      </c>
      <c r="AR169" s="17">
        <v>7</v>
      </c>
      <c r="AS169" s="17">
        <f t="shared" si="986"/>
        <v>145</v>
      </c>
      <c r="AT169" s="17">
        <v>6</v>
      </c>
      <c r="AU169">
        <f t="shared" si="906"/>
        <v>22</v>
      </c>
      <c r="AV169">
        <v>150</v>
      </c>
      <c r="AW169">
        <f t="shared" si="907"/>
        <v>24027.033599999999</v>
      </c>
      <c r="AX169">
        <f t="shared" si="1036"/>
        <v>130200000.00000001</v>
      </c>
      <c r="AY169">
        <f t="shared" si="908"/>
        <v>2170</v>
      </c>
      <c r="AZ169">
        <f t="shared" si="909"/>
        <v>4340</v>
      </c>
      <c r="BA169">
        <f t="shared" si="910"/>
        <v>29760</v>
      </c>
      <c r="BB169">
        <f t="shared" si="911"/>
        <v>1085</v>
      </c>
      <c r="BC169">
        <f t="shared" si="1037"/>
        <v>130200000.00000001</v>
      </c>
      <c r="BD169">
        <f t="shared" si="912"/>
        <v>0.29411764705882354</v>
      </c>
      <c r="BE169" s="27">
        <f t="shared" si="1038"/>
        <v>50432319.000000015</v>
      </c>
      <c r="BF169" s="30">
        <f t="shared" si="913"/>
        <v>0.34559999999999996</v>
      </c>
      <c r="BG169" s="27"/>
      <c r="BH169" s="27"/>
      <c r="BI169" s="27"/>
      <c r="CA169" s="20">
        <f t="shared" si="914"/>
        <v>190</v>
      </c>
      <c r="CB169" s="20">
        <f t="shared" si="915"/>
        <v>19000</v>
      </c>
    </row>
    <row r="170" spans="1:80" x14ac:dyDescent="0.15">
      <c r="A170">
        <v>1905</v>
      </c>
      <c r="B170" s="3" t="s">
        <v>122</v>
      </c>
      <c r="C170" s="4" t="s">
        <v>109</v>
      </c>
      <c r="D170" s="4" t="s">
        <v>110</v>
      </c>
      <c r="E170" s="5">
        <v>2</v>
      </c>
      <c r="F170" s="7" t="s">
        <v>146</v>
      </c>
      <c r="G170" s="5">
        <v>3</v>
      </c>
      <c r="H170" s="7" t="s">
        <v>191</v>
      </c>
      <c r="I170" s="5">
        <v>0</v>
      </c>
      <c r="J170" s="7" t="s">
        <v>148</v>
      </c>
      <c r="K170">
        <v>6</v>
      </c>
      <c r="L170">
        <v>1.5</v>
      </c>
      <c r="M170" s="5">
        <v>1.5</v>
      </c>
      <c r="N170" s="5">
        <v>10</v>
      </c>
      <c r="O170" s="5">
        <f t="shared" si="895"/>
        <v>24802</v>
      </c>
      <c r="P170" s="5">
        <f t="shared" si="896"/>
        <v>134400000</v>
      </c>
      <c r="Q170" s="5">
        <f t="shared" si="897"/>
        <v>2240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70051</v>
      </c>
      <c r="X170" s="6" t="s">
        <v>183</v>
      </c>
      <c r="Y170" s="5">
        <v>300</v>
      </c>
      <c r="Z170" s="5">
        <v>1</v>
      </c>
      <c r="AA170" s="5">
        <v>11583936</v>
      </c>
      <c r="AB170" s="16" t="s">
        <v>111</v>
      </c>
      <c r="AC170" s="7" t="s">
        <v>112</v>
      </c>
      <c r="AD170" s="7" t="s">
        <v>112</v>
      </c>
      <c r="AE170" s="7" t="s">
        <v>112</v>
      </c>
      <c r="AF170" s="6" t="s">
        <v>113</v>
      </c>
      <c r="AG170" s="26" t="str">
        <f t="shared" ref="AG170" si="1172">CM$8</f>
        <v>4,19,28,19,6,4,19,28,19,6</v>
      </c>
      <c r="AH170" s="26" t="str">
        <f t="shared" ref="AH170" si="1173">CN$8</f>
        <v>0,0,0,0,1,0,0,0,0,1</v>
      </c>
      <c r="AI170" s="26" t="str">
        <f t="shared" ref="AI170" si="1174">CO$8</f>
        <v>0,0,0,0,1,0,0,0,0,1</v>
      </c>
      <c r="AJ170" s="26" t="str">
        <f t="shared" ref="AJ170" si="1175">CP$8</f>
        <v>0,0,0,0,5,0,0,0,0,5</v>
      </c>
      <c r="AK170" s="26" t="str">
        <f t="shared" ref="AK170" si="1176">CQ$8</f>
        <v>200,100,1000,200,5,200,100,1000,200,5</v>
      </c>
      <c r="AL170" s="26" t="str">
        <f t="shared" ref="AL170" si="1177">CR$8</f>
        <v>5,5,5,5,5,5,5,5,5,5</v>
      </c>
      <c r="AM170" s="7">
        <v>2001</v>
      </c>
      <c r="AO170">
        <f t="shared" ref="AO170" si="1178">AQ170*100+5</f>
        <v>1905</v>
      </c>
      <c r="AP170">
        <v>166</v>
      </c>
      <c r="AQ170">
        <f t="shared" si="905"/>
        <v>19</v>
      </c>
      <c r="AR170" s="17">
        <v>7</v>
      </c>
      <c r="AS170" s="17">
        <f t="shared" si="986"/>
        <v>150</v>
      </c>
      <c r="AT170" s="17">
        <v>6</v>
      </c>
      <c r="AU170">
        <f t="shared" si="906"/>
        <v>22</v>
      </c>
      <c r="AV170">
        <v>150</v>
      </c>
      <c r="AW170">
        <f t="shared" si="907"/>
        <v>24802.099199999997</v>
      </c>
      <c r="AX170">
        <f t="shared" si="1036"/>
        <v>134400000</v>
      </c>
      <c r="AY170">
        <f t="shared" si="908"/>
        <v>2240</v>
      </c>
      <c r="AZ170">
        <f t="shared" si="909"/>
        <v>4480</v>
      </c>
      <c r="BA170">
        <f t="shared" si="910"/>
        <v>30720</v>
      </c>
      <c r="BB170">
        <f t="shared" si="911"/>
        <v>1120</v>
      </c>
      <c r="BC170">
        <f t="shared" si="1037"/>
        <v>134400000</v>
      </c>
      <c r="BD170">
        <f t="shared" si="912"/>
        <v>0.29411764705882354</v>
      </c>
      <c r="BE170" s="27">
        <f t="shared" si="1038"/>
        <v>53738496.000000007</v>
      </c>
      <c r="BF170" s="30">
        <f t="shared" si="913"/>
        <v>0.34559999999999996</v>
      </c>
      <c r="BG170" s="27"/>
      <c r="BH170" s="27"/>
      <c r="BI170" s="27"/>
      <c r="CA170" s="20">
        <f t="shared" si="914"/>
        <v>190</v>
      </c>
      <c r="CB170" s="20">
        <f t="shared" si="915"/>
        <v>19000</v>
      </c>
    </row>
    <row r="171" spans="1:80" x14ac:dyDescent="0.15">
      <c r="A171">
        <v>1906</v>
      </c>
      <c r="B171" s="3" t="s">
        <v>124</v>
      </c>
      <c r="C171" s="4" t="s">
        <v>109</v>
      </c>
      <c r="D171" s="6" t="s">
        <v>120</v>
      </c>
      <c r="E171" s="5">
        <v>1</v>
      </c>
      <c r="F171" s="7" t="s">
        <v>147</v>
      </c>
      <c r="G171" s="5">
        <v>3</v>
      </c>
      <c r="H171" s="7" t="s">
        <v>192</v>
      </c>
      <c r="I171" s="5">
        <v>0</v>
      </c>
      <c r="J171" s="7" t="s">
        <v>149</v>
      </c>
      <c r="K171">
        <v>6</v>
      </c>
      <c r="L171">
        <v>1.5</v>
      </c>
      <c r="M171" s="5">
        <v>1.5</v>
      </c>
      <c r="N171" s="5">
        <v>10</v>
      </c>
      <c r="O171" s="5">
        <f t="shared" si="895"/>
        <v>25577</v>
      </c>
      <c r="P171" s="5">
        <f t="shared" si="896"/>
        <v>138600000</v>
      </c>
      <c r="Q171" s="5">
        <f t="shared" si="897"/>
        <v>2310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70061</v>
      </c>
      <c r="X171" s="6" t="s">
        <v>184</v>
      </c>
      <c r="Y171" s="5">
        <v>300</v>
      </c>
      <c r="Z171" s="5">
        <v>1</v>
      </c>
      <c r="AA171" s="5">
        <v>12492144</v>
      </c>
      <c r="AB171" s="16" t="s">
        <v>111</v>
      </c>
      <c r="AC171" s="7" t="s">
        <v>112</v>
      </c>
      <c r="AD171" s="7" t="s">
        <v>112</v>
      </c>
      <c r="AE171" s="7" t="s">
        <v>112</v>
      </c>
      <c r="AF171" s="6" t="s">
        <v>113</v>
      </c>
      <c r="AG171" s="26" t="str">
        <f t="shared" ref="AG171" si="1179">CM$9</f>
        <v>4,33,28,33,6,4,33,28,33,6</v>
      </c>
      <c r="AH171" s="26" t="str">
        <f t="shared" ref="AH171" si="1180">CN$9</f>
        <v>0,6,0,6,1,0,6,0,6,1</v>
      </c>
      <c r="AI171" s="26" t="str">
        <f t="shared" ref="AI171" si="1181">CO$9</f>
        <v>0,0,0,0,1,0,0,0,0,1</v>
      </c>
      <c r="AJ171" s="26" t="str">
        <f t="shared" ref="AJ171" si="1182">CP$9</f>
        <v>0,0,0,0,5,0,0,0,0,5</v>
      </c>
      <c r="AK171" s="26" t="str">
        <f t="shared" ref="AK171" si="1183">CQ$9</f>
        <v>200,1,1000,2,5,200,1,1000,2,5</v>
      </c>
      <c r="AL171" s="26" t="str">
        <f t="shared" ref="AL171" si="1184">CR$9</f>
        <v>5,5,5,5,5,5,5,5,5,5</v>
      </c>
      <c r="AM171" s="7">
        <v>2001</v>
      </c>
      <c r="AO171">
        <f t="shared" ref="AO171" si="1185">AQ171*100+6</f>
        <v>1906</v>
      </c>
      <c r="AP171">
        <v>167</v>
      </c>
      <c r="AQ171">
        <f t="shared" si="905"/>
        <v>19</v>
      </c>
      <c r="AR171" s="17">
        <v>7</v>
      </c>
      <c r="AS171" s="17">
        <f t="shared" si="986"/>
        <v>155</v>
      </c>
      <c r="AT171" s="17">
        <v>6</v>
      </c>
      <c r="AU171">
        <f t="shared" si="906"/>
        <v>22</v>
      </c>
      <c r="AV171">
        <v>150</v>
      </c>
      <c r="AW171">
        <f t="shared" si="907"/>
        <v>25577.164799999999</v>
      </c>
      <c r="AX171">
        <f t="shared" si="1036"/>
        <v>138600000</v>
      </c>
      <c r="AY171">
        <f t="shared" si="908"/>
        <v>2310</v>
      </c>
      <c r="AZ171">
        <f t="shared" si="909"/>
        <v>4620</v>
      </c>
      <c r="BA171">
        <f t="shared" si="910"/>
        <v>31680</v>
      </c>
      <c r="BB171">
        <f t="shared" si="911"/>
        <v>1155</v>
      </c>
      <c r="BC171">
        <f t="shared" si="1037"/>
        <v>138600000</v>
      </c>
      <c r="BD171">
        <f t="shared" si="912"/>
        <v>0.29411764705882354</v>
      </c>
      <c r="BE171" s="27">
        <f t="shared" si="1038"/>
        <v>57149631</v>
      </c>
      <c r="BF171" s="30">
        <f t="shared" si="913"/>
        <v>0.34559999999999996</v>
      </c>
      <c r="BG171" s="27"/>
      <c r="BH171" s="27"/>
      <c r="BI171" s="27"/>
      <c r="CA171" s="20">
        <f t="shared" si="914"/>
        <v>190</v>
      </c>
      <c r="CB171" s="20">
        <f t="shared" si="915"/>
        <v>19000</v>
      </c>
    </row>
    <row r="172" spans="1:80" x14ac:dyDescent="0.15">
      <c r="A172">
        <v>1907</v>
      </c>
      <c r="B172" s="3" t="s">
        <v>126</v>
      </c>
      <c r="C172" s="4" t="s">
        <v>109</v>
      </c>
      <c r="D172" s="4" t="s">
        <v>110</v>
      </c>
      <c r="E172" s="5">
        <v>2</v>
      </c>
      <c r="F172" s="7" t="s">
        <v>143</v>
      </c>
      <c r="G172" s="5">
        <v>3</v>
      </c>
      <c r="H172" s="7" t="s">
        <v>193</v>
      </c>
      <c r="I172" s="5">
        <v>0</v>
      </c>
      <c r="J172" s="5">
        <v>0</v>
      </c>
      <c r="K172">
        <v>2</v>
      </c>
      <c r="L172">
        <v>1.5</v>
      </c>
      <c r="M172" s="5">
        <v>1.5</v>
      </c>
      <c r="N172" s="5">
        <v>10</v>
      </c>
      <c r="O172" s="5">
        <f t="shared" si="895"/>
        <v>26352</v>
      </c>
      <c r="P172" s="5">
        <f t="shared" si="896"/>
        <v>142800000</v>
      </c>
      <c r="Q172" s="5">
        <f t="shared" si="897"/>
        <v>2380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70071</v>
      </c>
      <c r="X172" s="6" t="s">
        <v>185</v>
      </c>
      <c r="Y172" s="5">
        <v>300</v>
      </c>
      <c r="Z172" s="5">
        <v>1</v>
      </c>
      <c r="AA172" s="5">
        <v>13434624</v>
      </c>
      <c r="AB172" s="16" t="s">
        <v>111</v>
      </c>
      <c r="AC172" s="7" t="s">
        <v>112</v>
      </c>
      <c r="AD172" s="7" t="s">
        <v>112</v>
      </c>
      <c r="AE172" s="7" t="s">
        <v>112</v>
      </c>
      <c r="AF172" s="6" t="s">
        <v>113</v>
      </c>
      <c r="AG172" s="26" t="str">
        <f t="shared" ref="AG172" si="1186">CM$10</f>
        <v>4,14,28,14,6,4,14,28,14,6</v>
      </c>
      <c r="AH172" s="26" t="str">
        <f t="shared" ref="AH172" si="1187">CN$10</f>
        <v>0,0,0,0,1,0,0,0,0,1</v>
      </c>
      <c r="AI172" s="26" t="str">
        <f t="shared" ref="AI172" si="1188">CO$10</f>
        <v>0,0,0,0,1,0,0,0,0,1</v>
      </c>
      <c r="AJ172" s="26" t="str">
        <f t="shared" ref="AJ172" si="1189">CP$10</f>
        <v>0,0,0,0,5,0,0,0,0,5</v>
      </c>
      <c r="AK172" s="26" t="str">
        <f t="shared" ref="AK172" si="1190">CQ$10</f>
        <v>200,1,1000,2,5,200,1,1000,2,5</v>
      </c>
      <c r="AL172" s="26" t="str">
        <f t="shared" ref="AL172" si="1191">CR$10</f>
        <v>5,5,5,5,5,5,5,5,5,5</v>
      </c>
      <c r="AM172" s="7">
        <v>2001</v>
      </c>
      <c r="AO172">
        <f t="shared" ref="AO172" si="1192">AQ172*100+7</f>
        <v>1907</v>
      </c>
      <c r="AP172">
        <v>168</v>
      </c>
      <c r="AQ172">
        <f t="shared" si="905"/>
        <v>19</v>
      </c>
      <c r="AR172" s="17">
        <v>7</v>
      </c>
      <c r="AS172" s="17">
        <f t="shared" si="986"/>
        <v>160</v>
      </c>
      <c r="AT172" s="17">
        <v>6</v>
      </c>
      <c r="AU172">
        <f t="shared" si="906"/>
        <v>22</v>
      </c>
      <c r="AV172">
        <v>150</v>
      </c>
      <c r="AW172">
        <f t="shared" si="907"/>
        <v>26352.230399999997</v>
      </c>
      <c r="AX172">
        <f t="shared" si="1036"/>
        <v>142800000.00000003</v>
      </c>
      <c r="AY172">
        <f t="shared" si="908"/>
        <v>2380</v>
      </c>
      <c r="AZ172">
        <f t="shared" si="909"/>
        <v>4760</v>
      </c>
      <c r="BA172">
        <f t="shared" si="910"/>
        <v>32640</v>
      </c>
      <c r="BB172">
        <f t="shared" si="911"/>
        <v>1190</v>
      </c>
      <c r="BC172">
        <f t="shared" si="1037"/>
        <v>142800000.00000003</v>
      </c>
      <c r="BD172">
        <f t="shared" si="912"/>
        <v>0.29411764705882354</v>
      </c>
      <c r="BE172" s="27">
        <f t="shared" si="1038"/>
        <v>60665724.000000015</v>
      </c>
      <c r="BF172" s="30">
        <f t="shared" si="913"/>
        <v>0.34559999999999996</v>
      </c>
      <c r="BG172" s="27"/>
      <c r="BH172" s="27"/>
      <c r="BI172" s="27"/>
      <c r="CA172" s="20">
        <f t="shared" si="914"/>
        <v>190</v>
      </c>
      <c r="CB172" s="20">
        <f t="shared" si="915"/>
        <v>19000</v>
      </c>
    </row>
    <row r="173" spans="1:80" x14ac:dyDescent="0.15">
      <c r="A173">
        <v>1908</v>
      </c>
      <c r="B173" s="3" t="s">
        <v>128</v>
      </c>
      <c r="C173" s="4" t="s">
        <v>109</v>
      </c>
      <c r="D173" s="4" t="s">
        <v>110</v>
      </c>
      <c r="E173" s="5">
        <v>5</v>
      </c>
      <c r="F173" s="7" t="s">
        <v>129</v>
      </c>
      <c r="G173" s="5">
        <v>2</v>
      </c>
      <c r="H173" s="7" t="s">
        <v>130</v>
      </c>
      <c r="I173" s="5">
        <v>0</v>
      </c>
      <c r="J173" s="5">
        <v>0</v>
      </c>
      <c r="K173">
        <v>2</v>
      </c>
      <c r="L173">
        <v>1.5</v>
      </c>
      <c r="M173" s="5">
        <v>1.5</v>
      </c>
      <c r="N173" s="5">
        <v>10</v>
      </c>
      <c r="O173" s="5">
        <f t="shared" si="895"/>
        <v>27127</v>
      </c>
      <c r="P173" s="5">
        <f t="shared" si="896"/>
        <v>147000000</v>
      </c>
      <c r="Q173" s="5">
        <f t="shared" si="897"/>
        <v>2450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70081</v>
      </c>
      <c r="X173" s="6" t="s">
        <v>186</v>
      </c>
      <c r="Y173" s="5">
        <v>300</v>
      </c>
      <c r="Z173" s="5">
        <v>1</v>
      </c>
      <c r="AA173" s="5">
        <v>14411376</v>
      </c>
      <c r="AB173" s="16" t="s">
        <v>111</v>
      </c>
      <c r="AC173" s="7" t="s">
        <v>112</v>
      </c>
      <c r="AD173" s="7" t="s">
        <v>112</v>
      </c>
      <c r="AE173" s="7" t="s">
        <v>112</v>
      </c>
      <c r="AF173" s="6" t="s">
        <v>113</v>
      </c>
      <c r="AG173" s="26" t="str">
        <f t="shared" ref="AG173" si="1193">CM$11</f>
        <v>4,28,6,28,6,4,28,6,28,6</v>
      </c>
      <c r="AH173" s="26" t="str">
        <f t="shared" ref="AH173" si="1194">CN$11</f>
        <v>0,0,1,0,1,0,0,1,0,1</v>
      </c>
      <c r="AI173" s="26" t="str">
        <f t="shared" ref="AI173" si="1195">CO$11</f>
        <v>0,0,1,0,1,0,0,1,0,1</v>
      </c>
      <c r="AJ173" s="26" t="str">
        <f t="shared" ref="AJ173" si="1196">CP$11</f>
        <v>0,0,5,0,5,0,0,5,0,5</v>
      </c>
      <c r="AK173" s="26" t="str">
        <f t="shared" ref="AK173" si="1197">CQ$11</f>
        <v>100,1000,5,1500,5,200,1000,5,1500,5</v>
      </c>
      <c r="AL173" s="26" t="str">
        <f t="shared" ref="AL173" si="1198">CR$11</f>
        <v>5,5,5,5,5,5,5,5,5,5</v>
      </c>
      <c r="AM173" s="7">
        <v>2001</v>
      </c>
      <c r="AO173">
        <f t="shared" ref="AO173" si="1199">AQ173*100+8</f>
        <v>1908</v>
      </c>
      <c r="AP173">
        <v>169</v>
      </c>
      <c r="AQ173">
        <f t="shared" si="905"/>
        <v>19</v>
      </c>
      <c r="AR173" s="17">
        <v>7</v>
      </c>
      <c r="AS173" s="17">
        <f t="shared" si="986"/>
        <v>165</v>
      </c>
      <c r="AT173" s="17">
        <v>6</v>
      </c>
      <c r="AU173">
        <f t="shared" si="906"/>
        <v>22</v>
      </c>
      <c r="AV173">
        <v>150</v>
      </c>
      <c r="AW173">
        <f t="shared" si="907"/>
        <v>27127.295999999998</v>
      </c>
      <c r="AX173">
        <f t="shared" si="1036"/>
        <v>147000000</v>
      </c>
      <c r="AY173">
        <f t="shared" si="908"/>
        <v>2450</v>
      </c>
      <c r="AZ173">
        <f t="shared" si="909"/>
        <v>4900</v>
      </c>
      <c r="BA173">
        <f t="shared" si="910"/>
        <v>33600</v>
      </c>
      <c r="BB173">
        <f t="shared" si="911"/>
        <v>1225</v>
      </c>
      <c r="BC173">
        <f t="shared" si="1037"/>
        <v>147000000</v>
      </c>
      <c r="BD173">
        <f t="shared" si="912"/>
        <v>0.29411764705882354</v>
      </c>
      <c r="BE173" s="27">
        <f t="shared" si="1038"/>
        <v>64286775.000000015</v>
      </c>
      <c r="BF173" s="30">
        <f t="shared" si="913"/>
        <v>0.34559999999999996</v>
      </c>
      <c r="BG173" s="27"/>
      <c r="BH173" s="27"/>
      <c r="BI173" s="27"/>
      <c r="CA173" s="20">
        <f t="shared" si="914"/>
        <v>190</v>
      </c>
      <c r="CB173" s="20">
        <f t="shared" si="915"/>
        <v>19000</v>
      </c>
    </row>
    <row r="174" spans="1:80" x14ac:dyDescent="0.15">
      <c r="A174">
        <v>1909</v>
      </c>
      <c r="B174" s="3" t="s">
        <v>132</v>
      </c>
      <c r="C174" s="4" t="s">
        <v>109</v>
      </c>
      <c r="D174" s="4" t="s">
        <v>110</v>
      </c>
      <c r="E174" s="5">
        <v>5</v>
      </c>
      <c r="F174" s="7" t="s">
        <v>140</v>
      </c>
      <c r="G174" s="5">
        <v>3</v>
      </c>
      <c r="H174" s="7" t="s">
        <v>140</v>
      </c>
      <c r="I174" s="5">
        <v>0</v>
      </c>
      <c r="J174" s="7">
        <v>0</v>
      </c>
      <c r="K174">
        <v>6</v>
      </c>
      <c r="L174">
        <v>1.5</v>
      </c>
      <c r="M174" s="5">
        <v>1.5</v>
      </c>
      <c r="N174" s="5">
        <v>10</v>
      </c>
      <c r="O174" s="5">
        <f t="shared" si="895"/>
        <v>27902</v>
      </c>
      <c r="P174" s="5">
        <f t="shared" si="896"/>
        <v>151200000</v>
      </c>
      <c r="Q174" s="5">
        <f t="shared" si="897"/>
        <v>2520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70091</v>
      </c>
      <c r="X174" s="6" t="s">
        <v>187</v>
      </c>
      <c r="Y174" s="5">
        <v>300</v>
      </c>
      <c r="Z174" s="5">
        <v>1</v>
      </c>
      <c r="AA174" s="5">
        <v>15422400</v>
      </c>
      <c r="AB174" s="16" t="s">
        <v>111</v>
      </c>
      <c r="AC174" s="7" t="s">
        <v>112</v>
      </c>
      <c r="AD174" s="7" t="s">
        <v>112</v>
      </c>
      <c r="AE174" s="7" t="s">
        <v>112</v>
      </c>
      <c r="AF174" s="6" t="s">
        <v>113</v>
      </c>
      <c r="AG174" s="26" t="str">
        <f t="shared" ref="AG174" si="1200">CM$12</f>
        <v>4,33,28,33,6,4,33,28,33,6</v>
      </c>
      <c r="AH174" s="26" t="str">
        <f t="shared" ref="AH174" si="1201">CN$12</f>
        <v>0,5,0,5,1,0,5,0,5,1</v>
      </c>
      <c r="AI174" s="26" t="str">
        <f t="shared" ref="AI174" si="1202">CO$12</f>
        <v>0,0,0,0,1,0,0,0,0,1</v>
      </c>
      <c r="AJ174" s="26" t="str">
        <f t="shared" ref="AJ174" si="1203">CP$12</f>
        <v>0,0,0,0,5,0,0,0,0,5</v>
      </c>
      <c r="AK174" s="26" t="str">
        <f t="shared" ref="AK174" si="1204">CQ$12</f>
        <v>100,1,1000,2,5,200,1,1000,2,5</v>
      </c>
      <c r="AL174" s="26" t="str">
        <f t="shared" ref="AL174" si="1205">CR$12</f>
        <v>5,5,5,5,5,5,5,5,5,5</v>
      </c>
      <c r="AM174" s="7">
        <v>2001</v>
      </c>
      <c r="AO174">
        <f t="shared" ref="AO174" si="1206">AQ174*100+9</f>
        <v>1909</v>
      </c>
      <c r="AP174">
        <v>170</v>
      </c>
      <c r="AQ174">
        <f t="shared" si="905"/>
        <v>19</v>
      </c>
      <c r="AR174" s="17">
        <v>7</v>
      </c>
      <c r="AS174" s="17">
        <f t="shared" si="986"/>
        <v>170</v>
      </c>
      <c r="AT174" s="17">
        <v>6</v>
      </c>
      <c r="AU174">
        <f t="shared" si="906"/>
        <v>22</v>
      </c>
      <c r="AV174">
        <v>150</v>
      </c>
      <c r="AW174">
        <f t="shared" si="907"/>
        <v>27902.361599999997</v>
      </c>
      <c r="AX174">
        <f t="shared" si="1036"/>
        <v>151200000</v>
      </c>
      <c r="AY174">
        <f t="shared" si="908"/>
        <v>2520</v>
      </c>
      <c r="AZ174">
        <f t="shared" si="909"/>
        <v>5040</v>
      </c>
      <c r="BA174">
        <f t="shared" si="910"/>
        <v>34560</v>
      </c>
      <c r="BB174">
        <f t="shared" si="911"/>
        <v>1260</v>
      </c>
      <c r="BC174">
        <f t="shared" si="1037"/>
        <v>151200000</v>
      </c>
      <c r="BD174">
        <f t="shared" si="912"/>
        <v>0.29411764705882354</v>
      </c>
      <c r="BE174" s="27">
        <f t="shared" si="1038"/>
        <v>68012784.000000015</v>
      </c>
      <c r="BF174" s="30">
        <f t="shared" si="913"/>
        <v>0.34559999999999996</v>
      </c>
      <c r="BG174" s="27"/>
      <c r="BH174" s="27"/>
      <c r="BI174" s="27"/>
      <c r="CA174" s="20">
        <f t="shared" si="914"/>
        <v>190</v>
      </c>
      <c r="CB174" s="20">
        <f t="shared" si="915"/>
        <v>19000</v>
      </c>
    </row>
    <row r="175" spans="1:80" x14ac:dyDescent="0.15">
      <c r="A175">
        <v>2001</v>
      </c>
      <c r="B175" s="3" t="s">
        <v>108</v>
      </c>
      <c r="C175" s="4" t="s">
        <v>109</v>
      </c>
      <c r="D175" s="4" t="s">
        <v>110</v>
      </c>
      <c r="E175" s="5">
        <v>3</v>
      </c>
      <c r="F175" s="7" t="s">
        <v>141</v>
      </c>
      <c r="G175" s="5">
        <v>2.5</v>
      </c>
      <c r="H175" s="7" t="s">
        <v>194</v>
      </c>
      <c r="I175" s="5">
        <v>0</v>
      </c>
      <c r="J175" s="5">
        <v>0</v>
      </c>
      <c r="K175">
        <v>2</v>
      </c>
      <c r="L175">
        <v>1.5</v>
      </c>
      <c r="M175" s="5">
        <v>1.5</v>
      </c>
      <c r="N175" s="5">
        <v>10</v>
      </c>
      <c r="O175" s="5">
        <f t="shared" si="895"/>
        <v>22516</v>
      </c>
      <c r="P175" s="5">
        <f t="shared" si="896"/>
        <v>121800000</v>
      </c>
      <c r="Q175" s="5">
        <f t="shared" si="897"/>
        <v>2030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70011</v>
      </c>
      <c r="X175" s="6" t="s">
        <v>179</v>
      </c>
      <c r="Y175" s="5">
        <v>300</v>
      </c>
      <c r="Z175" s="5">
        <v>1</v>
      </c>
      <c r="AA175" s="5">
        <v>16467696</v>
      </c>
      <c r="AB175" s="16" t="s">
        <v>111</v>
      </c>
      <c r="AC175" s="7" t="s">
        <v>112</v>
      </c>
      <c r="AD175" s="7" t="s">
        <v>112</v>
      </c>
      <c r="AE175" s="7" t="s">
        <v>112</v>
      </c>
      <c r="AF175" s="6" t="s">
        <v>113</v>
      </c>
      <c r="AG175" s="26" t="str">
        <f t="shared" ref="AG175" si="1207">CM$4</f>
        <v>4,33,28,33,6,4,33,28,33,6</v>
      </c>
      <c r="AH175" s="26" t="str">
        <f t="shared" ref="AH175" si="1208">CN$4</f>
        <v>0,8,0,8,1,0,8,0,8,1</v>
      </c>
      <c r="AI175" s="26" t="str">
        <f t="shared" ref="AI175" si="1209">CO$4</f>
        <v>0,0,0,0,1,0,0,0,0,1</v>
      </c>
      <c r="AJ175" s="26" t="str">
        <f t="shared" ref="AJ175" si="1210">CP$4</f>
        <v>0,0,0,0,5,0,0,0,0,5</v>
      </c>
      <c r="AK175" s="26" t="str">
        <f t="shared" ref="AK175" si="1211">CQ$4</f>
        <v>100,1,1000,2,5,200,1,1000,2,5</v>
      </c>
      <c r="AL175" s="26" t="str">
        <f t="shared" ref="AL175" si="1212">CR$4</f>
        <v>5,5,5,5,5,5,5,5,5,5</v>
      </c>
      <c r="AM175" s="7">
        <v>2001</v>
      </c>
      <c r="AO175">
        <f t="shared" ref="AO175" si="1213">AQ175*100+1</f>
        <v>2001</v>
      </c>
      <c r="AP175">
        <v>171</v>
      </c>
      <c r="AQ175">
        <f t="shared" si="905"/>
        <v>20</v>
      </c>
      <c r="AR175" s="17">
        <v>7</v>
      </c>
      <c r="AS175" s="17">
        <f t="shared" si="986"/>
        <v>135</v>
      </c>
      <c r="AT175" s="17">
        <v>6</v>
      </c>
      <c r="AU175">
        <f t="shared" si="906"/>
        <v>24</v>
      </c>
      <c r="AV175">
        <v>150</v>
      </c>
      <c r="AW175">
        <f t="shared" si="907"/>
        <v>22516.991999999998</v>
      </c>
      <c r="AX175">
        <f t="shared" si="1036"/>
        <v>121800000</v>
      </c>
      <c r="AY175">
        <f t="shared" si="908"/>
        <v>2030</v>
      </c>
      <c r="AZ175">
        <f t="shared" si="909"/>
        <v>4060</v>
      </c>
      <c r="BA175">
        <f t="shared" si="910"/>
        <v>27840</v>
      </c>
      <c r="BB175">
        <f t="shared" si="911"/>
        <v>1015</v>
      </c>
      <c r="BC175">
        <f t="shared" si="1037"/>
        <v>121800000</v>
      </c>
      <c r="BD175">
        <f t="shared" si="912"/>
        <v>0.29411764705882354</v>
      </c>
      <c r="BE175" s="27">
        <f t="shared" si="1038"/>
        <v>44134839.000000007</v>
      </c>
      <c r="BF175" s="30">
        <f t="shared" si="913"/>
        <v>0.34799999999999998</v>
      </c>
      <c r="BG175" s="27"/>
      <c r="BH175" s="27"/>
      <c r="BI175" s="27"/>
      <c r="CA175" s="20">
        <f t="shared" si="914"/>
        <v>195</v>
      </c>
      <c r="CB175" s="20">
        <f t="shared" si="915"/>
        <v>19500</v>
      </c>
    </row>
    <row r="176" spans="1:80" x14ac:dyDescent="0.15">
      <c r="A176">
        <v>2002</v>
      </c>
      <c r="B176" s="3" t="s">
        <v>115</v>
      </c>
      <c r="C176" s="4" t="s">
        <v>109</v>
      </c>
      <c r="D176" s="6" t="s">
        <v>110</v>
      </c>
      <c r="E176" s="5">
        <v>3</v>
      </c>
      <c r="F176" s="7" t="s">
        <v>142</v>
      </c>
      <c r="G176" s="5">
        <v>3</v>
      </c>
      <c r="H176" s="7" t="s">
        <v>188</v>
      </c>
      <c r="I176" s="5">
        <v>0</v>
      </c>
      <c r="J176" s="5">
        <v>0</v>
      </c>
      <c r="K176">
        <v>2</v>
      </c>
      <c r="L176">
        <v>1.5</v>
      </c>
      <c r="M176" s="5">
        <v>1.5</v>
      </c>
      <c r="N176" s="5">
        <v>10</v>
      </c>
      <c r="O176" s="5">
        <f t="shared" si="895"/>
        <v>23293</v>
      </c>
      <c r="P176" s="5">
        <f t="shared" si="896"/>
        <v>126000000</v>
      </c>
      <c r="Q176" s="5">
        <f t="shared" si="897"/>
        <v>2100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70021</v>
      </c>
      <c r="X176" s="6" t="s">
        <v>180</v>
      </c>
      <c r="Y176" s="5">
        <v>300</v>
      </c>
      <c r="Z176" s="5">
        <v>1</v>
      </c>
      <c r="AA176" s="5">
        <v>9870336</v>
      </c>
      <c r="AB176" s="16" t="s">
        <v>111</v>
      </c>
      <c r="AC176" s="7" t="s">
        <v>112</v>
      </c>
      <c r="AD176" s="7" t="s">
        <v>112</v>
      </c>
      <c r="AE176" s="7" t="s">
        <v>112</v>
      </c>
      <c r="AF176" s="6" t="s">
        <v>113</v>
      </c>
      <c r="AG176" s="26" t="str">
        <f t="shared" ref="AG176" si="1214">CM$5</f>
        <v>4,33,28,33,6,4,33,28,33,6</v>
      </c>
      <c r="AH176" s="26" t="str">
        <f t="shared" ref="AH176" si="1215">CN$5</f>
        <v>0,7,0,7,1,0,7,0,7,1</v>
      </c>
      <c r="AI176" s="26" t="str">
        <f t="shared" ref="AI176" si="1216">CO$5</f>
        <v>0,0,0,0,1,0,0,0,0,1</v>
      </c>
      <c r="AJ176" s="26" t="str">
        <f t="shared" ref="AJ176" si="1217">CP$5</f>
        <v>0,0,0,0,5,0,0,0,0,5</v>
      </c>
      <c r="AK176" s="26" t="str">
        <f t="shared" ref="AK176" si="1218">CQ$5</f>
        <v>100,1,1000,2,5,200,1,1000,2,5</v>
      </c>
      <c r="AL176" s="26" t="str">
        <f t="shared" ref="AL176" si="1219">CR$5</f>
        <v>5,5,5,5,5,5,5,5,5,5</v>
      </c>
      <c r="AM176" s="7">
        <v>2001</v>
      </c>
      <c r="AO176">
        <f t="shared" ref="AO176" si="1220">AQ176*100+2</f>
        <v>2002</v>
      </c>
      <c r="AP176">
        <v>172</v>
      </c>
      <c r="AQ176">
        <f t="shared" si="905"/>
        <v>20</v>
      </c>
      <c r="AR176" s="17">
        <v>7</v>
      </c>
      <c r="AS176" s="17">
        <f t="shared" si="986"/>
        <v>140</v>
      </c>
      <c r="AT176" s="17">
        <v>6</v>
      </c>
      <c r="AU176">
        <f t="shared" si="906"/>
        <v>24</v>
      </c>
      <c r="AV176">
        <v>150</v>
      </c>
      <c r="AW176">
        <f t="shared" si="907"/>
        <v>23293.439999999999</v>
      </c>
      <c r="AX176">
        <f t="shared" si="1036"/>
        <v>126000000</v>
      </c>
      <c r="AY176">
        <f t="shared" si="908"/>
        <v>2100</v>
      </c>
      <c r="AZ176">
        <f t="shared" si="909"/>
        <v>4200</v>
      </c>
      <c r="BA176">
        <f t="shared" si="910"/>
        <v>28800</v>
      </c>
      <c r="BB176">
        <f t="shared" si="911"/>
        <v>1050</v>
      </c>
      <c r="BC176">
        <f t="shared" si="1037"/>
        <v>126000000</v>
      </c>
      <c r="BD176">
        <f t="shared" si="912"/>
        <v>0.29411764705882354</v>
      </c>
      <c r="BE176" s="27">
        <f t="shared" si="1038"/>
        <v>47231100</v>
      </c>
      <c r="BF176" s="30">
        <f t="shared" si="913"/>
        <v>0.34799999999999998</v>
      </c>
      <c r="BG176" s="27"/>
      <c r="BH176" s="27"/>
      <c r="BI176" s="27"/>
      <c r="CA176" s="20">
        <f t="shared" si="914"/>
        <v>195</v>
      </c>
      <c r="CB176" s="20">
        <f t="shared" si="915"/>
        <v>19500</v>
      </c>
    </row>
    <row r="177" spans="1:80" x14ac:dyDescent="0.15">
      <c r="A177">
        <v>2003</v>
      </c>
      <c r="B177" s="3" t="s">
        <v>117</v>
      </c>
      <c r="C177" s="4" t="s">
        <v>109</v>
      </c>
      <c r="D177" s="4" t="s">
        <v>110</v>
      </c>
      <c r="E177" s="5">
        <v>1</v>
      </c>
      <c r="F177" s="7" t="s">
        <v>144</v>
      </c>
      <c r="G177" s="5">
        <v>3</v>
      </c>
      <c r="H177" s="7" t="s">
        <v>189</v>
      </c>
      <c r="I177" s="5">
        <v>0</v>
      </c>
      <c r="J177" s="2">
        <v>0</v>
      </c>
      <c r="K177">
        <v>6</v>
      </c>
      <c r="L177">
        <v>1.5</v>
      </c>
      <c r="M177" s="5">
        <v>1.5</v>
      </c>
      <c r="N177" s="5">
        <v>10</v>
      </c>
      <c r="O177" s="5">
        <f t="shared" si="895"/>
        <v>24069</v>
      </c>
      <c r="P177" s="5">
        <f t="shared" si="896"/>
        <v>130200000</v>
      </c>
      <c r="Q177" s="5">
        <f t="shared" si="897"/>
        <v>2170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70031</v>
      </c>
      <c r="X177" s="6" t="s">
        <v>181</v>
      </c>
      <c r="Y177" s="5">
        <v>300</v>
      </c>
      <c r="Z177" s="5">
        <v>1</v>
      </c>
      <c r="AA177" s="5">
        <v>10710000</v>
      </c>
      <c r="AB177" s="16" t="s">
        <v>111</v>
      </c>
      <c r="AC177" s="7" t="s">
        <v>112</v>
      </c>
      <c r="AD177" s="7" t="s">
        <v>112</v>
      </c>
      <c r="AE177" s="7" t="s">
        <v>112</v>
      </c>
      <c r="AF177" s="6" t="s">
        <v>113</v>
      </c>
      <c r="AG177" s="26" t="str">
        <f t="shared" ref="AG177" si="1221">CM$6</f>
        <v>4,28,6,28,6,4,28,6,28,6</v>
      </c>
      <c r="AH177" s="26" t="str">
        <f t="shared" ref="AH177" si="1222">CN$6</f>
        <v>0,0,1,0,1,0,0,1,0,1</v>
      </c>
      <c r="AI177" s="26" t="str">
        <f t="shared" ref="AI177" si="1223">CO$6</f>
        <v>0,0,0,0,1,0,0,0,0,1</v>
      </c>
      <c r="AJ177" s="26" t="str">
        <f t="shared" ref="AJ177" si="1224">CP$6</f>
        <v>0,0,5,0,5,0,0,5,0,5</v>
      </c>
      <c r="AK177" s="26" t="str">
        <f t="shared" ref="AK177" si="1225">CQ$6</f>
        <v>100,1000,5,1500,5,200,1000,5,1500,5</v>
      </c>
      <c r="AL177" s="26" t="str">
        <f t="shared" ref="AL177" si="1226">CR$6</f>
        <v>5,5,5,5,5,5,5,5,5,5</v>
      </c>
      <c r="AM177" s="7">
        <v>2001</v>
      </c>
      <c r="AO177">
        <f t="shared" ref="AO177" si="1227">AQ177*100+3</f>
        <v>2003</v>
      </c>
      <c r="AP177">
        <v>173</v>
      </c>
      <c r="AQ177">
        <f t="shared" si="905"/>
        <v>20</v>
      </c>
      <c r="AR177" s="17">
        <v>7</v>
      </c>
      <c r="AS177" s="17">
        <f t="shared" si="986"/>
        <v>145</v>
      </c>
      <c r="AT177" s="17">
        <v>6</v>
      </c>
      <c r="AU177">
        <f t="shared" si="906"/>
        <v>24</v>
      </c>
      <c r="AV177">
        <v>150</v>
      </c>
      <c r="AW177">
        <f t="shared" si="907"/>
        <v>24069.887999999999</v>
      </c>
      <c r="AX177">
        <f t="shared" si="1036"/>
        <v>130200000.00000001</v>
      </c>
      <c r="AY177">
        <f t="shared" si="908"/>
        <v>2170</v>
      </c>
      <c r="AZ177">
        <f t="shared" si="909"/>
        <v>4340</v>
      </c>
      <c r="BA177">
        <f t="shared" si="910"/>
        <v>29760</v>
      </c>
      <c r="BB177">
        <f t="shared" si="911"/>
        <v>1085</v>
      </c>
      <c r="BC177">
        <f t="shared" si="1037"/>
        <v>130200000.00000001</v>
      </c>
      <c r="BD177">
        <f t="shared" si="912"/>
        <v>0.29411764705882354</v>
      </c>
      <c r="BE177" s="27">
        <f t="shared" si="1038"/>
        <v>50432319.000000015</v>
      </c>
      <c r="BF177" s="30">
        <f t="shared" si="913"/>
        <v>0.34799999999999998</v>
      </c>
      <c r="BG177" s="27"/>
      <c r="BH177" s="27"/>
      <c r="BI177" s="27"/>
      <c r="CA177" s="20">
        <f t="shared" si="914"/>
        <v>195</v>
      </c>
      <c r="CB177" s="20">
        <f t="shared" si="915"/>
        <v>19500</v>
      </c>
    </row>
    <row r="178" spans="1:80" x14ac:dyDescent="0.15">
      <c r="A178">
        <v>2004</v>
      </c>
      <c r="B178" s="3" t="s">
        <v>119</v>
      </c>
      <c r="C178" s="4" t="s">
        <v>109</v>
      </c>
      <c r="D178" s="6" t="s">
        <v>120</v>
      </c>
      <c r="E178" s="5">
        <v>3</v>
      </c>
      <c r="F178" s="7" t="s">
        <v>145</v>
      </c>
      <c r="G178" s="5">
        <v>3</v>
      </c>
      <c r="H178" s="7" t="s">
        <v>190</v>
      </c>
      <c r="I178" s="5">
        <v>0</v>
      </c>
      <c r="J178" s="5">
        <v>0</v>
      </c>
      <c r="K178">
        <v>2</v>
      </c>
      <c r="L178">
        <v>1.5</v>
      </c>
      <c r="M178" s="5">
        <v>1.5</v>
      </c>
      <c r="N178" s="5">
        <v>10</v>
      </c>
      <c r="O178" s="5">
        <f t="shared" si="895"/>
        <v>24846</v>
      </c>
      <c r="P178" s="5">
        <f t="shared" si="896"/>
        <v>134400000</v>
      </c>
      <c r="Q178" s="5">
        <f t="shared" si="897"/>
        <v>2240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70041</v>
      </c>
      <c r="X178" s="6" t="s">
        <v>182</v>
      </c>
      <c r="Y178" s="5">
        <v>300</v>
      </c>
      <c r="Z178" s="5">
        <v>1</v>
      </c>
      <c r="AA178" s="5">
        <v>11583936</v>
      </c>
      <c r="AB178" s="16" t="s">
        <v>111</v>
      </c>
      <c r="AC178" s="7" t="s">
        <v>112</v>
      </c>
      <c r="AD178" s="7" t="s">
        <v>112</v>
      </c>
      <c r="AE178" s="7" t="s">
        <v>112</v>
      </c>
      <c r="AF178" s="6" t="s">
        <v>113</v>
      </c>
      <c r="AG178" s="26" t="str">
        <f t="shared" ref="AG178" si="1228">CM$7</f>
        <v>4,14,28,14,6,4,14,28,14,6</v>
      </c>
      <c r="AH178" s="26" t="str">
        <f t="shared" ref="AH178" si="1229">CN$7</f>
        <v>0,0,0,0,1,0,0,0,0,1</v>
      </c>
      <c r="AI178" s="26" t="str">
        <f t="shared" ref="AI178" si="1230">CO$7</f>
        <v>0,0,0,0,1,0,0,0,0,1</v>
      </c>
      <c r="AJ178" s="26" t="str">
        <f t="shared" ref="AJ178" si="1231">CP$7</f>
        <v>0,0,0,0,5,0,0,0,0,5</v>
      </c>
      <c r="AK178" s="26" t="str">
        <f t="shared" ref="AK178" si="1232">CQ$7</f>
        <v>100,1,1000,2,5,200,1,1000,2,5</v>
      </c>
      <c r="AL178" s="26" t="str">
        <f t="shared" ref="AL178" si="1233">CR$7</f>
        <v>5,5,5,5,5,5,5,5,5,5</v>
      </c>
      <c r="AM178" s="7">
        <v>2001</v>
      </c>
      <c r="AO178">
        <f t="shared" ref="AO178" si="1234">AQ178*100+4</f>
        <v>2004</v>
      </c>
      <c r="AP178">
        <v>174</v>
      </c>
      <c r="AQ178">
        <f t="shared" si="905"/>
        <v>20</v>
      </c>
      <c r="AR178" s="17">
        <v>7</v>
      </c>
      <c r="AS178" s="17">
        <f t="shared" si="986"/>
        <v>150</v>
      </c>
      <c r="AT178" s="17">
        <v>6</v>
      </c>
      <c r="AU178">
        <f t="shared" si="906"/>
        <v>24</v>
      </c>
      <c r="AV178">
        <v>150</v>
      </c>
      <c r="AW178">
        <f t="shared" si="907"/>
        <v>24846.335999999996</v>
      </c>
      <c r="AX178">
        <f t="shared" si="1036"/>
        <v>134400000</v>
      </c>
      <c r="AY178">
        <f t="shared" si="908"/>
        <v>2240</v>
      </c>
      <c r="AZ178">
        <f t="shared" si="909"/>
        <v>4480</v>
      </c>
      <c r="BA178">
        <f t="shared" si="910"/>
        <v>30720</v>
      </c>
      <c r="BB178">
        <f t="shared" si="911"/>
        <v>1120</v>
      </c>
      <c r="BC178">
        <f t="shared" si="1037"/>
        <v>134400000</v>
      </c>
      <c r="BD178">
        <f t="shared" si="912"/>
        <v>0.29411764705882354</v>
      </c>
      <c r="BE178" s="27">
        <f t="shared" si="1038"/>
        <v>53738496.000000007</v>
      </c>
      <c r="BF178" s="30">
        <f t="shared" si="913"/>
        <v>0.34799999999999998</v>
      </c>
      <c r="BG178" s="27"/>
      <c r="BH178" s="27"/>
      <c r="BI178" s="27"/>
      <c r="CA178" s="20">
        <f t="shared" si="914"/>
        <v>195</v>
      </c>
      <c r="CB178" s="20">
        <f t="shared" si="915"/>
        <v>19500</v>
      </c>
    </row>
    <row r="179" spans="1:80" x14ac:dyDescent="0.15">
      <c r="A179">
        <v>2005</v>
      </c>
      <c r="B179" s="3" t="s">
        <v>122</v>
      </c>
      <c r="C179" s="4" t="s">
        <v>109</v>
      </c>
      <c r="D179" s="4" t="s">
        <v>110</v>
      </c>
      <c r="E179" s="5">
        <v>2</v>
      </c>
      <c r="F179" s="7" t="s">
        <v>146</v>
      </c>
      <c r="G179" s="5">
        <v>3</v>
      </c>
      <c r="H179" s="7" t="s">
        <v>191</v>
      </c>
      <c r="I179" s="5">
        <v>0</v>
      </c>
      <c r="J179" s="7" t="s">
        <v>148</v>
      </c>
      <c r="K179">
        <v>6</v>
      </c>
      <c r="L179">
        <v>1.5</v>
      </c>
      <c r="M179" s="5">
        <v>1.5</v>
      </c>
      <c r="N179" s="5">
        <v>10</v>
      </c>
      <c r="O179" s="5">
        <f t="shared" si="895"/>
        <v>25622</v>
      </c>
      <c r="P179" s="5">
        <f t="shared" si="896"/>
        <v>138600000</v>
      </c>
      <c r="Q179" s="5">
        <f t="shared" si="897"/>
        <v>2310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70051</v>
      </c>
      <c r="X179" s="6" t="s">
        <v>183</v>
      </c>
      <c r="Y179" s="5">
        <v>300</v>
      </c>
      <c r="Z179" s="5">
        <v>1</v>
      </c>
      <c r="AA179" s="5">
        <v>12492144</v>
      </c>
      <c r="AB179" s="16" t="s">
        <v>111</v>
      </c>
      <c r="AC179" s="7" t="s">
        <v>112</v>
      </c>
      <c r="AD179" s="7" t="s">
        <v>112</v>
      </c>
      <c r="AE179" s="7" t="s">
        <v>112</v>
      </c>
      <c r="AF179" s="6" t="s">
        <v>113</v>
      </c>
      <c r="AG179" s="26" t="str">
        <f t="shared" ref="AG179" si="1235">CM$8</f>
        <v>4,19,28,19,6,4,19,28,19,6</v>
      </c>
      <c r="AH179" s="26" t="str">
        <f t="shared" ref="AH179" si="1236">CN$8</f>
        <v>0,0,0,0,1,0,0,0,0,1</v>
      </c>
      <c r="AI179" s="26" t="str">
        <f t="shared" ref="AI179" si="1237">CO$8</f>
        <v>0,0,0,0,1,0,0,0,0,1</v>
      </c>
      <c r="AJ179" s="26" t="str">
        <f t="shared" ref="AJ179" si="1238">CP$8</f>
        <v>0,0,0,0,5,0,0,0,0,5</v>
      </c>
      <c r="AK179" s="26" t="str">
        <f t="shared" ref="AK179" si="1239">CQ$8</f>
        <v>200,100,1000,200,5,200,100,1000,200,5</v>
      </c>
      <c r="AL179" s="26" t="str">
        <f t="shared" ref="AL179" si="1240">CR$8</f>
        <v>5,5,5,5,5,5,5,5,5,5</v>
      </c>
      <c r="AM179" s="7">
        <v>2001</v>
      </c>
      <c r="AO179">
        <f t="shared" ref="AO179" si="1241">AQ179*100+5</f>
        <v>2005</v>
      </c>
      <c r="AP179">
        <v>175</v>
      </c>
      <c r="AQ179">
        <f t="shared" si="905"/>
        <v>20</v>
      </c>
      <c r="AR179" s="17">
        <v>7</v>
      </c>
      <c r="AS179" s="17">
        <f t="shared" si="986"/>
        <v>155</v>
      </c>
      <c r="AT179" s="17">
        <v>6</v>
      </c>
      <c r="AU179">
        <f t="shared" si="906"/>
        <v>24</v>
      </c>
      <c r="AV179">
        <v>150</v>
      </c>
      <c r="AW179">
        <f t="shared" si="907"/>
        <v>25622.783999999996</v>
      </c>
      <c r="AX179">
        <f t="shared" si="1036"/>
        <v>138600000</v>
      </c>
      <c r="AY179">
        <f t="shared" si="908"/>
        <v>2310</v>
      </c>
      <c r="AZ179">
        <f t="shared" si="909"/>
        <v>4620</v>
      </c>
      <c r="BA179">
        <f t="shared" si="910"/>
        <v>31680</v>
      </c>
      <c r="BB179">
        <f t="shared" si="911"/>
        <v>1155</v>
      </c>
      <c r="BC179">
        <f t="shared" si="1037"/>
        <v>138600000</v>
      </c>
      <c r="BD179">
        <f t="shared" si="912"/>
        <v>0.29411764705882354</v>
      </c>
      <c r="BE179" s="27">
        <f t="shared" si="1038"/>
        <v>57149631</v>
      </c>
      <c r="BF179" s="30">
        <f t="shared" si="913"/>
        <v>0.34799999999999998</v>
      </c>
      <c r="BG179" s="27"/>
      <c r="BH179" s="27"/>
      <c r="BI179" s="27"/>
      <c r="CA179" s="20">
        <f t="shared" si="914"/>
        <v>195</v>
      </c>
      <c r="CB179" s="20">
        <f t="shared" si="915"/>
        <v>19500</v>
      </c>
    </row>
    <row r="180" spans="1:80" x14ac:dyDescent="0.15">
      <c r="A180">
        <v>2006</v>
      </c>
      <c r="B180" s="3" t="s">
        <v>124</v>
      </c>
      <c r="C180" s="4" t="s">
        <v>109</v>
      </c>
      <c r="D180" s="6" t="s">
        <v>120</v>
      </c>
      <c r="E180" s="5">
        <v>1</v>
      </c>
      <c r="F180" s="7" t="s">
        <v>147</v>
      </c>
      <c r="G180" s="5">
        <v>3</v>
      </c>
      <c r="H180" s="7" t="s">
        <v>192</v>
      </c>
      <c r="I180" s="5">
        <v>0</v>
      </c>
      <c r="J180" s="7" t="s">
        <v>149</v>
      </c>
      <c r="K180">
        <v>6</v>
      </c>
      <c r="L180">
        <v>1.5</v>
      </c>
      <c r="M180" s="5">
        <v>1.5</v>
      </c>
      <c r="N180" s="5">
        <v>10</v>
      </c>
      <c r="O180" s="5">
        <f t="shared" si="895"/>
        <v>26399</v>
      </c>
      <c r="P180" s="5">
        <f t="shared" si="896"/>
        <v>142800000</v>
      </c>
      <c r="Q180" s="5">
        <f t="shared" si="897"/>
        <v>2380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70061</v>
      </c>
      <c r="X180" s="6" t="s">
        <v>184</v>
      </c>
      <c r="Y180" s="5">
        <v>300</v>
      </c>
      <c r="Z180" s="5">
        <v>1</v>
      </c>
      <c r="AA180" s="5">
        <v>13434624</v>
      </c>
      <c r="AB180" s="16" t="s">
        <v>111</v>
      </c>
      <c r="AC180" s="7" t="s">
        <v>112</v>
      </c>
      <c r="AD180" s="7" t="s">
        <v>112</v>
      </c>
      <c r="AE180" s="7" t="s">
        <v>112</v>
      </c>
      <c r="AF180" s="6" t="s">
        <v>113</v>
      </c>
      <c r="AG180" s="26" t="str">
        <f t="shared" ref="AG180" si="1242">CM$9</f>
        <v>4,33,28,33,6,4,33,28,33,6</v>
      </c>
      <c r="AH180" s="26" t="str">
        <f t="shared" ref="AH180" si="1243">CN$9</f>
        <v>0,6,0,6,1,0,6,0,6,1</v>
      </c>
      <c r="AI180" s="26" t="str">
        <f t="shared" ref="AI180" si="1244">CO$9</f>
        <v>0,0,0,0,1,0,0,0,0,1</v>
      </c>
      <c r="AJ180" s="26" t="str">
        <f t="shared" ref="AJ180" si="1245">CP$9</f>
        <v>0,0,0,0,5,0,0,0,0,5</v>
      </c>
      <c r="AK180" s="26" t="str">
        <f t="shared" ref="AK180" si="1246">CQ$9</f>
        <v>200,1,1000,2,5,200,1,1000,2,5</v>
      </c>
      <c r="AL180" s="26" t="str">
        <f t="shared" ref="AL180" si="1247">CR$9</f>
        <v>5,5,5,5,5,5,5,5,5,5</v>
      </c>
      <c r="AM180" s="7">
        <v>2001</v>
      </c>
      <c r="AO180">
        <f t="shared" ref="AO180" si="1248">AQ180*100+6</f>
        <v>2006</v>
      </c>
      <c r="AP180">
        <v>176</v>
      </c>
      <c r="AQ180">
        <f t="shared" si="905"/>
        <v>20</v>
      </c>
      <c r="AR180" s="17">
        <v>7</v>
      </c>
      <c r="AS180" s="17">
        <f t="shared" si="986"/>
        <v>160</v>
      </c>
      <c r="AT180" s="17">
        <v>6</v>
      </c>
      <c r="AU180">
        <f t="shared" si="906"/>
        <v>24</v>
      </c>
      <c r="AV180">
        <v>150</v>
      </c>
      <c r="AW180">
        <f t="shared" si="907"/>
        <v>26399.231999999996</v>
      </c>
      <c r="AX180">
        <f t="shared" si="1036"/>
        <v>142800000.00000003</v>
      </c>
      <c r="AY180">
        <f t="shared" si="908"/>
        <v>2380</v>
      </c>
      <c r="AZ180">
        <f t="shared" si="909"/>
        <v>4760</v>
      </c>
      <c r="BA180">
        <f t="shared" si="910"/>
        <v>32640</v>
      </c>
      <c r="BB180">
        <f t="shared" si="911"/>
        <v>1190</v>
      </c>
      <c r="BC180">
        <f t="shared" si="1037"/>
        <v>142800000.00000003</v>
      </c>
      <c r="BD180">
        <f t="shared" si="912"/>
        <v>0.29411764705882354</v>
      </c>
      <c r="BE180" s="27">
        <f t="shared" si="1038"/>
        <v>60665724.000000015</v>
      </c>
      <c r="BF180" s="30">
        <f t="shared" si="913"/>
        <v>0.34799999999999998</v>
      </c>
      <c r="BG180" s="27"/>
      <c r="BH180" s="27"/>
      <c r="BI180" s="27"/>
      <c r="CA180" s="20">
        <f t="shared" si="914"/>
        <v>195</v>
      </c>
      <c r="CB180" s="20">
        <f t="shared" si="915"/>
        <v>19500</v>
      </c>
    </row>
    <row r="181" spans="1:80" x14ac:dyDescent="0.15">
      <c r="A181">
        <v>2007</v>
      </c>
      <c r="B181" s="3" t="s">
        <v>126</v>
      </c>
      <c r="C181" s="4" t="s">
        <v>109</v>
      </c>
      <c r="D181" s="4" t="s">
        <v>110</v>
      </c>
      <c r="E181" s="5">
        <v>2</v>
      </c>
      <c r="F181" s="7" t="s">
        <v>143</v>
      </c>
      <c r="G181" s="5">
        <v>3</v>
      </c>
      <c r="H181" s="7" t="s">
        <v>193</v>
      </c>
      <c r="I181" s="5">
        <v>0</v>
      </c>
      <c r="J181" s="5">
        <v>0</v>
      </c>
      <c r="K181">
        <v>2</v>
      </c>
      <c r="L181">
        <v>1.5</v>
      </c>
      <c r="M181" s="5">
        <v>1.5</v>
      </c>
      <c r="N181" s="5">
        <v>10</v>
      </c>
      <c r="O181" s="5">
        <f t="shared" si="895"/>
        <v>27175</v>
      </c>
      <c r="P181" s="5">
        <f t="shared" si="896"/>
        <v>147000000</v>
      </c>
      <c r="Q181" s="5">
        <f t="shared" si="897"/>
        <v>2450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70071</v>
      </c>
      <c r="X181" s="6" t="s">
        <v>185</v>
      </c>
      <c r="Y181" s="5">
        <v>300</v>
      </c>
      <c r="Z181" s="5">
        <v>1</v>
      </c>
      <c r="AA181" s="5">
        <v>14411376</v>
      </c>
      <c r="AB181" s="16" t="s">
        <v>111</v>
      </c>
      <c r="AC181" s="7" t="s">
        <v>112</v>
      </c>
      <c r="AD181" s="7" t="s">
        <v>112</v>
      </c>
      <c r="AE181" s="7" t="s">
        <v>112</v>
      </c>
      <c r="AF181" s="6" t="s">
        <v>113</v>
      </c>
      <c r="AG181" s="26" t="str">
        <f t="shared" ref="AG181" si="1249">CM$10</f>
        <v>4,14,28,14,6,4,14,28,14,6</v>
      </c>
      <c r="AH181" s="26" t="str">
        <f t="shared" ref="AH181" si="1250">CN$10</f>
        <v>0,0,0,0,1,0,0,0,0,1</v>
      </c>
      <c r="AI181" s="26" t="str">
        <f t="shared" ref="AI181" si="1251">CO$10</f>
        <v>0,0,0,0,1,0,0,0,0,1</v>
      </c>
      <c r="AJ181" s="26" t="str">
        <f t="shared" ref="AJ181" si="1252">CP$10</f>
        <v>0,0,0,0,5,0,0,0,0,5</v>
      </c>
      <c r="AK181" s="26" t="str">
        <f t="shared" ref="AK181" si="1253">CQ$10</f>
        <v>200,1,1000,2,5,200,1,1000,2,5</v>
      </c>
      <c r="AL181" s="26" t="str">
        <f t="shared" ref="AL181" si="1254">CR$10</f>
        <v>5,5,5,5,5,5,5,5,5,5</v>
      </c>
      <c r="AM181" s="7">
        <v>2001</v>
      </c>
      <c r="AO181">
        <f t="shared" ref="AO181" si="1255">AQ181*100+7</f>
        <v>2007</v>
      </c>
      <c r="AP181">
        <v>177</v>
      </c>
      <c r="AQ181">
        <f t="shared" si="905"/>
        <v>20</v>
      </c>
      <c r="AR181" s="17">
        <v>7</v>
      </c>
      <c r="AS181" s="17">
        <f t="shared" si="986"/>
        <v>165</v>
      </c>
      <c r="AT181" s="17">
        <v>6</v>
      </c>
      <c r="AU181">
        <f t="shared" si="906"/>
        <v>24</v>
      </c>
      <c r="AV181">
        <v>150</v>
      </c>
      <c r="AW181">
        <f t="shared" si="907"/>
        <v>27175.679999999997</v>
      </c>
      <c r="AX181">
        <f t="shared" si="1036"/>
        <v>147000000</v>
      </c>
      <c r="AY181">
        <f t="shared" si="908"/>
        <v>2450</v>
      </c>
      <c r="AZ181">
        <f t="shared" si="909"/>
        <v>4900</v>
      </c>
      <c r="BA181">
        <f t="shared" si="910"/>
        <v>33600</v>
      </c>
      <c r="BB181">
        <f t="shared" si="911"/>
        <v>1225</v>
      </c>
      <c r="BC181">
        <f t="shared" si="1037"/>
        <v>147000000</v>
      </c>
      <c r="BD181">
        <f t="shared" si="912"/>
        <v>0.29411764705882354</v>
      </c>
      <c r="BE181" s="27">
        <f t="shared" si="1038"/>
        <v>64286775.000000015</v>
      </c>
      <c r="BF181" s="30">
        <f t="shared" si="913"/>
        <v>0.34799999999999998</v>
      </c>
      <c r="BG181" s="27"/>
      <c r="BH181" s="27"/>
      <c r="BI181" s="27"/>
      <c r="CA181" s="20">
        <f t="shared" si="914"/>
        <v>195</v>
      </c>
      <c r="CB181" s="20">
        <f t="shared" si="915"/>
        <v>19500</v>
      </c>
    </row>
    <row r="182" spans="1:80" x14ac:dyDescent="0.15">
      <c r="A182">
        <v>2008</v>
      </c>
      <c r="B182" s="3" t="s">
        <v>128</v>
      </c>
      <c r="C182" s="4" t="s">
        <v>109</v>
      </c>
      <c r="D182" s="4" t="s">
        <v>110</v>
      </c>
      <c r="E182" s="5">
        <v>5</v>
      </c>
      <c r="F182" s="7" t="s">
        <v>129</v>
      </c>
      <c r="G182" s="5">
        <v>2</v>
      </c>
      <c r="H182" s="7" t="s">
        <v>130</v>
      </c>
      <c r="I182" s="5">
        <v>0</v>
      </c>
      <c r="J182" s="5">
        <v>0</v>
      </c>
      <c r="K182">
        <v>2</v>
      </c>
      <c r="L182">
        <v>1.5</v>
      </c>
      <c r="M182" s="5">
        <v>1.5</v>
      </c>
      <c r="N182" s="5">
        <v>10</v>
      </c>
      <c r="O182" s="5">
        <f t="shared" si="895"/>
        <v>27952</v>
      </c>
      <c r="P182" s="5">
        <f t="shared" si="896"/>
        <v>151200000</v>
      </c>
      <c r="Q182" s="5">
        <f t="shared" si="897"/>
        <v>2520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70081</v>
      </c>
      <c r="X182" s="6" t="s">
        <v>186</v>
      </c>
      <c r="Y182" s="5">
        <v>300</v>
      </c>
      <c r="Z182" s="5">
        <v>1</v>
      </c>
      <c r="AA182" s="5">
        <v>15422400</v>
      </c>
      <c r="AB182" s="16" t="s">
        <v>111</v>
      </c>
      <c r="AC182" s="7" t="s">
        <v>112</v>
      </c>
      <c r="AD182" s="7" t="s">
        <v>112</v>
      </c>
      <c r="AE182" s="7" t="s">
        <v>112</v>
      </c>
      <c r="AF182" s="6" t="s">
        <v>113</v>
      </c>
      <c r="AG182" s="26" t="str">
        <f t="shared" ref="AG182" si="1256">CM$11</f>
        <v>4,28,6,28,6,4,28,6,28,6</v>
      </c>
      <c r="AH182" s="26" t="str">
        <f t="shared" ref="AH182" si="1257">CN$11</f>
        <v>0,0,1,0,1,0,0,1,0,1</v>
      </c>
      <c r="AI182" s="26" t="str">
        <f t="shared" ref="AI182" si="1258">CO$11</f>
        <v>0,0,1,0,1,0,0,1,0,1</v>
      </c>
      <c r="AJ182" s="26" t="str">
        <f t="shared" ref="AJ182" si="1259">CP$11</f>
        <v>0,0,5,0,5,0,0,5,0,5</v>
      </c>
      <c r="AK182" s="26" t="str">
        <f t="shared" ref="AK182" si="1260">CQ$11</f>
        <v>100,1000,5,1500,5,200,1000,5,1500,5</v>
      </c>
      <c r="AL182" s="26" t="str">
        <f t="shared" ref="AL182" si="1261">CR$11</f>
        <v>5,5,5,5,5,5,5,5,5,5</v>
      </c>
      <c r="AM182" s="7">
        <v>2001</v>
      </c>
      <c r="AO182">
        <f t="shared" ref="AO182" si="1262">AQ182*100+8</f>
        <v>2008</v>
      </c>
      <c r="AP182">
        <v>178</v>
      </c>
      <c r="AQ182">
        <f t="shared" si="905"/>
        <v>20</v>
      </c>
      <c r="AR182" s="17">
        <v>7</v>
      </c>
      <c r="AS182" s="17">
        <f t="shared" si="986"/>
        <v>170</v>
      </c>
      <c r="AT182" s="17">
        <v>6</v>
      </c>
      <c r="AU182">
        <f t="shared" si="906"/>
        <v>24</v>
      </c>
      <c r="AV182">
        <v>150</v>
      </c>
      <c r="AW182">
        <f t="shared" si="907"/>
        <v>27952.127999999997</v>
      </c>
      <c r="AX182">
        <f t="shared" si="1036"/>
        <v>151200000</v>
      </c>
      <c r="AY182">
        <f t="shared" si="908"/>
        <v>2520</v>
      </c>
      <c r="AZ182">
        <f t="shared" si="909"/>
        <v>5040</v>
      </c>
      <c r="BA182">
        <f t="shared" si="910"/>
        <v>34560</v>
      </c>
      <c r="BB182">
        <f t="shared" si="911"/>
        <v>1260</v>
      </c>
      <c r="BC182">
        <f t="shared" si="1037"/>
        <v>151200000</v>
      </c>
      <c r="BD182">
        <f t="shared" si="912"/>
        <v>0.29411764705882354</v>
      </c>
      <c r="BE182" s="27">
        <f t="shared" si="1038"/>
        <v>68012784.000000015</v>
      </c>
      <c r="BF182" s="30">
        <f t="shared" si="913"/>
        <v>0.34799999999999998</v>
      </c>
      <c r="BG182" s="27"/>
      <c r="BH182" s="27"/>
      <c r="BI182" s="27"/>
      <c r="CA182" s="20">
        <f t="shared" si="914"/>
        <v>195</v>
      </c>
      <c r="CB182" s="20">
        <f t="shared" si="915"/>
        <v>19500</v>
      </c>
    </row>
    <row r="183" spans="1:80" x14ac:dyDescent="0.15">
      <c r="A183">
        <v>2009</v>
      </c>
      <c r="B183" s="3" t="s">
        <v>132</v>
      </c>
      <c r="C183" s="4" t="s">
        <v>109</v>
      </c>
      <c r="D183" s="4" t="s">
        <v>110</v>
      </c>
      <c r="E183" s="5">
        <v>5</v>
      </c>
      <c r="F183" s="7" t="s">
        <v>140</v>
      </c>
      <c r="G183" s="5">
        <v>3</v>
      </c>
      <c r="H183" s="7" t="s">
        <v>140</v>
      </c>
      <c r="I183" s="5">
        <v>0</v>
      </c>
      <c r="J183" s="7">
        <v>0</v>
      </c>
      <c r="K183">
        <v>6</v>
      </c>
      <c r="L183">
        <v>1.5</v>
      </c>
      <c r="M183" s="5">
        <v>1.5</v>
      </c>
      <c r="N183" s="5">
        <v>10</v>
      </c>
      <c r="O183" s="5">
        <f t="shared" si="895"/>
        <v>28728</v>
      </c>
      <c r="P183" s="5">
        <f t="shared" si="896"/>
        <v>155400000</v>
      </c>
      <c r="Q183" s="5">
        <f t="shared" si="897"/>
        <v>2590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70091</v>
      </c>
      <c r="X183" s="6" t="s">
        <v>187</v>
      </c>
      <c r="Y183" s="5">
        <v>300</v>
      </c>
      <c r="Z183" s="5">
        <v>1</v>
      </c>
      <c r="AA183" s="5">
        <v>16467696</v>
      </c>
      <c r="AB183" s="16" t="s">
        <v>111</v>
      </c>
      <c r="AC183" s="7" t="s">
        <v>112</v>
      </c>
      <c r="AD183" s="7" t="s">
        <v>112</v>
      </c>
      <c r="AE183" s="7" t="s">
        <v>112</v>
      </c>
      <c r="AF183" s="6" t="s">
        <v>113</v>
      </c>
      <c r="AG183" s="26" t="str">
        <f t="shared" ref="AG183" si="1263">CM$12</f>
        <v>4,33,28,33,6,4,33,28,33,6</v>
      </c>
      <c r="AH183" s="26" t="str">
        <f t="shared" ref="AH183" si="1264">CN$12</f>
        <v>0,5,0,5,1,0,5,0,5,1</v>
      </c>
      <c r="AI183" s="26" t="str">
        <f t="shared" ref="AI183" si="1265">CO$12</f>
        <v>0,0,0,0,1,0,0,0,0,1</v>
      </c>
      <c r="AJ183" s="26" t="str">
        <f t="shared" ref="AJ183" si="1266">CP$12</f>
        <v>0,0,0,0,5,0,0,0,0,5</v>
      </c>
      <c r="AK183" s="26" t="str">
        <f t="shared" ref="AK183" si="1267">CQ$12</f>
        <v>100,1,1000,2,5,200,1,1000,2,5</v>
      </c>
      <c r="AL183" s="26" t="str">
        <f t="shared" ref="AL183" si="1268">CR$12</f>
        <v>5,5,5,5,5,5,5,5,5,5</v>
      </c>
      <c r="AM183" s="7">
        <v>2001</v>
      </c>
      <c r="AO183">
        <f t="shared" ref="AO183" si="1269">AQ183*100+9</f>
        <v>2009</v>
      </c>
      <c r="AP183">
        <v>179</v>
      </c>
      <c r="AQ183">
        <f t="shared" si="905"/>
        <v>20</v>
      </c>
      <c r="AR183" s="17">
        <v>7</v>
      </c>
      <c r="AS183" s="17">
        <f t="shared" si="986"/>
        <v>175</v>
      </c>
      <c r="AT183" s="17">
        <v>6</v>
      </c>
      <c r="AU183">
        <f t="shared" si="906"/>
        <v>24</v>
      </c>
      <c r="AV183">
        <v>150</v>
      </c>
      <c r="AW183">
        <f t="shared" si="907"/>
        <v>28728.575999999997</v>
      </c>
      <c r="AX183">
        <f t="shared" si="1036"/>
        <v>155400000.00000003</v>
      </c>
      <c r="AY183">
        <f t="shared" si="908"/>
        <v>2590</v>
      </c>
      <c r="AZ183">
        <f t="shared" si="909"/>
        <v>5180</v>
      </c>
      <c r="BA183">
        <f t="shared" si="910"/>
        <v>35520</v>
      </c>
      <c r="BB183">
        <f t="shared" si="911"/>
        <v>1295</v>
      </c>
      <c r="BC183">
        <f t="shared" si="1037"/>
        <v>155400000.00000003</v>
      </c>
      <c r="BD183">
        <f t="shared" si="912"/>
        <v>0.29411764705882354</v>
      </c>
      <c r="BE183" s="27">
        <f t="shared" si="1038"/>
        <v>71843751.00000003</v>
      </c>
      <c r="BF183" s="30">
        <f t="shared" si="913"/>
        <v>0.34799999999999998</v>
      </c>
      <c r="BG183" s="27"/>
      <c r="BH183" s="27"/>
      <c r="BI183" s="27"/>
      <c r="CA183" s="20">
        <f t="shared" si="914"/>
        <v>195</v>
      </c>
      <c r="CB183" s="20">
        <f t="shared" si="915"/>
        <v>19500</v>
      </c>
    </row>
    <row r="184" spans="1:80" x14ac:dyDescent="0.15">
      <c r="A184">
        <v>2101</v>
      </c>
      <c r="B184" s="3" t="s">
        <v>108</v>
      </c>
      <c r="C184" s="4" t="s">
        <v>109</v>
      </c>
      <c r="D184" s="4" t="s">
        <v>110</v>
      </c>
      <c r="E184" s="5">
        <v>3</v>
      </c>
      <c r="F184" s="7" t="s">
        <v>141</v>
      </c>
      <c r="G184" s="5">
        <v>2.5</v>
      </c>
      <c r="H184" s="7" t="s">
        <v>194</v>
      </c>
      <c r="I184" s="5">
        <v>0</v>
      </c>
      <c r="J184" s="5">
        <v>0</v>
      </c>
      <c r="K184">
        <v>2</v>
      </c>
      <c r="L184">
        <v>1.5</v>
      </c>
      <c r="M184" s="5">
        <v>1.5</v>
      </c>
      <c r="N184" s="5">
        <v>10</v>
      </c>
      <c r="O184" s="5">
        <f t="shared" si="895"/>
        <v>25668</v>
      </c>
      <c r="P184" s="5">
        <f t="shared" si="896"/>
        <v>142560000</v>
      </c>
      <c r="Q184" s="5">
        <f t="shared" si="897"/>
        <v>2376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70011</v>
      </c>
      <c r="X184" s="6" t="s">
        <v>179</v>
      </c>
      <c r="Y184" s="5">
        <v>300</v>
      </c>
      <c r="Z184" s="5">
        <v>1</v>
      </c>
      <c r="AA184" s="5">
        <v>21232189</v>
      </c>
      <c r="AB184" s="16" t="s">
        <v>111</v>
      </c>
      <c r="AC184" s="7" t="s">
        <v>112</v>
      </c>
      <c r="AD184" s="7" t="s">
        <v>112</v>
      </c>
      <c r="AE184" s="7" t="s">
        <v>112</v>
      </c>
      <c r="AF184" s="6" t="s">
        <v>113</v>
      </c>
      <c r="AG184" s="26" t="str">
        <f t="shared" ref="AG184" si="1270">CM$4</f>
        <v>4,33,28,33,6,4,33,28,33,6</v>
      </c>
      <c r="AH184" s="26" t="str">
        <f t="shared" ref="AH184" si="1271">CN$4</f>
        <v>0,8,0,8,1,0,8,0,8,1</v>
      </c>
      <c r="AI184" s="26" t="str">
        <f t="shared" ref="AI184" si="1272">CO$4</f>
        <v>0,0,0,0,1,0,0,0,0,1</v>
      </c>
      <c r="AJ184" s="26" t="str">
        <f t="shared" ref="AJ184" si="1273">CP$4</f>
        <v>0,0,0,0,5,0,0,0,0,5</v>
      </c>
      <c r="AK184" s="26" t="str">
        <f t="shared" ref="AK184" si="1274">CQ$4</f>
        <v>100,1,1000,2,5,200,1,1000,2,5</v>
      </c>
      <c r="AL184" s="26" t="str">
        <f t="shared" ref="AL184" si="1275">CR$4</f>
        <v>5,5,5,5,5,5,5,5,5,5</v>
      </c>
      <c r="AM184" s="7">
        <v>2001</v>
      </c>
      <c r="AO184">
        <f t="shared" ref="AO184" si="1276">AQ184*100+1</f>
        <v>2101</v>
      </c>
      <c r="AP184">
        <v>180</v>
      </c>
      <c r="AQ184">
        <f t="shared" si="905"/>
        <v>21</v>
      </c>
      <c r="AR184" s="17">
        <v>8</v>
      </c>
      <c r="AS184" s="17">
        <f t="shared" si="986"/>
        <v>140</v>
      </c>
      <c r="AT184" s="17">
        <v>7</v>
      </c>
      <c r="AU184">
        <f t="shared" si="906"/>
        <v>24</v>
      </c>
      <c r="AV184">
        <v>150</v>
      </c>
      <c r="AW184">
        <f t="shared" si="907"/>
        <v>25668.403200000001</v>
      </c>
      <c r="AX184">
        <f t="shared" si="1036"/>
        <v>142560000</v>
      </c>
      <c r="AY184">
        <f t="shared" si="908"/>
        <v>2376</v>
      </c>
      <c r="AZ184">
        <f t="shared" si="909"/>
        <v>4752</v>
      </c>
      <c r="BA184">
        <f t="shared" si="910"/>
        <v>31680.000000000004</v>
      </c>
      <c r="BB184">
        <f t="shared" si="911"/>
        <v>1188</v>
      </c>
      <c r="BC184">
        <f t="shared" si="1037"/>
        <v>142560000</v>
      </c>
      <c r="BD184">
        <f t="shared" si="912"/>
        <v>0.29411764705882354</v>
      </c>
      <c r="BE184" s="27">
        <f t="shared" si="1038"/>
        <v>60461976.960000008</v>
      </c>
      <c r="BF184" s="30">
        <f t="shared" si="913"/>
        <v>0.35039999999999999</v>
      </c>
      <c r="BG184" s="27"/>
      <c r="BH184" s="27"/>
      <c r="BI184" s="27"/>
      <c r="CA184" s="20">
        <f t="shared" si="914"/>
        <v>200</v>
      </c>
      <c r="CB184" s="20">
        <f t="shared" si="915"/>
        <v>20000</v>
      </c>
    </row>
    <row r="185" spans="1:80" x14ac:dyDescent="0.15">
      <c r="A185">
        <v>2102</v>
      </c>
      <c r="B185" s="3" t="s">
        <v>115</v>
      </c>
      <c r="C185" s="4" t="s">
        <v>109</v>
      </c>
      <c r="D185" s="6" t="s">
        <v>110</v>
      </c>
      <c r="E185" s="5">
        <v>3</v>
      </c>
      <c r="F185" s="7" t="s">
        <v>142</v>
      </c>
      <c r="G185" s="5">
        <v>3</v>
      </c>
      <c r="H185" s="7" t="s">
        <v>188</v>
      </c>
      <c r="I185" s="5">
        <v>0</v>
      </c>
      <c r="J185" s="5">
        <v>0</v>
      </c>
      <c r="K185">
        <v>2</v>
      </c>
      <c r="L185">
        <v>1.5</v>
      </c>
      <c r="M185" s="5">
        <v>1.5</v>
      </c>
      <c r="N185" s="5">
        <v>10</v>
      </c>
      <c r="O185" s="5">
        <f t="shared" si="895"/>
        <v>26524</v>
      </c>
      <c r="P185" s="5">
        <f t="shared" si="896"/>
        <v>147312000</v>
      </c>
      <c r="Q185" s="5">
        <f t="shared" si="897"/>
        <v>2455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70021</v>
      </c>
      <c r="X185" s="6" t="s">
        <v>180</v>
      </c>
      <c r="Y185" s="5">
        <v>300</v>
      </c>
      <c r="Z185" s="5">
        <v>1</v>
      </c>
      <c r="AA185" s="5">
        <v>12959100</v>
      </c>
      <c r="AB185" s="16" t="s">
        <v>111</v>
      </c>
      <c r="AC185" s="7" t="s">
        <v>112</v>
      </c>
      <c r="AD185" s="7" t="s">
        <v>112</v>
      </c>
      <c r="AE185" s="7" t="s">
        <v>112</v>
      </c>
      <c r="AF185" s="6" t="s">
        <v>113</v>
      </c>
      <c r="AG185" s="26" t="str">
        <f t="shared" ref="AG185" si="1277">CM$5</f>
        <v>4,33,28,33,6,4,33,28,33,6</v>
      </c>
      <c r="AH185" s="26" t="str">
        <f t="shared" ref="AH185" si="1278">CN$5</f>
        <v>0,7,0,7,1,0,7,0,7,1</v>
      </c>
      <c r="AI185" s="26" t="str">
        <f t="shared" ref="AI185" si="1279">CO$5</f>
        <v>0,0,0,0,1,0,0,0,0,1</v>
      </c>
      <c r="AJ185" s="26" t="str">
        <f t="shared" ref="AJ185" si="1280">CP$5</f>
        <v>0,0,0,0,5,0,0,0,0,5</v>
      </c>
      <c r="AK185" s="26" t="str">
        <f t="shared" ref="AK185" si="1281">CQ$5</f>
        <v>100,1,1000,2,5,200,1,1000,2,5</v>
      </c>
      <c r="AL185" s="26" t="str">
        <f t="shared" ref="AL185" si="1282">CR$5</f>
        <v>5,5,5,5,5,5,5,5,5,5</v>
      </c>
      <c r="AM185" s="7">
        <v>2001</v>
      </c>
      <c r="AO185">
        <f t="shared" ref="AO185" si="1283">AQ185*100+2</f>
        <v>2102</v>
      </c>
      <c r="AP185">
        <v>181</v>
      </c>
      <c r="AQ185">
        <f t="shared" si="905"/>
        <v>21</v>
      </c>
      <c r="AR185" s="17">
        <v>8</v>
      </c>
      <c r="AS185" s="17">
        <f t="shared" si="986"/>
        <v>145</v>
      </c>
      <c r="AT185" s="17">
        <v>7</v>
      </c>
      <c r="AU185">
        <f t="shared" si="906"/>
        <v>24</v>
      </c>
      <c r="AV185">
        <v>150</v>
      </c>
      <c r="AW185">
        <f t="shared" si="907"/>
        <v>26524.016640000005</v>
      </c>
      <c r="AX185">
        <f t="shared" si="1036"/>
        <v>147312000.00000003</v>
      </c>
      <c r="AY185">
        <f t="shared" si="908"/>
        <v>2455.2000000000003</v>
      </c>
      <c r="AZ185">
        <f t="shared" si="909"/>
        <v>4910.4000000000005</v>
      </c>
      <c r="BA185">
        <f t="shared" si="910"/>
        <v>32736.000000000004</v>
      </c>
      <c r="BB185">
        <f t="shared" si="911"/>
        <v>1227.6000000000001</v>
      </c>
      <c r="BC185">
        <f t="shared" si="1037"/>
        <v>147312000.00000003</v>
      </c>
      <c r="BD185">
        <f t="shared" si="912"/>
        <v>0.29411764705882354</v>
      </c>
      <c r="BE185" s="27">
        <f t="shared" si="1038"/>
        <v>64559955.398400024</v>
      </c>
      <c r="BF185" s="30">
        <f t="shared" si="913"/>
        <v>0.35039999999999999</v>
      </c>
      <c r="BG185" s="27"/>
      <c r="BH185" s="27"/>
      <c r="BI185" s="27"/>
      <c r="CA185" s="20">
        <f t="shared" si="914"/>
        <v>200</v>
      </c>
      <c r="CB185" s="20">
        <f t="shared" si="915"/>
        <v>20000</v>
      </c>
    </row>
    <row r="186" spans="1:80" x14ac:dyDescent="0.15">
      <c r="A186">
        <v>2103</v>
      </c>
      <c r="B186" s="3" t="s">
        <v>117</v>
      </c>
      <c r="C186" s="4" t="s">
        <v>109</v>
      </c>
      <c r="D186" s="4" t="s">
        <v>110</v>
      </c>
      <c r="E186" s="5">
        <v>1</v>
      </c>
      <c r="F186" s="7" t="s">
        <v>144</v>
      </c>
      <c r="G186" s="5">
        <v>3</v>
      </c>
      <c r="H186" s="7" t="s">
        <v>189</v>
      </c>
      <c r="I186" s="5">
        <v>0</v>
      </c>
      <c r="J186" s="2">
        <v>0</v>
      </c>
      <c r="K186">
        <v>6</v>
      </c>
      <c r="L186">
        <v>1.5</v>
      </c>
      <c r="M186" s="5">
        <v>1.5</v>
      </c>
      <c r="N186" s="5">
        <v>10</v>
      </c>
      <c r="O186" s="5">
        <f t="shared" si="895"/>
        <v>27379</v>
      </c>
      <c r="P186" s="5">
        <f t="shared" si="896"/>
        <v>152064000</v>
      </c>
      <c r="Q186" s="5">
        <f t="shared" si="897"/>
        <v>2534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70031</v>
      </c>
      <c r="X186" s="6" t="s">
        <v>181</v>
      </c>
      <c r="Y186" s="5">
        <v>300</v>
      </c>
      <c r="Z186" s="5">
        <v>1</v>
      </c>
      <c r="AA186" s="5">
        <v>14016563</v>
      </c>
      <c r="AB186" s="16" t="s">
        <v>111</v>
      </c>
      <c r="AC186" s="7" t="s">
        <v>112</v>
      </c>
      <c r="AD186" s="7" t="s">
        <v>112</v>
      </c>
      <c r="AE186" s="7" t="s">
        <v>112</v>
      </c>
      <c r="AF186" s="6" t="s">
        <v>113</v>
      </c>
      <c r="AG186" s="26" t="str">
        <f t="shared" ref="AG186" si="1284">CM$6</f>
        <v>4,28,6,28,6,4,28,6,28,6</v>
      </c>
      <c r="AH186" s="26" t="str">
        <f t="shared" ref="AH186" si="1285">CN$6</f>
        <v>0,0,1,0,1,0,0,1,0,1</v>
      </c>
      <c r="AI186" s="26" t="str">
        <f t="shared" ref="AI186" si="1286">CO$6</f>
        <v>0,0,0,0,1,0,0,0,0,1</v>
      </c>
      <c r="AJ186" s="26" t="str">
        <f t="shared" ref="AJ186" si="1287">CP$6</f>
        <v>0,0,5,0,5,0,0,5,0,5</v>
      </c>
      <c r="AK186" s="26" t="str">
        <f t="shared" ref="AK186" si="1288">CQ$6</f>
        <v>100,1000,5,1500,5,200,1000,5,1500,5</v>
      </c>
      <c r="AL186" s="26" t="str">
        <f t="shared" ref="AL186" si="1289">CR$6</f>
        <v>5,5,5,5,5,5,5,5,5,5</v>
      </c>
      <c r="AM186" s="7">
        <v>2001</v>
      </c>
      <c r="AO186">
        <f t="shared" ref="AO186" si="1290">AQ186*100+3</f>
        <v>2103</v>
      </c>
      <c r="AP186">
        <v>182</v>
      </c>
      <c r="AQ186">
        <f t="shared" si="905"/>
        <v>21</v>
      </c>
      <c r="AR186" s="17">
        <v>8</v>
      </c>
      <c r="AS186" s="17">
        <f t="shared" si="986"/>
        <v>150</v>
      </c>
      <c r="AT186" s="17">
        <v>7</v>
      </c>
      <c r="AU186">
        <f t="shared" si="906"/>
        <v>24</v>
      </c>
      <c r="AV186">
        <v>150</v>
      </c>
      <c r="AW186">
        <f t="shared" si="907"/>
        <v>27379.630080000003</v>
      </c>
      <c r="AX186">
        <f t="shared" si="1036"/>
        <v>152064000</v>
      </c>
      <c r="AY186">
        <f t="shared" si="908"/>
        <v>2534.4</v>
      </c>
      <c r="AZ186">
        <f t="shared" si="909"/>
        <v>5068.8</v>
      </c>
      <c r="BA186">
        <f t="shared" si="910"/>
        <v>33792</v>
      </c>
      <c r="BB186">
        <f t="shared" si="911"/>
        <v>1267.2</v>
      </c>
      <c r="BC186">
        <f t="shared" si="1037"/>
        <v>152064000</v>
      </c>
      <c r="BD186">
        <f t="shared" si="912"/>
        <v>0.29411764705882348</v>
      </c>
      <c r="BE186" s="27">
        <f t="shared" si="1038"/>
        <v>68792293.785600007</v>
      </c>
      <c r="BF186" s="30">
        <f t="shared" si="913"/>
        <v>0.35039999999999999</v>
      </c>
      <c r="BG186" s="27"/>
      <c r="BH186" s="27"/>
      <c r="BI186" s="27"/>
      <c r="CA186" s="20">
        <f t="shared" si="914"/>
        <v>200</v>
      </c>
      <c r="CB186" s="20">
        <f t="shared" si="915"/>
        <v>20000</v>
      </c>
    </row>
    <row r="187" spans="1:80" x14ac:dyDescent="0.15">
      <c r="A187">
        <v>2104</v>
      </c>
      <c r="B187" s="3" t="s">
        <v>119</v>
      </c>
      <c r="C187" s="4" t="s">
        <v>109</v>
      </c>
      <c r="D187" s="6" t="s">
        <v>120</v>
      </c>
      <c r="E187" s="5">
        <v>3</v>
      </c>
      <c r="F187" s="7" t="s">
        <v>145</v>
      </c>
      <c r="G187" s="5">
        <v>3</v>
      </c>
      <c r="H187" s="7" t="s">
        <v>190</v>
      </c>
      <c r="I187" s="5">
        <v>0</v>
      </c>
      <c r="J187" s="5">
        <v>0</v>
      </c>
      <c r="K187">
        <v>2</v>
      </c>
      <c r="L187">
        <v>1.5</v>
      </c>
      <c r="M187" s="5">
        <v>1.5</v>
      </c>
      <c r="N187" s="5">
        <v>10</v>
      </c>
      <c r="O187" s="5">
        <f t="shared" si="895"/>
        <v>28235</v>
      </c>
      <c r="P187" s="5">
        <f t="shared" si="896"/>
        <v>156816000</v>
      </c>
      <c r="Q187" s="5">
        <f t="shared" si="897"/>
        <v>2613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70041</v>
      </c>
      <c r="X187" s="6" t="s">
        <v>182</v>
      </c>
      <c r="Y187" s="5">
        <v>300</v>
      </c>
      <c r="Z187" s="5">
        <v>1</v>
      </c>
      <c r="AA187" s="5">
        <v>15115494</v>
      </c>
      <c r="AB187" s="16" t="s">
        <v>111</v>
      </c>
      <c r="AC187" s="7" t="s">
        <v>112</v>
      </c>
      <c r="AD187" s="7" t="s">
        <v>112</v>
      </c>
      <c r="AE187" s="7" t="s">
        <v>112</v>
      </c>
      <c r="AF187" s="6" t="s">
        <v>113</v>
      </c>
      <c r="AG187" s="26" t="str">
        <f t="shared" ref="AG187" si="1291">CM$7</f>
        <v>4,14,28,14,6,4,14,28,14,6</v>
      </c>
      <c r="AH187" s="26" t="str">
        <f t="shared" ref="AH187" si="1292">CN$7</f>
        <v>0,0,0,0,1,0,0,0,0,1</v>
      </c>
      <c r="AI187" s="26" t="str">
        <f t="shared" ref="AI187" si="1293">CO$7</f>
        <v>0,0,0,0,1,0,0,0,0,1</v>
      </c>
      <c r="AJ187" s="26" t="str">
        <f t="shared" ref="AJ187" si="1294">CP$7</f>
        <v>0,0,0,0,5,0,0,0,0,5</v>
      </c>
      <c r="AK187" s="26" t="str">
        <f t="shared" ref="AK187" si="1295">CQ$7</f>
        <v>100,1,1000,2,5,200,1,1000,2,5</v>
      </c>
      <c r="AL187" s="26" t="str">
        <f t="shared" ref="AL187" si="1296">CR$7</f>
        <v>5,5,5,5,5,5,5,5,5,5</v>
      </c>
      <c r="AM187" s="7">
        <v>2001</v>
      </c>
      <c r="AO187">
        <f t="shared" ref="AO187" si="1297">AQ187*100+4</f>
        <v>2104</v>
      </c>
      <c r="AP187">
        <v>183</v>
      </c>
      <c r="AQ187">
        <f t="shared" si="905"/>
        <v>21</v>
      </c>
      <c r="AR187" s="17">
        <v>8</v>
      </c>
      <c r="AS187" s="17">
        <f t="shared" si="986"/>
        <v>155</v>
      </c>
      <c r="AT187" s="17">
        <v>7</v>
      </c>
      <c r="AU187">
        <f t="shared" si="906"/>
        <v>24</v>
      </c>
      <c r="AV187">
        <v>150</v>
      </c>
      <c r="AW187">
        <f t="shared" si="907"/>
        <v>28235.24352</v>
      </c>
      <c r="AX187">
        <f t="shared" si="1036"/>
        <v>156816000</v>
      </c>
      <c r="AY187">
        <f t="shared" si="908"/>
        <v>2613.6</v>
      </c>
      <c r="AZ187">
        <f t="shared" si="909"/>
        <v>5227.2</v>
      </c>
      <c r="BA187">
        <f t="shared" si="910"/>
        <v>34848</v>
      </c>
      <c r="BB187">
        <f t="shared" si="911"/>
        <v>1306.8</v>
      </c>
      <c r="BC187">
        <f t="shared" si="1037"/>
        <v>156816000</v>
      </c>
      <c r="BD187">
        <f t="shared" si="912"/>
        <v>0.29411764705882354</v>
      </c>
      <c r="BE187" s="27">
        <f t="shared" si="1038"/>
        <v>73158992.121600017</v>
      </c>
      <c r="BF187" s="30">
        <f t="shared" si="913"/>
        <v>0.35039999999999999</v>
      </c>
      <c r="BG187" s="27"/>
      <c r="BH187" s="27"/>
      <c r="BI187" s="27"/>
      <c r="CA187" s="20">
        <f t="shared" si="914"/>
        <v>200</v>
      </c>
      <c r="CB187" s="20">
        <f t="shared" si="915"/>
        <v>20000</v>
      </c>
    </row>
    <row r="188" spans="1:80" x14ac:dyDescent="0.15">
      <c r="A188">
        <v>2105</v>
      </c>
      <c r="B188" s="3" t="s">
        <v>122</v>
      </c>
      <c r="C188" s="4" t="s">
        <v>109</v>
      </c>
      <c r="D188" s="4" t="s">
        <v>110</v>
      </c>
      <c r="E188" s="5">
        <v>2</v>
      </c>
      <c r="F188" s="7" t="s">
        <v>146</v>
      </c>
      <c r="G188" s="5">
        <v>3</v>
      </c>
      <c r="H188" s="7" t="s">
        <v>191</v>
      </c>
      <c r="I188" s="5">
        <v>0</v>
      </c>
      <c r="J188" s="7" t="s">
        <v>148</v>
      </c>
      <c r="K188">
        <v>6</v>
      </c>
      <c r="L188">
        <v>1.5</v>
      </c>
      <c r="M188" s="5">
        <v>1.5</v>
      </c>
      <c r="N188" s="5">
        <v>10</v>
      </c>
      <c r="O188" s="5">
        <f t="shared" si="895"/>
        <v>29090</v>
      </c>
      <c r="P188" s="5">
        <f t="shared" si="896"/>
        <v>161568000</v>
      </c>
      <c r="Q188" s="5">
        <f t="shared" si="897"/>
        <v>2692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70051</v>
      </c>
      <c r="X188" s="6" t="s">
        <v>183</v>
      </c>
      <c r="Y188" s="5">
        <v>300</v>
      </c>
      <c r="Z188" s="5">
        <v>1</v>
      </c>
      <c r="AA188" s="5">
        <v>16255895</v>
      </c>
      <c r="AB188" s="16" t="s">
        <v>111</v>
      </c>
      <c r="AC188" s="7" t="s">
        <v>112</v>
      </c>
      <c r="AD188" s="7" t="s">
        <v>112</v>
      </c>
      <c r="AE188" s="7" t="s">
        <v>112</v>
      </c>
      <c r="AF188" s="6" t="s">
        <v>113</v>
      </c>
      <c r="AG188" s="26" t="str">
        <f t="shared" ref="AG188" si="1298">CM$8</f>
        <v>4,19,28,19,6,4,19,28,19,6</v>
      </c>
      <c r="AH188" s="26" t="str">
        <f t="shared" ref="AH188" si="1299">CN$8</f>
        <v>0,0,0,0,1,0,0,0,0,1</v>
      </c>
      <c r="AI188" s="26" t="str">
        <f t="shared" ref="AI188" si="1300">CO$8</f>
        <v>0,0,0,0,1,0,0,0,0,1</v>
      </c>
      <c r="AJ188" s="26" t="str">
        <f t="shared" ref="AJ188" si="1301">CP$8</f>
        <v>0,0,0,0,5,0,0,0,0,5</v>
      </c>
      <c r="AK188" s="26" t="str">
        <f t="shared" ref="AK188" si="1302">CQ$8</f>
        <v>200,100,1000,200,5,200,100,1000,200,5</v>
      </c>
      <c r="AL188" s="26" t="str">
        <f t="shared" ref="AL188" si="1303">CR$8</f>
        <v>5,5,5,5,5,5,5,5,5,5</v>
      </c>
      <c r="AM188" s="7">
        <v>2001</v>
      </c>
      <c r="AO188">
        <f t="shared" ref="AO188" si="1304">AQ188*100+5</f>
        <v>2105</v>
      </c>
      <c r="AP188">
        <v>184</v>
      </c>
      <c r="AQ188">
        <f t="shared" si="905"/>
        <v>21</v>
      </c>
      <c r="AR188" s="17">
        <v>8</v>
      </c>
      <c r="AS188" s="17">
        <f t="shared" si="986"/>
        <v>160</v>
      </c>
      <c r="AT188" s="17">
        <v>7</v>
      </c>
      <c r="AU188">
        <f t="shared" si="906"/>
        <v>24</v>
      </c>
      <c r="AV188">
        <v>150</v>
      </c>
      <c r="AW188">
        <f t="shared" si="907"/>
        <v>29090.856959999997</v>
      </c>
      <c r="AX188">
        <f t="shared" si="1036"/>
        <v>161568000</v>
      </c>
      <c r="AY188">
        <f t="shared" si="908"/>
        <v>2692.8</v>
      </c>
      <c r="AZ188">
        <f t="shared" si="909"/>
        <v>5385.6</v>
      </c>
      <c r="BA188">
        <f t="shared" si="910"/>
        <v>35904</v>
      </c>
      <c r="BB188">
        <f t="shared" si="911"/>
        <v>1346.4</v>
      </c>
      <c r="BC188">
        <f t="shared" si="1037"/>
        <v>161568000</v>
      </c>
      <c r="BD188">
        <f t="shared" si="912"/>
        <v>0.29411764705882348</v>
      </c>
      <c r="BE188" s="27">
        <f t="shared" si="1038"/>
        <v>77660050.406399995</v>
      </c>
      <c r="BF188" s="30">
        <f t="shared" si="913"/>
        <v>0.35039999999999999</v>
      </c>
      <c r="BG188" s="27"/>
      <c r="BH188" s="27"/>
      <c r="BI188" s="27"/>
      <c r="CA188" s="20">
        <f t="shared" si="914"/>
        <v>200</v>
      </c>
      <c r="CB188" s="20">
        <f t="shared" si="915"/>
        <v>20000</v>
      </c>
    </row>
    <row r="189" spans="1:80" x14ac:dyDescent="0.15">
      <c r="A189">
        <v>2106</v>
      </c>
      <c r="B189" s="3" t="s">
        <v>124</v>
      </c>
      <c r="C189" s="4" t="s">
        <v>109</v>
      </c>
      <c r="D189" s="6" t="s">
        <v>120</v>
      </c>
      <c r="E189" s="5">
        <v>1</v>
      </c>
      <c r="F189" s="7" t="s">
        <v>147</v>
      </c>
      <c r="G189" s="5">
        <v>3</v>
      </c>
      <c r="H189" s="7" t="s">
        <v>192</v>
      </c>
      <c r="I189" s="5">
        <v>0</v>
      </c>
      <c r="J189" s="7" t="s">
        <v>149</v>
      </c>
      <c r="K189">
        <v>6</v>
      </c>
      <c r="L189">
        <v>1.5</v>
      </c>
      <c r="M189" s="5">
        <v>1.5</v>
      </c>
      <c r="N189" s="5">
        <v>10</v>
      </c>
      <c r="O189" s="5">
        <f t="shared" si="895"/>
        <v>29946</v>
      </c>
      <c r="P189" s="5">
        <f t="shared" si="896"/>
        <v>166320000</v>
      </c>
      <c r="Q189" s="5">
        <f t="shared" si="897"/>
        <v>2772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70061</v>
      </c>
      <c r="X189" s="6" t="s">
        <v>184</v>
      </c>
      <c r="Y189" s="5">
        <v>300</v>
      </c>
      <c r="Z189" s="5">
        <v>1</v>
      </c>
      <c r="AA189" s="5">
        <v>17437765</v>
      </c>
      <c r="AB189" s="16" t="s">
        <v>111</v>
      </c>
      <c r="AC189" s="7" t="s">
        <v>112</v>
      </c>
      <c r="AD189" s="7" t="s">
        <v>112</v>
      </c>
      <c r="AE189" s="7" t="s">
        <v>112</v>
      </c>
      <c r="AF189" s="6" t="s">
        <v>113</v>
      </c>
      <c r="AG189" s="26" t="str">
        <f t="shared" ref="AG189" si="1305">CM$9</f>
        <v>4,33,28,33,6,4,33,28,33,6</v>
      </c>
      <c r="AH189" s="26" t="str">
        <f t="shared" ref="AH189" si="1306">CN$9</f>
        <v>0,6,0,6,1,0,6,0,6,1</v>
      </c>
      <c r="AI189" s="26" t="str">
        <f t="shared" ref="AI189" si="1307">CO$9</f>
        <v>0,0,0,0,1,0,0,0,0,1</v>
      </c>
      <c r="AJ189" s="26" t="str">
        <f t="shared" ref="AJ189" si="1308">CP$9</f>
        <v>0,0,0,0,5,0,0,0,0,5</v>
      </c>
      <c r="AK189" s="26" t="str">
        <f t="shared" ref="AK189" si="1309">CQ$9</f>
        <v>200,1,1000,2,5,200,1,1000,2,5</v>
      </c>
      <c r="AL189" s="26" t="str">
        <f t="shared" ref="AL189" si="1310">CR$9</f>
        <v>5,5,5,5,5,5,5,5,5,5</v>
      </c>
      <c r="AM189" s="7">
        <v>2001</v>
      </c>
      <c r="AO189">
        <f t="shared" ref="AO189" si="1311">AQ189*100+6</f>
        <v>2106</v>
      </c>
      <c r="AP189">
        <v>185</v>
      </c>
      <c r="AQ189">
        <f t="shared" si="905"/>
        <v>21</v>
      </c>
      <c r="AR189" s="17">
        <v>8</v>
      </c>
      <c r="AS189" s="17">
        <f t="shared" si="986"/>
        <v>165</v>
      </c>
      <c r="AT189" s="17">
        <v>7</v>
      </c>
      <c r="AU189">
        <f t="shared" si="906"/>
        <v>24</v>
      </c>
      <c r="AV189">
        <v>150</v>
      </c>
      <c r="AW189">
        <f t="shared" si="907"/>
        <v>29946.470400000002</v>
      </c>
      <c r="AX189">
        <f t="shared" si="1036"/>
        <v>166320000.00000003</v>
      </c>
      <c r="AY189">
        <f t="shared" si="908"/>
        <v>2772.0000000000005</v>
      </c>
      <c r="AZ189">
        <f t="shared" si="909"/>
        <v>5544.0000000000009</v>
      </c>
      <c r="BA189">
        <f t="shared" si="910"/>
        <v>36960</v>
      </c>
      <c r="BB189">
        <f t="shared" si="911"/>
        <v>1386.0000000000002</v>
      </c>
      <c r="BC189">
        <f t="shared" si="1037"/>
        <v>166320000.00000003</v>
      </c>
      <c r="BD189">
        <f t="shared" si="912"/>
        <v>0.29411764705882348</v>
      </c>
      <c r="BE189" s="27">
        <f t="shared" si="1038"/>
        <v>82295468.64000003</v>
      </c>
      <c r="BF189" s="30">
        <f t="shared" si="913"/>
        <v>0.35039999999999999</v>
      </c>
      <c r="BG189" s="27"/>
      <c r="BH189" s="27"/>
      <c r="BI189" s="27"/>
      <c r="CA189" s="20">
        <f t="shared" si="914"/>
        <v>200</v>
      </c>
      <c r="CB189" s="20">
        <f t="shared" si="915"/>
        <v>20000</v>
      </c>
    </row>
    <row r="190" spans="1:80" x14ac:dyDescent="0.15">
      <c r="A190">
        <v>2107</v>
      </c>
      <c r="B190" s="3" t="s">
        <v>126</v>
      </c>
      <c r="C190" s="4" t="s">
        <v>109</v>
      </c>
      <c r="D190" s="4" t="s">
        <v>110</v>
      </c>
      <c r="E190" s="5">
        <v>2</v>
      </c>
      <c r="F190" s="7" t="s">
        <v>143</v>
      </c>
      <c r="G190" s="5">
        <v>3</v>
      </c>
      <c r="H190" s="7" t="s">
        <v>193</v>
      </c>
      <c r="I190" s="5">
        <v>0</v>
      </c>
      <c r="J190" s="5">
        <v>0</v>
      </c>
      <c r="K190">
        <v>2</v>
      </c>
      <c r="L190">
        <v>1.5</v>
      </c>
      <c r="M190" s="5">
        <v>1.5</v>
      </c>
      <c r="N190" s="5">
        <v>10</v>
      </c>
      <c r="O190" s="5">
        <f t="shared" si="895"/>
        <v>30802</v>
      </c>
      <c r="P190" s="5">
        <f t="shared" si="896"/>
        <v>171072000</v>
      </c>
      <c r="Q190" s="5">
        <f t="shared" si="897"/>
        <v>2851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70071</v>
      </c>
      <c r="X190" s="6" t="s">
        <v>185</v>
      </c>
      <c r="Y190" s="5">
        <v>300</v>
      </c>
      <c r="Z190" s="5">
        <v>1</v>
      </c>
      <c r="AA190" s="5">
        <v>18661104</v>
      </c>
      <c r="AB190" s="16" t="s">
        <v>111</v>
      </c>
      <c r="AC190" s="7" t="s">
        <v>112</v>
      </c>
      <c r="AD190" s="7" t="s">
        <v>112</v>
      </c>
      <c r="AE190" s="7" t="s">
        <v>112</v>
      </c>
      <c r="AF190" s="6" t="s">
        <v>113</v>
      </c>
      <c r="AG190" s="26" t="str">
        <f t="shared" ref="AG190" si="1312">CM$10</f>
        <v>4,14,28,14,6,4,14,28,14,6</v>
      </c>
      <c r="AH190" s="26" t="str">
        <f t="shared" ref="AH190" si="1313">CN$10</f>
        <v>0,0,0,0,1,0,0,0,0,1</v>
      </c>
      <c r="AI190" s="26" t="str">
        <f t="shared" ref="AI190" si="1314">CO$10</f>
        <v>0,0,0,0,1,0,0,0,0,1</v>
      </c>
      <c r="AJ190" s="26" t="str">
        <f t="shared" ref="AJ190" si="1315">CP$10</f>
        <v>0,0,0,0,5,0,0,0,0,5</v>
      </c>
      <c r="AK190" s="26" t="str">
        <f t="shared" ref="AK190" si="1316">CQ$10</f>
        <v>200,1,1000,2,5,200,1,1000,2,5</v>
      </c>
      <c r="AL190" s="26" t="str">
        <f t="shared" ref="AL190" si="1317">CR$10</f>
        <v>5,5,5,5,5,5,5,5,5,5</v>
      </c>
      <c r="AM190" s="7">
        <v>2001</v>
      </c>
      <c r="AO190">
        <f t="shared" ref="AO190" si="1318">AQ190*100+7</f>
        <v>2107</v>
      </c>
      <c r="AP190">
        <v>186</v>
      </c>
      <c r="AQ190">
        <f t="shared" si="905"/>
        <v>21</v>
      </c>
      <c r="AR190" s="17">
        <v>8</v>
      </c>
      <c r="AS190" s="17">
        <f t="shared" si="986"/>
        <v>170</v>
      </c>
      <c r="AT190" s="17">
        <v>7</v>
      </c>
      <c r="AU190">
        <f t="shared" si="906"/>
        <v>24</v>
      </c>
      <c r="AV190">
        <v>150</v>
      </c>
      <c r="AW190">
        <f t="shared" si="907"/>
        <v>30802.083839999999</v>
      </c>
      <c r="AX190">
        <f t="shared" si="1036"/>
        <v>171072000.00000003</v>
      </c>
      <c r="AY190">
        <f t="shared" si="908"/>
        <v>2851.2000000000003</v>
      </c>
      <c r="AZ190">
        <f t="shared" si="909"/>
        <v>5702.4000000000005</v>
      </c>
      <c r="BA190">
        <f t="shared" si="910"/>
        <v>38016</v>
      </c>
      <c r="BB190">
        <f t="shared" si="911"/>
        <v>1425.6000000000001</v>
      </c>
      <c r="BC190">
        <f t="shared" si="1037"/>
        <v>171072000.00000003</v>
      </c>
      <c r="BD190">
        <f t="shared" si="912"/>
        <v>0.29411764705882354</v>
      </c>
      <c r="BE190" s="27">
        <f t="shared" si="1038"/>
        <v>87065246.822400033</v>
      </c>
      <c r="BF190" s="30">
        <f t="shared" si="913"/>
        <v>0.35039999999999999</v>
      </c>
      <c r="BG190" s="27"/>
      <c r="BH190" s="27"/>
      <c r="BI190" s="27"/>
      <c r="CA190" s="20">
        <f t="shared" si="914"/>
        <v>200</v>
      </c>
      <c r="CB190" s="20">
        <f t="shared" si="915"/>
        <v>20000</v>
      </c>
    </row>
    <row r="191" spans="1:80" x14ac:dyDescent="0.15">
      <c r="A191">
        <v>2108</v>
      </c>
      <c r="B191" s="3" t="s">
        <v>128</v>
      </c>
      <c r="C191" s="4" t="s">
        <v>109</v>
      </c>
      <c r="D191" s="4" t="s">
        <v>110</v>
      </c>
      <c r="E191" s="5">
        <v>5</v>
      </c>
      <c r="F191" s="7" t="s">
        <v>129</v>
      </c>
      <c r="G191" s="5">
        <v>2</v>
      </c>
      <c r="H191" s="7" t="s">
        <v>130</v>
      </c>
      <c r="I191" s="5">
        <v>0</v>
      </c>
      <c r="J191" s="5">
        <v>0</v>
      </c>
      <c r="K191">
        <v>2</v>
      </c>
      <c r="L191">
        <v>1.5</v>
      </c>
      <c r="M191" s="5">
        <v>1.5</v>
      </c>
      <c r="N191" s="5">
        <v>10</v>
      </c>
      <c r="O191" s="5">
        <f t="shared" si="895"/>
        <v>31657</v>
      </c>
      <c r="P191" s="5">
        <f t="shared" si="896"/>
        <v>175824000</v>
      </c>
      <c r="Q191" s="5">
        <f t="shared" si="897"/>
        <v>2930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70081</v>
      </c>
      <c r="X191" s="6" t="s">
        <v>186</v>
      </c>
      <c r="Y191" s="5">
        <v>300</v>
      </c>
      <c r="Z191" s="5">
        <v>1</v>
      </c>
      <c r="AA191" s="5">
        <v>19925912</v>
      </c>
      <c r="AB191" s="16" t="s">
        <v>111</v>
      </c>
      <c r="AC191" s="7" t="s">
        <v>112</v>
      </c>
      <c r="AD191" s="7" t="s">
        <v>112</v>
      </c>
      <c r="AE191" s="7" t="s">
        <v>112</v>
      </c>
      <c r="AF191" s="6" t="s">
        <v>113</v>
      </c>
      <c r="AG191" s="26" t="str">
        <f t="shared" ref="AG191" si="1319">CM$11</f>
        <v>4,28,6,28,6,4,28,6,28,6</v>
      </c>
      <c r="AH191" s="26" t="str">
        <f t="shared" ref="AH191" si="1320">CN$11</f>
        <v>0,0,1,0,1,0,0,1,0,1</v>
      </c>
      <c r="AI191" s="26" t="str">
        <f t="shared" ref="AI191" si="1321">CO$11</f>
        <v>0,0,1,0,1,0,0,1,0,1</v>
      </c>
      <c r="AJ191" s="26" t="str">
        <f t="shared" ref="AJ191" si="1322">CP$11</f>
        <v>0,0,5,0,5,0,0,5,0,5</v>
      </c>
      <c r="AK191" s="26" t="str">
        <f t="shared" ref="AK191" si="1323">CQ$11</f>
        <v>100,1000,5,1500,5,200,1000,5,1500,5</v>
      </c>
      <c r="AL191" s="26" t="str">
        <f t="shared" ref="AL191" si="1324">CR$11</f>
        <v>5,5,5,5,5,5,5,5,5,5</v>
      </c>
      <c r="AM191" s="7">
        <v>2001</v>
      </c>
      <c r="AO191">
        <f t="shared" ref="AO191" si="1325">AQ191*100+8</f>
        <v>2108</v>
      </c>
      <c r="AP191">
        <v>187</v>
      </c>
      <c r="AQ191">
        <f t="shared" si="905"/>
        <v>21</v>
      </c>
      <c r="AR191" s="17">
        <v>8</v>
      </c>
      <c r="AS191" s="17">
        <f t="shared" si="986"/>
        <v>175</v>
      </c>
      <c r="AT191" s="17">
        <v>7</v>
      </c>
      <c r="AU191">
        <f t="shared" si="906"/>
        <v>24</v>
      </c>
      <c r="AV191">
        <v>150</v>
      </c>
      <c r="AW191">
        <f t="shared" si="907"/>
        <v>31657.69728</v>
      </c>
      <c r="AX191">
        <f t="shared" si="1036"/>
        <v>175824000.00000003</v>
      </c>
      <c r="AY191">
        <f t="shared" si="908"/>
        <v>2930.4000000000005</v>
      </c>
      <c r="AZ191">
        <f t="shared" si="909"/>
        <v>5860.8000000000011</v>
      </c>
      <c r="BA191">
        <f t="shared" si="910"/>
        <v>39072</v>
      </c>
      <c r="BB191">
        <f t="shared" si="911"/>
        <v>1465.2000000000003</v>
      </c>
      <c r="BC191">
        <f t="shared" si="1037"/>
        <v>175824000.00000003</v>
      </c>
      <c r="BD191">
        <f t="shared" si="912"/>
        <v>0.29411764705882359</v>
      </c>
      <c r="BE191" s="27">
        <f t="shared" si="1038"/>
        <v>91969384.953600034</v>
      </c>
      <c r="BF191" s="30">
        <f t="shared" si="913"/>
        <v>0.35039999999999999</v>
      </c>
      <c r="BG191" s="27"/>
      <c r="BH191" s="27"/>
      <c r="BI191" s="27"/>
      <c r="CA191" s="20">
        <f t="shared" si="914"/>
        <v>200</v>
      </c>
      <c r="CB191" s="20">
        <f t="shared" si="915"/>
        <v>20000</v>
      </c>
    </row>
    <row r="192" spans="1:80" x14ac:dyDescent="0.15">
      <c r="A192">
        <v>2109</v>
      </c>
      <c r="B192" s="3" t="s">
        <v>132</v>
      </c>
      <c r="C192" s="4" t="s">
        <v>109</v>
      </c>
      <c r="D192" s="4" t="s">
        <v>110</v>
      </c>
      <c r="E192" s="5">
        <v>5</v>
      </c>
      <c r="F192" s="7" t="s">
        <v>140</v>
      </c>
      <c r="G192" s="5">
        <v>3</v>
      </c>
      <c r="H192" s="7" t="s">
        <v>140</v>
      </c>
      <c r="I192" s="5">
        <v>0</v>
      </c>
      <c r="J192" s="7">
        <v>0</v>
      </c>
      <c r="K192">
        <v>6</v>
      </c>
      <c r="L192">
        <v>1.5</v>
      </c>
      <c r="M192" s="5">
        <v>1.5</v>
      </c>
      <c r="N192" s="5">
        <v>10</v>
      </c>
      <c r="O192" s="5">
        <f t="shared" si="895"/>
        <v>32513</v>
      </c>
      <c r="P192" s="5">
        <f t="shared" si="896"/>
        <v>180576000</v>
      </c>
      <c r="Q192" s="5">
        <f t="shared" si="897"/>
        <v>3009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70091</v>
      </c>
      <c r="X192" s="6" t="s">
        <v>187</v>
      </c>
      <c r="Y192" s="5">
        <v>300</v>
      </c>
      <c r="Z192" s="5">
        <v>1</v>
      </c>
      <c r="AA192" s="5">
        <v>21232189</v>
      </c>
      <c r="AB192" s="16" t="s">
        <v>111</v>
      </c>
      <c r="AC192" s="7" t="s">
        <v>112</v>
      </c>
      <c r="AD192" s="7" t="s">
        <v>112</v>
      </c>
      <c r="AE192" s="7" t="s">
        <v>112</v>
      </c>
      <c r="AF192" s="6" t="s">
        <v>113</v>
      </c>
      <c r="AG192" s="26" t="str">
        <f t="shared" ref="AG192" si="1326">CM$12</f>
        <v>4,33,28,33,6,4,33,28,33,6</v>
      </c>
      <c r="AH192" s="26" t="str">
        <f t="shared" ref="AH192" si="1327">CN$12</f>
        <v>0,5,0,5,1,0,5,0,5,1</v>
      </c>
      <c r="AI192" s="26" t="str">
        <f t="shared" ref="AI192" si="1328">CO$12</f>
        <v>0,0,0,0,1,0,0,0,0,1</v>
      </c>
      <c r="AJ192" s="26" t="str">
        <f t="shared" ref="AJ192" si="1329">CP$12</f>
        <v>0,0,0,0,5,0,0,0,0,5</v>
      </c>
      <c r="AK192" s="26" t="str">
        <f t="shared" ref="AK192" si="1330">CQ$12</f>
        <v>100,1,1000,2,5,200,1,1000,2,5</v>
      </c>
      <c r="AL192" s="26" t="str">
        <f t="shared" ref="AL192" si="1331">CR$12</f>
        <v>5,5,5,5,5,5,5,5,5,5</v>
      </c>
      <c r="AM192" s="7">
        <v>2001</v>
      </c>
      <c r="AO192">
        <f t="shared" ref="AO192" si="1332">AQ192*100+9</f>
        <v>2109</v>
      </c>
      <c r="AP192">
        <v>188</v>
      </c>
      <c r="AQ192">
        <f t="shared" si="905"/>
        <v>21</v>
      </c>
      <c r="AR192" s="17">
        <v>8</v>
      </c>
      <c r="AS192" s="17">
        <f t="shared" si="986"/>
        <v>180</v>
      </c>
      <c r="AT192" s="17">
        <v>7</v>
      </c>
      <c r="AU192">
        <f t="shared" si="906"/>
        <v>24</v>
      </c>
      <c r="AV192">
        <v>150</v>
      </c>
      <c r="AW192">
        <f t="shared" si="907"/>
        <v>32513.310720000001</v>
      </c>
      <c r="AX192">
        <f t="shared" si="1036"/>
        <v>180576000.00000003</v>
      </c>
      <c r="AY192">
        <f t="shared" si="908"/>
        <v>3009.6000000000004</v>
      </c>
      <c r="AZ192">
        <f t="shared" si="909"/>
        <v>6019.2000000000007</v>
      </c>
      <c r="BA192">
        <f t="shared" si="910"/>
        <v>40128</v>
      </c>
      <c r="BB192">
        <f t="shared" si="911"/>
        <v>1504.8000000000002</v>
      </c>
      <c r="BC192">
        <f t="shared" si="1037"/>
        <v>180576000.00000003</v>
      </c>
      <c r="BD192">
        <f t="shared" si="912"/>
        <v>0.29411764705882354</v>
      </c>
      <c r="BE192" s="27">
        <f t="shared" si="1038"/>
        <v>97007883.033600032</v>
      </c>
      <c r="BF192" s="30">
        <f t="shared" si="913"/>
        <v>0.35039999999999999</v>
      </c>
      <c r="BG192" s="27"/>
      <c r="BH192" s="27"/>
      <c r="BI192" s="27"/>
      <c r="CA192" s="20">
        <f t="shared" si="914"/>
        <v>200</v>
      </c>
      <c r="CB192" s="20">
        <f t="shared" si="915"/>
        <v>20000</v>
      </c>
    </row>
    <row r="193" spans="1:80" x14ac:dyDescent="0.15">
      <c r="A193">
        <v>2201</v>
      </c>
      <c r="B193" s="3" t="s">
        <v>108</v>
      </c>
      <c r="C193" s="4" t="s">
        <v>109</v>
      </c>
      <c r="D193" s="4" t="s">
        <v>110</v>
      </c>
      <c r="E193" s="5">
        <v>3</v>
      </c>
      <c r="F193" s="7" t="s">
        <v>141</v>
      </c>
      <c r="G193" s="5">
        <v>2.5</v>
      </c>
      <c r="H193" s="7" t="s">
        <v>194</v>
      </c>
      <c r="I193" s="5">
        <v>0</v>
      </c>
      <c r="J193" s="5">
        <v>0</v>
      </c>
      <c r="K193">
        <v>2</v>
      </c>
      <c r="L193">
        <v>1.5</v>
      </c>
      <c r="M193" s="5">
        <v>1.5</v>
      </c>
      <c r="N193" s="5">
        <v>10</v>
      </c>
      <c r="O193" s="5">
        <f t="shared" si="895"/>
        <v>26571</v>
      </c>
      <c r="P193" s="5">
        <f t="shared" si="896"/>
        <v>147312000</v>
      </c>
      <c r="Q193" s="5">
        <f t="shared" si="897"/>
        <v>2455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70011</v>
      </c>
      <c r="X193" s="6" t="s">
        <v>179</v>
      </c>
      <c r="Y193" s="5">
        <v>300</v>
      </c>
      <c r="Z193" s="5">
        <v>1</v>
      </c>
      <c r="AA193" s="5">
        <v>22579936</v>
      </c>
      <c r="AB193" s="16" t="s">
        <v>111</v>
      </c>
      <c r="AC193" s="7" t="s">
        <v>112</v>
      </c>
      <c r="AD193" s="7" t="s">
        <v>112</v>
      </c>
      <c r="AE193" s="7" t="s">
        <v>112</v>
      </c>
      <c r="AF193" s="6" t="s">
        <v>113</v>
      </c>
      <c r="AG193" s="26" t="str">
        <f t="shared" ref="AG193" si="1333">CM$4</f>
        <v>4,33,28,33,6,4,33,28,33,6</v>
      </c>
      <c r="AH193" s="26" t="str">
        <f t="shared" ref="AH193" si="1334">CN$4</f>
        <v>0,8,0,8,1,0,8,0,8,1</v>
      </c>
      <c r="AI193" s="26" t="str">
        <f t="shared" ref="AI193" si="1335">CO$4</f>
        <v>0,0,0,0,1,0,0,0,0,1</v>
      </c>
      <c r="AJ193" s="26" t="str">
        <f t="shared" ref="AJ193" si="1336">CP$4</f>
        <v>0,0,0,0,5,0,0,0,0,5</v>
      </c>
      <c r="AK193" s="26" t="str">
        <f t="shared" ref="AK193" si="1337">CQ$4</f>
        <v>100,1,1000,2,5,200,1,1000,2,5</v>
      </c>
      <c r="AL193" s="26" t="str">
        <f t="shared" ref="AL193" si="1338">CR$4</f>
        <v>5,5,5,5,5,5,5,5,5,5</v>
      </c>
      <c r="AM193" s="7">
        <v>2001</v>
      </c>
      <c r="AO193">
        <f t="shared" ref="AO193" si="1339">AQ193*100+1</f>
        <v>2201</v>
      </c>
      <c r="AP193">
        <v>189</v>
      </c>
      <c r="AQ193">
        <f t="shared" si="905"/>
        <v>22</v>
      </c>
      <c r="AR193" s="17">
        <v>8</v>
      </c>
      <c r="AS193" s="17">
        <f t="shared" si="986"/>
        <v>145</v>
      </c>
      <c r="AT193" s="17">
        <v>7</v>
      </c>
      <c r="AU193">
        <f t="shared" si="906"/>
        <v>24</v>
      </c>
      <c r="AV193">
        <v>150</v>
      </c>
      <c r="AW193">
        <f t="shared" si="907"/>
        <v>26571.156480000001</v>
      </c>
      <c r="AX193">
        <f t="shared" si="1036"/>
        <v>147312000.00000003</v>
      </c>
      <c r="AY193">
        <f t="shared" si="908"/>
        <v>2455.2000000000003</v>
      </c>
      <c r="AZ193">
        <f t="shared" si="909"/>
        <v>4910.4000000000005</v>
      </c>
      <c r="BA193">
        <f t="shared" si="910"/>
        <v>32736.000000000004</v>
      </c>
      <c r="BB193">
        <f t="shared" si="911"/>
        <v>1227.6000000000001</v>
      </c>
      <c r="BC193">
        <f t="shared" si="1037"/>
        <v>147312000.00000003</v>
      </c>
      <c r="BD193">
        <f t="shared" si="912"/>
        <v>0.29411764705882354</v>
      </c>
      <c r="BE193" s="27">
        <f t="shared" si="1038"/>
        <v>64559955.398400024</v>
      </c>
      <c r="BF193" s="30">
        <f t="shared" si="913"/>
        <v>0.3528</v>
      </c>
      <c r="BG193" s="27"/>
      <c r="BH193" s="27"/>
      <c r="BI193" s="27"/>
      <c r="CA193" s="20">
        <f t="shared" si="914"/>
        <v>205</v>
      </c>
      <c r="CB193" s="20">
        <f t="shared" si="915"/>
        <v>20500</v>
      </c>
    </row>
    <row r="194" spans="1:80" x14ac:dyDescent="0.15">
      <c r="A194">
        <v>2202</v>
      </c>
      <c r="B194" s="3" t="s">
        <v>115</v>
      </c>
      <c r="C194" s="4" t="s">
        <v>109</v>
      </c>
      <c r="D194" s="6" t="s">
        <v>110</v>
      </c>
      <c r="E194" s="5">
        <v>3</v>
      </c>
      <c r="F194" s="7" t="s">
        <v>142</v>
      </c>
      <c r="G194" s="5">
        <v>3</v>
      </c>
      <c r="H194" s="7" t="s">
        <v>188</v>
      </c>
      <c r="I194" s="5">
        <v>0</v>
      </c>
      <c r="J194" s="5">
        <v>0</v>
      </c>
      <c r="K194">
        <v>2</v>
      </c>
      <c r="L194">
        <v>1.5</v>
      </c>
      <c r="M194" s="5">
        <v>1.5</v>
      </c>
      <c r="N194" s="5">
        <v>10</v>
      </c>
      <c r="O194" s="5">
        <f t="shared" si="895"/>
        <v>27428</v>
      </c>
      <c r="P194" s="5">
        <f t="shared" si="896"/>
        <v>152064000</v>
      </c>
      <c r="Q194" s="5">
        <f t="shared" si="897"/>
        <v>2534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70021</v>
      </c>
      <c r="X194" s="6" t="s">
        <v>180</v>
      </c>
      <c r="Y194" s="5">
        <v>300</v>
      </c>
      <c r="Z194" s="5">
        <v>1</v>
      </c>
      <c r="AA194" s="5">
        <v>14016563</v>
      </c>
      <c r="AB194" s="16" t="s">
        <v>111</v>
      </c>
      <c r="AC194" s="7" t="s">
        <v>112</v>
      </c>
      <c r="AD194" s="7" t="s">
        <v>112</v>
      </c>
      <c r="AE194" s="7" t="s">
        <v>112</v>
      </c>
      <c r="AF194" s="6" t="s">
        <v>113</v>
      </c>
      <c r="AG194" s="26" t="str">
        <f t="shared" ref="AG194" si="1340">CM$5</f>
        <v>4,33,28,33,6,4,33,28,33,6</v>
      </c>
      <c r="AH194" s="26" t="str">
        <f t="shared" ref="AH194" si="1341">CN$5</f>
        <v>0,7,0,7,1,0,7,0,7,1</v>
      </c>
      <c r="AI194" s="26" t="str">
        <f t="shared" ref="AI194" si="1342">CO$5</f>
        <v>0,0,0,0,1,0,0,0,0,1</v>
      </c>
      <c r="AJ194" s="26" t="str">
        <f t="shared" ref="AJ194" si="1343">CP$5</f>
        <v>0,0,0,0,5,0,0,0,0,5</v>
      </c>
      <c r="AK194" s="26" t="str">
        <f t="shared" ref="AK194" si="1344">CQ$5</f>
        <v>100,1,1000,2,5,200,1,1000,2,5</v>
      </c>
      <c r="AL194" s="26" t="str">
        <f t="shared" ref="AL194" si="1345">CR$5</f>
        <v>5,5,5,5,5,5,5,5,5,5</v>
      </c>
      <c r="AM194" s="7">
        <v>2001</v>
      </c>
      <c r="AO194">
        <f t="shared" ref="AO194" si="1346">AQ194*100+2</f>
        <v>2202</v>
      </c>
      <c r="AP194">
        <v>190</v>
      </c>
      <c r="AQ194">
        <f t="shared" si="905"/>
        <v>22</v>
      </c>
      <c r="AR194" s="17">
        <v>8</v>
      </c>
      <c r="AS194" s="17">
        <f t="shared" si="986"/>
        <v>150</v>
      </c>
      <c r="AT194" s="17">
        <v>7</v>
      </c>
      <c r="AU194">
        <f t="shared" si="906"/>
        <v>24</v>
      </c>
      <c r="AV194">
        <v>150</v>
      </c>
      <c r="AW194">
        <f t="shared" si="907"/>
        <v>27428.290560000001</v>
      </c>
      <c r="AX194">
        <f t="shared" si="1036"/>
        <v>152064000</v>
      </c>
      <c r="AY194">
        <f t="shared" si="908"/>
        <v>2534.4</v>
      </c>
      <c r="AZ194">
        <f t="shared" si="909"/>
        <v>5068.8</v>
      </c>
      <c r="BA194">
        <f t="shared" si="910"/>
        <v>33792</v>
      </c>
      <c r="BB194">
        <f t="shared" si="911"/>
        <v>1267.2</v>
      </c>
      <c r="BC194">
        <f t="shared" si="1037"/>
        <v>152064000</v>
      </c>
      <c r="BD194">
        <f t="shared" si="912"/>
        <v>0.29411764705882348</v>
      </c>
      <c r="BE194" s="27">
        <f t="shared" si="1038"/>
        <v>68792293.785600007</v>
      </c>
      <c r="BF194" s="30">
        <f t="shared" si="913"/>
        <v>0.3528</v>
      </c>
      <c r="BG194" s="27"/>
      <c r="BH194" s="27"/>
      <c r="BI194" s="27"/>
      <c r="CA194" s="20">
        <f t="shared" si="914"/>
        <v>205</v>
      </c>
      <c r="CB194" s="20">
        <f t="shared" si="915"/>
        <v>20500</v>
      </c>
    </row>
    <row r="195" spans="1:80" x14ac:dyDescent="0.15">
      <c r="A195">
        <v>2203</v>
      </c>
      <c r="B195" s="3" t="s">
        <v>117</v>
      </c>
      <c r="C195" s="4" t="s">
        <v>109</v>
      </c>
      <c r="D195" s="4" t="s">
        <v>110</v>
      </c>
      <c r="E195" s="5">
        <v>1</v>
      </c>
      <c r="F195" s="7" t="s">
        <v>144</v>
      </c>
      <c r="G195" s="5">
        <v>3</v>
      </c>
      <c r="H195" s="7" t="s">
        <v>189</v>
      </c>
      <c r="I195" s="5">
        <v>0</v>
      </c>
      <c r="J195" s="2">
        <v>0</v>
      </c>
      <c r="K195">
        <v>6</v>
      </c>
      <c r="L195">
        <v>1.5</v>
      </c>
      <c r="M195" s="5">
        <v>1.5</v>
      </c>
      <c r="N195" s="5">
        <v>10</v>
      </c>
      <c r="O195" s="5">
        <f t="shared" si="895"/>
        <v>28285</v>
      </c>
      <c r="P195" s="5">
        <f t="shared" si="896"/>
        <v>156816000</v>
      </c>
      <c r="Q195" s="5">
        <f t="shared" si="897"/>
        <v>2613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70031</v>
      </c>
      <c r="X195" s="6" t="s">
        <v>181</v>
      </c>
      <c r="Y195" s="5">
        <v>300</v>
      </c>
      <c r="Z195" s="5">
        <v>1</v>
      </c>
      <c r="AA195" s="5">
        <v>15115494</v>
      </c>
      <c r="AB195" s="16" t="s">
        <v>111</v>
      </c>
      <c r="AC195" s="7" t="s">
        <v>112</v>
      </c>
      <c r="AD195" s="7" t="s">
        <v>112</v>
      </c>
      <c r="AE195" s="7" t="s">
        <v>112</v>
      </c>
      <c r="AF195" s="6" t="s">
        <v>113</v>
      </c>
      <c r="AG195" s="26" t="str">
        <f t="shared" ref="AG195" si="1347">CM$6</f>
        <v>4,28,6,28,6,4,28,6,28,6</v>
      </c>
      <c r="AH195" s="26" t="str">
        <f t="shared" ref="AH195" si="1348">CN$6</f>
        <v>0,0,1,0,1,0,0,1,0,1</v>
      </c>
      <c r="AI195" s="26" t="str">
        <f t="shared" ref="AI195" si="1349">CO$6</f>
        <v>0,0,0,0,1,0,0,0,0,1</v>
      </c>
      <c r="AJ195" s="26" t="str">
        <f t="shared" ref="AJ195" si="1350">CP$6</f>
        <v>0,0,5,0,5,0,0,5,0,5</v>
      </c>
      <c r="AK195" s="26" t="str">
        <f t="shared" ref="AK195" si="1351">CQ$6</f>
        <v>100,1000,5,1500,5,200,1000,5,1500,5</v>
      </c>
      <c r="AL195" s="26" t="str">
        <f t="shared" ref="AL195" si="1352">CR$6</f>
        <v>5,5,5,5,5,5,5,5,5,5</v>
      </c>
      <c r="AM195" s="7">
        <v>2001</v>
      </c>
      <c r="AO195">
        <f t="shared" ref="AO195" si="1353">AQ195*100+3</f>
        <v>2203</v>
      </c>
      <c r="AP195">
        <v>191</v>
      </c>
      <c r="AQ195">
        <f t="shared" si="905"/>
        <v>22</v>
      </c>
      <c r="AR195" s="17">
        <v>8</v>
      </c>
      <c r="AS195" s="17">
        <f t="shared" si="986"/>
        <v>155</v>
      </c>
      <c r="AT195" s="17">
        <v>7</v>
      </c>
      <c r="AU195">
        <f t="shared" si="906"/>
        <v>24</v>
      </c>
      <c r="AV195">
        <v>150</v>
      </c>
      <c r="AW195">
        <f t="shared" si="907"/>
        <v>28285.424639999997</v>
      </c>
      <c r="AX195">
        <f t="shared" si="1036"/>
        <v>156816000</v>
      </c>
      <c r="AY195">
        <f t="shared" si="908"/>
        <v>2613.6</v>
      </c>
      <c r="AZ195">
        <f t="shared" si="909"/>
        <v>5227.2</v>
      </c>
      <c r="BA195">
        <f t="shared" si="910"/>
        <v>34848</v>
      </c>
      <c r="BB195">
        <f t="shared" si="911"/>
        <v>1306.8</v>
      </c>
      <c r="BC195">
        <f t="shared" si="1037"/>
        <v>156816000</v>
      </c>
      <c r="BD195">
        <f t="shared" si="912"/>
        <v>0.29411764705882354</v>
      </c>
      <c r="BE195" s="27">
        <f t="shared" si="1038"/>
        <v>73158992.121600017</v>
      </c>
      <c r="BF195" s="30">
        <f t="shared" si="913"/>
        <v>0.3528</v>
      </c>
      <c r="BG195" s="27"/>
      <c r="BH195" s="27"/>
      <c r="BI195" s="27"/>
      <c r="CA195" s="20">
        <f t="shared" si="914"/>
        <v>205</v>
      </c>
      <c r="CB195" s="20">
        <f t="shared" si="915"/>
        <v>20500</v>
      </c>
    </row>
    <row r="196" spans="1:80" x14ac:dyDescent="0.15">
      <c r="A196">
        <v>2204</v>
      </c>
      <c r="B196" s="3" t="s">
        <v>119</v>
      </c>
      <c r="C196" s="4" t="s">
        <v>109</v>
      </c>
      <c r="D196" s="6" t="s">
        <v>120</v>
      </c>
      <c r="E196" s="5">
        <v>3</v>
      </c>
      <c r="F196" s="7" t="s">
        <v>145</v>
      </c>
      <c r="G196" s="5">
        <v>3</v>
      </c>
      <c r="H196" s="7" t="s">
        <v>190</v>
      </c>
      <c r="I196" s="5">
        <v>0</v>
      </c>
      <c r="J196" s="5">
        <v>0</v>
      </c>
      <c r="K196">
        <v>2</v>
      </c>
      <c r="L196">
        <v>1.5</v>
      </c>
      <c r="M196" s="5">
        <v>1.5</v>
      </c>
      <c r="N196" s="5">
        <v>10</v>
      </c>
      <c r="O196" s="5">
        <f t="shared" si="895"/>
        <v>29142</v>
      </c>
      <c r="P196" s="5">
        <f t="shared" si="896"/>
        <v>161568000</v>
      </c>
      <c r="Q196" s="5">
        <f t="shared" si="897"/>
        <v>2692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70041</v>
      </c>
      <c r="X196" s="6" t="s">
        <v>182</v>
      </c>
      <c r="Y196" s="5">
        <v>300</v>
      </c>
      <c r="Z196" s="5">
        <v>1</v>
      </c>
      <c r="AA196" s="5">
        <v>16255895</v>
      </c>
      <c r="AB196" s="16" t="s">
        <v>111</v>
      </c>
      <c r="AC196" s="7" t="s">
        <v>112</v>
      </c>
      <c r="AD196" s="7" t="s">
        <v>112</v>
      </c>
      <c r="AE196" s="7" t="s">
        <v>112</v>
      </c>
      <c r="AF196" s="6" t="s">
        <v>113</v>
      </c>
      <c r="AG196" s="26" t="str">
        <f t="shared" ref="AG196" si="1354">CM$7</f>
        <v>4,14,28,14,6,4,14,28,14,6</v>
      </c>
      <c r="AH196" s="26" t="str">
        <f t="shared" ref="AH196" si="1355">CN$7</f>
        <v>0,0,0,0,1,0,0,0,0,1</v>
      </c>
      <c r="AI196" s="26" t="str">
        <f t="shared" ref="AI196" si="1356">CO$7</f>
        <v>0,0,0,0,1,0,0,0,0,1</v>
      </c>
      <c r="AJ196" s="26" t="str">
        <f t="shared" ref="AJ196" si="1357">CP$7</f>
        <v>0,0,0,0,5,0,0,0,0,5</v>
      </c>
      <c r="AK196" s="26" t="str">
        <f t="shared" ref="AK196" si="1358">CQ$7</f>
        <v>100,1,1000,2,5,200,1,1000,2,5</v>
      </c>
      <c r="AL196" s="26" t="str">
        <f t="shared" ref="AL196" si="1359">CR$7</f>
        <v>5,5,5,5,5,5,5,5,5,5</v>
      </c>
      <c r="AM196" s="7">
        <v>2001</v>
      </c>
      <c r="AO196">
        <f t="shared" ref="AO196" si="1360">AQ196*100+4</f>
        <v>2204</v>
      </c>
      <c r="AP196">
        <v>192</v>
      </c>
      <c r="AQ196">
        <f t="shared" si="905"/>
        <v>22</v>
      </c>
      <c r="AR196" s="17">
        <v>8</v>
      </c>
      <c r="AS196" s="17">
        <f t="shared" si="986"/>
        <v>160</v>
      </c>
      <c r="AT196" s="17">
        <v>7</v>
      </c>
      <c r="AU196">
        <f t="shared" si="906"/>
        <v>24</v>
      </c>
      <c r="AV196">
        <v>150</v>
      </c>
      <c r="AW196">
        <f t="shared" si="907"/>
        <v>29142.558719999997</v>
      </c>
      <c r="AX196">
        <f t="shared" si="1036"/>
        <v>161568000</v>
      </c>
      <c r="AY196">
        <f t="shared" si="908"/>
        <v>2692.8</v>
      </c>
      <c r="AZ196">
        <f t="shared" si="909"/>
        <v>5385.6</v>
      </c>
      <c r="BA196">
        <f t="shared" si="910"/>
        <v>35904</v>
      </c>
      <c r="BB196">
        <f t="shared" si="911"/>
        <v>1346.4</v>
      </c>
      <c r="BC196">
        <f t="shared" si="1037"/>
        <v>161568000</v>
      </c>
      <c r="BD196">
        <f t="shared" si="912"/>
        <v>0.29411764705882348</v>
      </c>
      <c r="BE196" s="27">
        <f t="shared" si="1038"/>
        <v>77660050.406399995</v>
      </c>
      <c r="BF196" s="30">
        <f t="shared" si="913"/>
        <v>0.3528</v>
      </c>
      <c r="BG196" s="27"/>
      <c r="BH196" s="27"/>
      <c r="BI196" s="27"/>
      <c r="CA196" s="20">
        <f t="shared" si="914"/>
        <v>205</v>
      </c>
      <c r="CB196" s="20">
        <f t="shared" si="915"/>
        <v>20500</v>
      </c>
    </row>
    <row r="197" spans="1:80" x14ac:dyDescent="0.15">
      <c r="A197">
        <v>2205</v>
      </c>
      <c r="B197" s="3" t="s">
        <v>122</v>
      </c>
      <c r="C197" s="4" t="s">
        <v>109</v>
      </c>
      <c r="D197" s="4" t="s">
        <v>110</v>
      </c>
      <c r="E197" s="5">
        <v>2</v>
      </c>
      <c r="F197" s="7" t="s">
        <v>146</v>
      </c>
      <c r="G197" s="5">
        <v>3</v>
      </c>
      <c r="H197" s="7" t="s">
        <v>191</v>
      </c>
      <c r="I197" s="5">
        <v>0</v>
      </c>
      <c r="J197" s="7" t="s">
        <v>148</v>
      </c>
      <c r="K197">
        <v>6</v>
      </c>
      <c r="L197">
        <v>1.5</v>
      </c>
      <c r="M197" s="5">
        <v>1.5</v>
      </c>
      <c r="N197" s="5">
        <v>10</v>
      </c>
      <c r="O197" s="5">
        <f t="shared" ref="O197:O260" si="1361">FLOOR(AW197,1)</f>
        <v>29999</v>
      </c>
      <c r="P197" s="5">
        <f t="shared" ref="P197:P260" si="1362">FLOOR(BC197,1)</f>
        <v>166320000</v>
      </c>
      <c r="Q197" s="5">
        <f t="shared" ref="Q197:Q260" si="1363">FLOOR(AY197,1)</f>
        <v>2772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70051</v>
      </c>
      <c r="X197" s="6" t="s">
        <v>183</v>
      </c>
      <c r="Y197" s="5">
        <v>300</v>
      </c>
      <c r="Z197" s="5">
        <v>1</v>
      </c>
      <c r="AA197" s="5">
        <v>17437765</v>
      </c>
      <c r="AB197" s="16" t="s">
        <v>111</v>
      </c>
      <c r="AC197" s="7" t="s">
        <v>112</v>
      </c>
      <c r="AD197" s="7" t="s">
        <v>112</v>
      </c>
      <c r="AE197" s="7" t="s">
        <v>112</v>
      </c>
      <c r="AF197" s="6" t="s">
        <v>113</v>
      </c>
      <c r="AG197" s="26" t="str">
        <f t="shared" ref="AG197" si="1364">CM$8</f>
        <v>4,19,28,19,6,4,19,28,19,6</v>
      </c>
      <c r="AH197" s="26" t="str">
        <f t="shared" ref="AH197" si="1365">CN$8</f>
        <v>0,0,0,0,1,0,0,0,0,1</v>
      </c>
      <c r="AI197" s="26" t="str">
        <f t="shared" ref="AI197" si="1366">CO$8</f>
        <v>0,0,0,0,1,0,0,0,0,1</v>
      </c>
      <c r="AJ197" s="26" t="str">
        <f t="shared" ref="AJ197" si="1367">CP$8</f>
        <v>0,0,0,0,5,0,0,0,0,5</v>
      </c>
      <c r="AK197" s="26" t="str">
        <f t="shared" ref="AK197" si="1368">CQ$8</f>
        <v>200,100,1000,200,5,200,100,1000,200,5</v>
      </c>
      <c r="AL197" s="26" t="str">
        <f t="shared" ref="AL197" si="1369">CR$8</f>
        <v>5,5,5,5,5,5,5,5,5,5</v>
      </c>
      <c r="AM197" s="7">
        <v>2001</v>
      </c>
      <c r="AO197">
        <f t="shared" ref="AO197" si="1370">AQ197*100+5</f>
        <v>2205</v>
      </c>
      <c r="AP197">
        <v>193</v>
      </c>
      <c r="AQ197">
        <f t="shared" ref="AQ197:AQ260" si="1371">FLOOR(AP197/9+1,1)</f>
        <v>22</v>
      </c>
      <c r="AR197" s="17">
        <v>8</v>
      </c>
      <c r="AS197" s="17">
        <f t="shared" si="986"/>
        <v>165</v>
      </c>
      <c r="AT197" s="17">
        <v>7</v>
      </c>
      <c r="AU197">
        <f t="shared" ref="AU197:AU260" si="1372">20+FLOOR(AQ197/10,1)*2</f>
        <v>24</v>
      </c>
      <c r="AV197">
        <v>150</v>
      </c>
      <c r="AW197">
        <f t="shared" ref="AW197:AW260" si="1373">BA197*0.6*(1+BF197)</f>
        <v>29999.692800000001</v>
      </c>
      <c r="AX197">
        <f t="shared" si="1036"/>
        <v>166320000.00000003</v>
      </c>
      <c r="AY197">
        <f t="shared" ref="AY197:AY260" si="1374">BB197*2</f>
        <v>2772.0000000000005</v>
      </c>
      <c r="AZ197">
        <f t="shared" ref="AZ197:AZ260" si="1375">(INDEX($BO$2:$BO$15,MATCH($AR197,$BK$2:$BK$15,0))+INDEX($BP$2:$BP$15,MATCH($AR197,$BK$2:$BK$15,0))*$AS197)*(1+INDEX($BZ$2:$BZ$15,MATCH($AT197,$BX$2:$BX$15,0)))</f>
        <v>5544.0000000000009</v>
      </c>
      <c r="BA197">
        <f t="shared" ref="BA197:BA260" si="1376">INDEX($BQ$2:$BQ$15,MATCH($AR197,$BK$2:$BK$15,0))+INDEX($BR$2:$BR$15,MATCH($AR197,$BK$2:$BK$15,0))*$AS197</f>
        <v>36960</v>
      </c>
      <c r="BB197">
        <f t="shared" ref="BB197:BB260" si="1377">(INDEX($BS$2:$BS$15,MATCH($AR197,$BK$2:$BK$15,0))+INDEX($BT$2:$BT$15,MATCH($AR197,$BK$2:$BK$15,0))*$AS197)*(1+INDEX($BZ$2:$BZ$15,MATCH($AT197,$BX$2:$BX$15,0)))</f>
        <v>1386.0000000000002</v>
      </c>
      <c r="BC197">
        <f t="shared" si="1037"/>
        <v>166320000.00000003</v>
      </c>
      <c r="BD197">
        <f t="shared" ref="BD197:BD260" si="1378">1/(1+AZ197*3/(5*BB197))</f>
        <v>0.29411764705882348</v>
      </c>
      <c r="BE197" s="27">
        <f t="shared" si="1038"/>
        <v>82295468.64000003</v>
      </c>
      <c r="BF197" s="30">
        <f t="shared" ref="BF197:BF260" si="1379">0.3+AQ197*0.0024</f>
        <v>0.3528</v>
      </c>
      <c r="BG197" s="27"/>
      <c r="BH197" s="27"/>
      <c r="BI197" s="27"/>
      <c r="CA197" s="20">
        <f t="shared" ref="CA197:CA260" si="1380">$CA$2+(AQ197-1)*5</f>
        <v>205</v>
      </c>
      <c r="CB197" s="20">
        <f t="shared" ref="CB197:CB260" si="1381">$CB$2+(AQ197-1)*500</f>
        <v>20500</v>
      </c>
    </row>
    <row r="198" spans="1:80" x14ac:dyDescent="0.15">
      <c r="A198">
        <v>2206</v>
      </c>
      <c r="B198" s="3" t="s">
        <v>124</v>
      </c>
      <c r="C198" s="4" t="s">
        <v>109</v>
      </c>
      <c r="D198" s="6" t="s">
        <v>120</v>
      </c>
      <c r="E198" s="5">
        <v>1</v>
      </c>
      <c r="F198" s="7" t="s">
        <v>147</v>
      </c>
      <c r="G198" s="5">
        <v>3</v>
      </c>
      <c r="H198" s="7" t="s">
        <v>192</v>
      </c>
      <c r="I198" s="5">
        <v>0</v>
      </c>
      <c r="J198" s="7" t="s">
        <v>149</v>
      </c>
      <c r="K198">
        <v>6</v>
      </c>
      <c r="L198">
        <v>1.5</v>
      </c>
      <c r="M198" s="5">
        <v>1.5</v>
      </c>
      <c r="N198" s="5">
        <v>10</v>
      </c>
      <c r="O198" s="5">
        <f t="shared" si="1361"/>
        <v>30856</v>
      </c>
      <c r="P198" s="5">
        <f t="shared" si="1362"/>
        <v>171072000</v>
      </c>
      <c r="Q198" s="5">
        <f t="shared" si="1363"/>
        <v>2851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70061</v>
      </c>
      <c r="X198" s="6" t="s">
        <v>184</v>
      </c>
      <c r="Y198" s="5">
        <v>300</v>
      </c>
      <c r="Z198" s="5">
        <v>1</v>
      </c>
      <c r="AA198" s="5">
        <v>18661104</v>
      </c>
      <c r="AB198" s="16" t="s">
        <v>111</v>
      </c>
      <c r="AC198" s="7" t="s">
        <v>112</v>
      </c>
      <c r="AD198" s="7" t="s">
        <v>112</v>
      </c>
      <c r="AE198" s="7" t="s">
        <v>112</v>
      </c>
      <c r="AF198" s="6" t="s">
        <v>113</v>
      </c>
      <c r="AG198" s="26" t="str">
        <f t="shared" ref="AG198" si="1382">CM$9</f>
        <v>4,33,28,33,6,4,33,28,33,6</v>
      </c>
      <c r="AH198" s="26" t="str">
        <f t="shared" ref="AH198" si="1383">CN$9</f>
        <v>0,6,0,6,1,0,6,0,6,1</v>
      </c>
      <c r="AI198" s="26" t="str">
        <f t="shared" ref="AI198" si="1384">CO$9</f>
        <v>0,0,0,0,1,0,0,0,0,1</v>
      </c>
      <c r="AJ198" s="26" t="str">
        <f t="shared" ref="AJ198" si="1385">CP$9</f>
        <v>0,0,0,0,5,0,0,0,0,5</v>
      </c>
      <c r="AK198" s="26" t="str">
        <f t="shared" ref="AK198" si="1386">CQ$9</f>
        <v>200,1,1000,2,5,200,1,1000,2,5</v>
      </c>
      <c r="AL198" s="26" t="str">
        <f t="shared" ref="AL198" si="1387">CR$9</f>
        <v>5,5,5,5,5,5,5,5,5,5</v>
      </c>
      <c r="AM198" s="7">
        <v>2001</v>
      </c>
      <c r="AO198">
        <f t="shared" ref="AO198" si="1388">AQ198*100+6</f>
        <v>2206</v>
      </c>
      <c r="AP198">
        <v>194</v>
      </c>
      <c r="AQ198">
        <f t="shared" si="1371"/>
        <v>22</v>
      </c>
      <c r="AR198" s="17">
        <v>8</v>
      </c>
      <c r="AS198" s="17">
        <f t="shared" si="986"/>
        <v>170</v>
      </c>
      <c r="AT198" s="17">
        <v>7</v>
      </c>
      <c r="AU198">
        <f t="shared" si="1372"/>
        <v>24</v>
      </c>
      <c r="AV198">
        <v>150</v>
      </c>
      <c r="AW198">
        <f t="shared" si="1373"/>
        <v>30856.826879999997</v>
      </c>
      <c r="AX198">
        <f t="shared" si="1036"/>
        <v>171072000.00000003</v>
      </c>
      <c r="AY198">
        <f t="shared" si="1374"/>
        <v>2851.2000000000003</v>
      </c>
      <c r="AZ198">
        <f t="shared" si="1375"/>
        <v>5702.4000000000005</v>
      </c>
      <c r="BA198">
        <f t="shared" si="1376"/>
        <v>38016</v>
      </c>
      <c r="BB198">
        <f t="shared" si="1377"/>
        <v>1425.6000000000001</v>
      </c>
      <c r="BC198">
        <f t="shared" si="1037"/>
        <v>171072000.00000003</v>
      </c>
      <c r="BD198">
        <f t="shared" si="1378"/>
        <v>0.29411764705882354</v>
      </c>
      <c r="BE198" s="27">
        <f t="shared" si="1038"/>
        <v>87065246.822400033</v>
      </c>
      <c r="BF198" s="30">
        <f t="shared" si="1379"/>
        <v>0.3528</v>
      </c>
      <c r="BG198" s="27"/>
      <c r="BH198" s="27"/>
      <c r="BI198" s="27"/>
      <c r="CA198" s="20">
        <f t="shared" si="1380"/>
        <v>205</v>
      </c>
      <c r="CB198" s="20">
        <f t="shared" si="1381"/>
        <v>20500</v>
      </c>
    </row>
    <row r="199" spans="1:80" x14ac:dyDescent="0.15">
      <c r="A199">
        <v>2207</v>
      </c>
      <c r="B199" s="3" t="s">
        <v>126</v>
      </c>
      <c r="C199" s="4" t="s">
        <v>109</v>
      </c>
      <c r="D199" s="4" t="s">
        <v>110</v>
      </c>
      <c r="E199" s="5">
        <v>2</v>
      </c>
      <c r="F199" s="7" t="s">
        <v>143</v>
      </c>
      <c r="G199" s="5">
        <v>3</v>
      </c>
      <c r="H199" s="7" t="s">
        <v>193</v>
      </c>
      <c r="I199" s="5">
        <v>0</v>
      </c>
      <c r="J199" s="5">
        <v>0</v>
      </c>
      <c r="K199">
        <v>2</v>
      </c>
      <c r="L199">
        <v>1.5</v>
      </c>
      <c r="M199" s="5">
        <v>1.5</v>
      </c>
      <c r="N199" s="5">
        <v>10</v>
      </c>
      <c r="O199" s="5">
        <f t="shared" si="1361"/>
        <v>31713</v>
      </c>
      <c r="P199" s="5">
        <f t="shared" si="1362"/>
        <v>175824000</v>
      </c>
      <c r="Q199" s="5">
        <f t="shared" si="1363"/>
        <v>2930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70071</v>
      </c>
      <c r="X199" s="6" t="s">
        <v>185</v>
      </c>
      <c r="Y199" s="5">
        <v>300</v>
      </c>
      <c r="Z199" s="5">
        <v>1</v>
      </c>
      <c r="AA199" s="5">
        <v>19925912</v>
      </c>
      <c r="AB199" s="16" t="s">
        <v>111</v>
      </c>
      <c r="AC199" s="7" t="s">
        <v>112</v>
      </c>
      <c r="AD199" s="7" t="s">
        <v>112</v>
      </c>
      <c r="AE199" s="7" t="s">
        <v>112</v>
      </c>
      <c r="AF199" s="6" t="s">
        <v>113</v>
      </c>
      <c r="AG199" s="26" t="str">
        <f t="shared" ref="AG199" si="1389">CM$10</f>
        <v>4,14,28,14,6,4,14,28,14,6</v>
      </c>
      <c r="AH199" s="26" t="str">
        <f t="shared" ref="AH199" si="1390">CN$10</f>
        <v>0,0,0,0,1,0,0,0,0,1</v>
      </c>
      <c r="AI199" s="26" t="str">
        <f t="shared" ref="AI199" si="1391">CO$10</f>
        <v>0,0,0,0,1,0,0,0,0,1</v>
      </c>
      <c r="AJ199" s="26" t="str">
        <f t="shared" ref="AJ199" si="1392">CP$10</f>
        <v>0,0,0,0,5,0,0,0,0,5</v>
      </c>
      <c r="AK199" s="26" t="str">
        <f t="shared" ref="AK199" si="1393">CQ$10</f>
        <v>200,1,1000,2,5,200,1,1000,2,5</v>
      </c>
      <c r="AL199" s="26" t="str">
        <f t="shared" ref="AL199" si="1394">CR$10</f>
        <v>5,5,5,5,5,5,5,5,5,5</v>
      </c>
      <c r="AM199" s="7">
        <v>2001</v>
      </c>
      <c r="AO199">
        <f t="shared" ref="AO199" si="1395">AQ199*100+7</f>
        <v>2207</v>
      </c>
      <c r="AP199">
        <v>195</v>
      </c>
      <c r="AQ199">
        <f t="shared" si="1371"/>
        <v>22</v>
      </c>
      <c r="AR199" s="17">
        <v>8</v>
      </c>
      <c r="AS199" s="17">
        <f t="shared" si="986"/>
        <v>175</v>
      </c>
      <c r="AT199" s="17">
        <v>7</v>
      </c>
      <c r="AU199">
        <f t="shared" si="1372"/>
        <v>24</v>
      </c>
      <c r="AV199">
        <v>150</v>
      </c>
      <c r="AW199">
        <f t="shared" si="1373"/>
        <v>31713.96096</v>
      </c>
      <c r="AX199">
        <f t="shared" si="1036"/>
        <v>175824000.00000003</v>
      </c>
      <c r="AY199">
        <f t="shared" si="1374"/>
        <v>2930.4000000000005</v>
      </c>
      <c r="AZ199">
        <f t="shared" si="1375"/>
        <v>5860.8000000000011</v>
      </c>
      <c r="BA199">
        <f t="shared" si="1376"/>
        <v>39072</v>
      </c>
      <c r="BB199">
        <f t="shared" si="1377"/>
        <v>1465.2000000000003</v>
      </c>
      <c r="BC199">
        <f t="shared" si="1037"/>
        <v>175824000.00000003</v>
      </c>
      <c r="BD199">
        <f t="shared" si="1378"/>
        <v>0.29411764705882359</v>
      </c>
      <c r="BE199" s="27">
        <f t="shared" si="1038"/>
        <v>91969384.953600034</v>
      </c>
      <c r="BF199" s="30">
        <f t="shared" si="1379"/>
        <v>0.3528</v>
      </c>
      <c r="BG199" s="27"/>
      <c r="BH199" s="27"/>
      <c r="BI199" s="27"/>
      <c r="CA199" s="20">
        <f t="shared" si="1380"/>
        <v>205</v>
      </c>
      <c r="CB199" s="20">
        <f t="shared" si="1381"/>
        <v>20500</v>
      </c>
    </row>
    <row r="200" spans="1:80" x14ac:dyDescent="0.15">
      <c r="A200">
        <v>2208</v>
      </c>
      <c r="B200" s="3" t="s">
        <v>128</v>
      </c>
      <c r="C200" s="4" t="s">
        <v>109</v>
      </c>
      <c r="D200" s="4" t="s">
        <v>110</v>
      </c>
      <c r="E200" s="5">
        <v>5</v>
      </c>
      <c r="F200" s="7" t="s">
        <v>129</v>
      </c>
      <c r="G200" s="5">
        <v>2</v>
      </c>
      <c r="H200" s="7" t="s">
        <v>130</v>
      </c>
      <c r="I200" s="5">
        <v>0</v>
      </c>
      <c r="J200" s="5">
        <v>0</v>
      </c>
      <c r="K200">
        <v>2</v>
      </c>
      <c r="L200">
        <v>1.5</v>
      </c>
      <c r="M200" s="5">
        <v>1.5</v>
      </c>
      <c r="N200" s="5">
        <v>10</v>
      </c>
      <c r="O200" s="5">
        <f t="shared" si="1361"/>
        <v>32571</v>
      </c>
      <c r="P200" s="5">
        <f t="shared" si="1362"/>
        <v>180576000</v>
      </c>
      <c r="Q200" s="5">
        <f t="shared" si="1363"/>
        <v>3009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70081</v>
      </c>
      <c r="X200" s="6" t="s">
        <v>186</v>
      </c>
      <c r="Y200" s="5">
        <v>300</v>
      </c>
      <c r="Z200" s="5">
        <v>1</v>
      </c>
      <c r="AA200" s="5">
        <v>21232189</v>
      </c>
      <c r="AB200" s="16" t="s">
        <v>111</v>
      </c>
      <c r="AC200" s="7" t="s">
        <v>112</v>
      </c>
      <c r="AD200" s="7" t="s">
        <v>112</v>
      </c>
      <c r="AE200" s="7" t="s">
        <v>112</v>
      </c>
      <c r="AF200" s="6" t="s">
        <v>113</v>
      </c>
      <c r="AG200" s="26" t="str">
        <f t="shared" ref="AG200" si="1396">CM$11</f>
        <v>4,28,6,28,6,4,28,6,28,6</v>
      </c>
      <c r="AH200" s="26" t="str">
        <f t="shared" ref="AH200" si="1397">CN$11</f>
        <v>0,0,1,0,1,0,0,1,0,1</v>
      </c>
      <c r="AI200" s="26" t="str">
        <f t="shared" ref="AI200" si="1398">CO$11</f>
        <v>0,0,1,0,1,0,0,1,0,1</v>
      </c>
      <c r="AJ200" s="26" t="str">
        <f t="shared" ref="AJ200" si="1399">CP$11</f>
        <v>0,0,5,0,5,0,0,5,0,5</v>
      </c>
      <c r="AK200" s="26" t="str">
        <f t="shared" ref="AK200" si="1400">CQ$11</f>
        <v>100,1000,5,1500,5,200,1000,5,1500,5</v>
      </c>
      <c r="AL200" s="26" t="str">
        <f t="shared" ref="AL200" si="1401">CR$11</f>
        <v>5,5,5,5,5,5,5,5,5,5</v>
      </c>
      <c r="AM200" s="7">
        <v>2001</v>
      </c>
      <c r="AO200">
        <f t="shared" ref="AO200" si="1402">AQ200*100+8</f>
        <v>2208</v>
      </c>
      <c r="AP200">
        <v>196</v>
      </c>
      <c r="AQ200">
        <f t="shared" si="1371"/>
        <v>22</v>
      </c>
      <c r="AR200" s="17">
        <v>8</v>
      </c>
      <c r="AS200" s="17">
        <f t="shared" si="986"/>
        <v>180</v>
      </c>
      <c r="AT200" s="17">
        <v>7</v>
      </c>
      <c r="AU200">
        <f t="shared" si="1372"/>
        <v>24</v>
      </c>
      <c r="AV200">
        <v>150</v>
      </c>
      <c r="AW200">
        <f t="shared" si="1373"/>
        <v>32571.09504</v>
      </c>
      <c r="AX200">
        <f t="shared" si="1036"/>
        <v>180576000.00000003</v>
      </c>
      <c r="AY200">
        <f t="shared" si="1374"/>
        <v>3009.6000000000004</v>
      </c>
      <c r="AZ200">
        <f t="shared" si="1375"/>
        <v>6019.2000000000007</v>
      </c>
      <c r="BA200">
        <f t="shared" si="1376"/>
        <v>40128</v>
      </c>
      <c r="BB200">
        <f t="shared" si="1377"/>
        <v>1504.8000000000002</v>
      </c>
      <c r="BC200">
        <f t="shared" si="1037"/>
        <v>180576000.00000003</v>
      </c>
      <c r="BD200">
        <f t="shared" si="1378"/>
        <v>0.29411764705882354</v>
      </c>
      <c r="BE200" s="27">
        <f t="shared" si="1038"/>
        <v>97007883.033600032</v>
      </c>
      <c r="BF200" s="30">
        <f t="shared" si="1379"/>
        <v>0.3528</v>
      </c>
      <c r="BG200" s="27"/>
      <c r="BH200" s="27"/>
      <c r="BI200" s="27"/>
      <c r="CA200" s="20">
        <f t="shared" si="1380"/>
        <v>205</v>
      </c>
      <c r="CB200" s="20">
        <f t="shared" si="1381"/>
        <v>20500</v>
      </c>
    </row>
    <row r="201" spans="1:80" x14ac:dyDescent="0.15">
      <c r="A201">
        <v>2209</v>
      </c>
      <c r="B201" s="3" t="s">
        <v>132</v>
      </c>
      <c r="C201" s="4" t="s">
        <v>109</v>
      </c>
      <c r="D201" s="4" t="s">
        <v>110</v>
      </c>
      <c r="E201" s="5">
        <v>5</v>
      </c>
      <c r="F201" s="7" t="s">
        <v>140</v>
      </c>
      <c r="G201" s="5">
        <v>3</v>
      </c>
      <c r="H201" s="7" t="s">
        <v>140</v>
      </c>
      <c r="I201" s="5">
        <v>0</v>
      </c>
      <c r="J201" s="7">
        <v>0</v>
      </c>
      <c r="K201">
        <v>6</v>
      </c>
      <c r="L201">
        <v>1.5</v>
      </c>
      <c r="M201" s="5">
        <v>1.5</v>
      </c>
      <c r="N201" s="5">
        <v>10</v>
      </c>
      <c r="O201" s="5">
        <f t="shared" si="1361"/>
        <v>33428</v>
      </c>
      <c r="P201" s="5">
        <f t="shared" si="1362"/>
        <v>185328000</v>
      </c>
      <c r="Q201" s="5">
        <f t="shared" si="1363"/>
        <v>3088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70091</v>
      </c>
      <c r="X201" s="6" t="s">
        <v>187</v>
      </c>
      <c r="Y201" s="5">
        <v>300</v>
      </c>
      <c r="Z201" s="5">
        <v>1</v>
      </c>
      <c r="AA201" s="5">
        <v>22579936</v>
      </c>
      <c r="AB201" s="16" t="s">
        <v>111</v>
      </c>
      <c r="AC201" s="7" t="s">
        <v>112</v>
      </c>
      <c r="AD201" s="7" t="s">
        <v>112</v>
      </c>
      <c r="AE201" s="7" t="s">
        <v>112</v>
      </c>
      <c r="AF201" s="6" t="s">
        <v>113</v>
      </c>
      <c r="AG201" s="26" t="str">
        <f t="shared" ref="AG201" si="1403">CM$12</f>
        <v>4,33,28,33,6,4,33,28,33,6</v>
      </c>
      <c r="AH201" s="26" t="str">
        <f t="shared" ref="AH201" si="1404">CN$12</f>
        <v>0,5,0,5,1,0,5,0,5,1</v>
      </c>
      <c r="AI201" s="26" t="str">
        <f t="shared" ref="AI201" si="1405">CO$12</f>
        <v>0,0,0,0,1,0,0,0,0,1</v>
      </c>
      <c r="AJ201" s="26" t="str">
        <f t="shared" ref="AJ201" si="1406">CP$12</f>
        <v>0,0,0,0,5,0,0,0,0,5</v>
      </c>
      <c r="AK201" s="26" t="str">
        <f t="shared" ref="AK201" si="1407">CQ$12</f>
        <v>100,1,1000,2,5,200,1,1000,2,5</v>
      </c>
      <c r="AL201" s="26" t="str">
        <f t="shared" ref="AL201" si="1408">CR$12</f>
        <v>5,5,5,5,5,5,5,5,5,5</v>
      </c>
      <c r="AM201" s="7">
        <v>2001</v>
      </c>
      <c r="AO201">
        <f t="shared" ref="AO201" si="1409">AQ201*100+9</f>
        <v>2209</v>
      </c>
      <c r="AP201">
        <v>197</v>
      </c>
      <c r="AQ201">
        <f t="shared" si="1371"/>
        <v>22</v>
      </c>
      <c r="AR201" s="17">
        <v>8</v>
      </c>
      <c r="AS201" s="17">
        <f t="shared" si="986"/>
        <v>185</v>
      </c>
      <c r="AT201" s="17">
        <v>7</v>
      </c>
      <c r="AU201">
        <f t="shared" si="1372"/>
        <v>24</v>
      </c>
      <c r="AV201">
        <v>150</v>
      </c>
      <c r="AW201">
        <f t="shared" si="1373"/>
        <v>33428.229119999996</v>
      </c>
      <c r="AX201">
        <f t="shared" si="1036"/>
        <v>185328000.00000003</v>
      </c>
      <c r="AY201">
        <f t="shared" si="1374"/>
        <v>3088.8000000000006</v>
      </c>
      <c r="AZ201">
        <f t="shared" si="1375"/>
        <v>6177.6000000000013</v>
      </c>
      <c r="BA201">
        <f t="shared" si="1376"/>
        <v>41184</v>
      </c>
      <c r="BB201">
        <f t="shared" si="1377"/>
        <v>1544.4000000000003</v>
      </c>
      <c r="BC201">
        <f t="shared" si="1037"/>
        <v>185328000.00000003</v>
      </c>
      <c r="BD201">
        <f t="shared" si="1378"/>
        <v>0.29411764705882354</v>
      </c>
      <c r="BE201" s="27">
        <f t="shared" si="1038"/>
        <v>102180741.06240006</v>
      </c>
      <c r="BF201" s="30">
        <f t="shared" si="1379"/>
        <v>0.3528</v>
      </c>
      <c r="BG201" s="27"/>
      <c r="BH201" s="27"/>
      <c r="BI201" s="27"/>
      <c r="CA201" s="20">
        <f t="shared" si="1380"/>
        <v>205</v>
      </c>
      <c r="CB201" s="20">
        <f t="shared" si="1381"/>
        <v>20500</v>
      </c>
    </row>
    <row r="202" spans="1:80" x14ac:dyDescent="0.15">
      <c r="A202">
        <v>2301</v>
      </c>
      <c r="B202" s="3" t="s">
        <v>108</v>
      </c>
      <c r="C202" s="4" t="s">
        <v>109</v>
      </c>
      <c r="D202" s="4" t="s">
        <v>110</v>
      </c>
      <c r="E202" s="5">
        <v>3</v>
      </c>
      <c r="F202" s="7" t="s">
        <v>141</v>
      </c>
      <c r="G202" s="5">
        <v>2.5</v>
      </c>
      <c r="H202" s="7" t="s">
        <v>194</v>
      </c>
      <c r="I202" s="5">
        <v>0</v>
      </c>
      <c r="J202" s="5">
        <v>0</v>
      </c>
      <c r="K202">
        <v>2</v>
      </c>
      <c r="L202">
        <v>1.5</v>
      </c>
      <c r="M202" s="5">
        <v>1.5</v>
      </c>
      <c r="N202" s="5">
        <v>10</v>
      </c>
      <c r="O202" s="5">
        <f t="shared" si="1361"/>
        <v>27476</v>
      </c>
      <c r="P202" s="5">
        <f t="shared" si="1362"/>
        <v>152064000</v>
      </c>
      <c r="Q202" s="5">
        <f t="shared" si="1363"/>
        <v>2534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70011</v>
      </c>
      <c r="X202" s="6" t="s">
        <v>179</v>
      </c>
      <c r="Y202" s="5">
        <v>300</v>
      </c>
      <c r="Z202" s="5">
        <v>1</v>
      </c>
      <c r="AA202" s="5">
        <v>23969151</v>
      </c>
      <c r="AB202" s="16" t="s">
        <v>111</v>
      </c>
      <c r="AC202" s="7" t="s">
        <v>112</v>
      </c>
      <c r="AD202" s="7" t="s">
        <v>112</v>
      </c>
      <c r="AE202" s="7" t="s">
        <v>112</v>
      </c>
      <c r="AF202" s="6" t="s">
        <v>113</v>
      </c>
      <c r="AG202" s="26" t="str">
        <f t="shared" ref="AG202" si="1410">CM$4</f>
        <v>4,33,28,33,6,4,33,28,33,6</v>
      </c>
      <c r="AH202" s="26" t="str">
        <f t="shared" ref="AH202" si="1411">CN$4</f>
        <v>0,8,0,8,1,0,8,0,8,1</v>
      </c>
      <c r="AI202" s="26" t="str">
        <f t="shared" ref="AI202" si="1412">CO$4</f>
        <v>0,0,0,0,1,0,0,0,0,1</v>
      </c>
      <c r="AJ202" s="26" t="str">
        <f t="shared" ref="AJ202" si="1413">CP$4</f>
        <v>0,0,0,0,5,0,0,0,0,5</v>
      </c>
      <c r="AK202" s="26" t="str">
        <f t="shared" ref="AK202" si="1414">CQ$4</f>
        <v>100,1,1000,2,5,200,1,1000,2,5</v>
      </c>
      <c r="AL202" s="26" t="str">
        <f t="shared" ref="AL202" si="1415">CR$4</f>
        <v>5,5,5,5,5,5,5,5,5,5</v>
      </c>
      <c r="AM202" s="7">
        <v>2001</v>
      </c>
      <c r="AO202">
        <f t="shared" ref="AO202" si="1416">AQ202*100+1</f>
        <v>2301</v>
      </c>
      <c r="AP202">
        <v>198</v>
      </c>
      <c r="AQ202">
        <f t="shared" si="1371"/>
        <v>23</v>
      </c>
      <c r="AR202" s="17">
        <v>8</v>
      </c>
      <c r="AS202" s="17">
        <f t="shared" si="986"/>
        <v>150</v>
      </c>
      <c r="AT202" s="17">
        <v>7</v>
      </c>
      <c r="AU202">
        <f t="shared" si="1372"/>
        <v>24</v>
      </c>
      <c r="AV202">
        <v>150</v>
      </c>
      <c r="AW202">
        <f t="shared" si="1373"/>
        <v>27476.95104</v>
      </c>
      <c r="AX202">
        <f t="shared" si="1036"/>
        <v>152064000</v>
      </c>
      <c r="AY202">
        <f t="shared" si="1374"/>
        <v>2534.4</v>
      </c>
      <c r="AZ202">
        <f t="shared" si="1375"/>
        <v>5068.8</v>
      </c>
      <c r="BA202">
        <f t="shared" si="1376"/>
        <v>33792</v>
      </c>
      <c r="BB202">
        <f t="shared" si="1377"/>
        <v>1267.2</v>
      </c>
      <c r="BC202">
        <f t="shared" si="1037"/>
        <v>152064000</v>
      </c>
      <c r="BD202">
        <f t="shared" si="1378"/>
        <v>0.29411764705882348</v>
      </c>
      <c r="BE202" s="27">
        <f t="shared" si="1038"/>
        <v>68792293.785600007</v>
      </c>
      <c r="BF202" s="30">
        <f t="shared" si="1379"/>
        <v>0.35519999999999996</v>
      </c>
      <c r="BG202" s="27"/>
      <c r="BH202" s="27"/>
      <c r="BI202" s="27"/>
      <c r="CA202" s="20">
        <f t="shared" si="1380"/>
        <v>210</v>
      </c>
      <c r="CB202" s="20">
        <f t="shared" si="1381"/>
        <v>21000</v>
      </c>
    </row>
    <row r="203" spans="1:80" x14ac:dyDescent="0.15">
      <c r="A203">
        <v>2302</v>
      </c>
      <c r="B203" s="3" t="s">
        <v>115</v>
      </c>
      <c r="C203" s="4" t="s">
        <v>109</v>
      </c>
      <c r="D203" s="6" t="s">
        <v>110</v>
      </c>
      <c r="E203" s="5">
        <v>3</v>
      </c>
      <c r="F203" s="7" t="s">
        <v>142</v>
      </c>
      <c r="G203" s="5">
        <v>3</v>
      </c>
      <c r="H203" s="7" t="s">
        <v>188</v>
      </c>
      <c r="I203" s="5">
        <v>0</v>
      </c>
      <c r="J203" s="5">
        <v>0</v>
      </c>
      <c r="K203">
        <v>2</v>
      </c>
      <c r="L203">
        <v>1.5</v>
      </c>
      <c r="M203" s="5">
        <v>1.5</v>
      </c>
      <c r="N203" s="5">
        <v>10</v>
      </c>
      <c r="O203" s="5">
        <f t="shared" si="1361"/>
        <v>28335</v>
      </c>
      <c r="P203" s="5">
        <f t="shared" si="1362"/>
        <v>156816000</v>
      </c>
      <c r="Q203" s="5">
        <f t="shared" si="1363"/>
        <v>2613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70021</v>
      </c>
      <c r="X203" s="6" t="s">
        <v>180</v>
      </c>
      <c r="Y203" s="5">
        <v>300</v>
      </c>
      <c r="Z203" s="5">
        <v>1</v>
      </c>
      <c r="AA203" s="5">
        <v>15115494</v>
      </c>
      <c r="AB203" s="16" t="s">
        <v>111</v>
      </c>
      <c r="AC203" s="7" t="s">
        <v>112</v>
      </c>
      <c r="AD203" s="7" t="s">
        <v>112</v>
      </c>
      <c r="AE203" s="7" t="s">
        <v>112</v>
      </c>
      <c r="AF203" s="6" t="s">
        <v>113</v>
      </c>
      <c r="AG203" s="26" t="str">
        <f t="shared" ref="AG203" si="1417">CM$5</f>
        <v>4,33,28,33,6,4,33,28,33,6</v>
      </c>
      <c r="AH203" s="26" t="str">
        <f t="shared" ref="AH203" si="1418">CN$5</f>
        <v>0,7,0,7,1,0,7,0,7,1</v>
      </c>
      <c r="AI203" s="26" t="str">
        <f t="shared" ref="AI203" si="1419">CO$5</f>
        <v>0,0,0,0,1,0,0,0,0,1</v>
      </c>
      <c r="AJ203" s="26" t="str">
        <f t="shared" ref="AJ203" si="1420">CP$5</f>
        <v>0,0,0,0,5,0,0,0,0,5</v>
      </c>
      <c r="AK203" s="26" t="str">
        <f t="shared" ref="AK203" si="1421">CQ$5</f>
        <v>100,1,1000,2,5,200,1,1000,2,5</v>
      </c>
      <c r="AL203" s="26" t="str">
        <f t="shared" ref="AL203" si="1422">CR$5</f>
        <v>5,5,5,5,5,5,5,5,5,5</v>
      </c>
      <c r="AM203" s="7">
        <v>2001</v>
      </c>
      <c r="AO203">
        <f t="shared" ref="AO203" si="1423">AQ203*100+2</f>
        <v>2302</v>
      </c>
      <c r="AP203">
        <v>199</v>
      </c>
      <c r="AQ203">
        <f t="shared" si="1371"/>
        <v>23</v>
      </c>
      <c r="AR203" s="17">
        <v>8</v>
      </c>
      <c r="AS203" s="17">
        <f t="shared" si="986"/>
        <v>155</v>
      </c>
      <c r="AT203" s="17">
        <v>7</v>
      </c>
      <c r="AU203">
        <f t="shared" si="1372"/>
        <v>24</v>
      </c>
      <c r="AV203">
        <v>150</v>
      </c>
      <c r="AW203">
        <f t="shared" si="1373"/>
        <v>28335.605759999999</v>
      </c>
      <c r="AX203">
        <f t="shared" si="1036"/>
        <v>156816000</v>
      </c>
      <c r="AY203">
        <f t="shared" si="1374"/>
        <v>2613.6</v>
      </c>
      <c r="AZ203">
        <f t="shared" si="1375"/>
        <v>5227.2</v>
      </c>
      <c r="BA203">
        <f t="shared" si="1376"/>
        <v>34848</v>
      </c>
      <c r="BB203">
        <f t="shared" si="1377"/>
        <v>1306.8</v>
      </c>
      <c r="BC203">
        <f t="shared" si="1037"/>
        <v>156816000</v>
      </c>
      <c r="BD203">
        <f t="shared" si="1378"/>
        <v>0.29411764705882354</v>
      </c>
      <c r="BE203" s="27">
        <f t="shared" si="1038"/>
        <v>73158992.121600017</v>
      </c>
      <c r="BF203" s="30">
        <f t="shared" si="1379"/>
        <v>0.35519999999999996</v>
      </c>
      <c r="BG203" s="27"/>
      <c r="BH203" s="27"/>
      <c r="BI203" s="27"/>
      <c r="CA203" s="20">
        <f t="shared" si="1380"/>
        <v>210</v>
      </c>
      <c r="CB203" s="20">
        <f t="shared" si="1381"/>
        <v>21000</v>
      </c>
    </row>
    <row r="204" spans="1:80" x14ac:dyDescent="0.15">
      <c r="A204">
        <v>2303</v>
      </c>
      <c r="B204" s="3" t="s">
        <v>117</v>
      </c>
      <c r="C204" s="4" t="s">
        <v>109</v>
      </c>
      <c r="D204" s="4" t="s">
        <v>110</v>
      </c>
      <c r="E204" s="5">
        <v>1</v>
      </c>
      <c r="F204" s="7" t="s">
        <v>144</v>
      </c>
      <c r="G204" s="5">
        <v>3</v>
      </c>
      <c r="H204" s="7" t="s">
        <v>189</v>
      </c>
      <c r="I204" s="5">
        <v>0</v>
      </c>
      <c r="J204" s="2">
        <v>0</v>
      </c>
      <c r="K204">
        <v>6</v>
      </c>
      <c r="L204">
        <v>1.5</v>
      </c>
      <c r="M204" s="5">
        <v>1.5</v>
      </c>
      <c r="N204" s="5">
        <v>10</v>
      </c>
      <c r="O204" s="5">
        <f t="shared" si="1361"/>
        <v>29194</v>
      </c>
      <c r="P204" s="5">
        <f t="shared" si="1362"/>
        <v>161568000</v>
      </c>
      <c r="Q204" s="5">
        <f t="shared" si="1363"/>
        <v>2692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70031</v>
      </c>
      <c r="X204" s="6" t="s">
        <v>181</v>
      </c>
      <c r="Y204" s="5">
        <v>300</v>
      </c>
      <c r="Z204" s="5">
        <v>1</v>
      </c>
      <c r="AA204" s="5">
        <v>16255895</v>
      </c>
      <c r="AB204" s="16" t="s">
        <v>111</v>
      </c>
      <c r="AC204" s="7" t="s">
        <v>112</v>
      </c>
      <c r="AD204" s="7" t="s">
        <v>112</v>
      </c>
      <c r="AE204" s="7" t="s">
        <v>112</v>
      </c>
      <c r="AF204" s="6" t="s">
        <v>113</v>
      </c>
      <c r="AG204" s="26" t="str">
        <f t="shared" ref="AG204" si="1424">CM$6</f>
        <v>4,28,6,28,6,4,28,6,28,6</v>
      </c>
      <c r="AH204" s="26" t="str">
        <f t="shared" ref="AH204" si="1425">CN$6</f>
        <v>0,0,1,0,1,0,0,1,0,1</v>
      </c>
      <c r="AI204" s="26" t="str">
        <f t="shared" ref="AI204" si="1426">CO$6</f>
        <v>0,0,0,0,1,0,0,0,0,1</v>
      </c>
      <c r="AJ204" s="26" t="str">
        <f t="shared" ref="AJ204" si="1427">CP$6</f>
        <v>0,0,5,0,5,0,0,5,0,5</v>
      </c>
      <c r="AK204" s="26" t="str">
        <f t="shared" ref="AK204" si="1428">CQ$6</f>
        <v>100,1000,5,1500,5,200,1000,5,1500,5</v>
      </c>
      <c r="AL204" s="26" t="str">
        <f t="shared" ref="AL204" si="1429">CR$6</f>
        <v>5,5,5,5,5,5,5,5,5,5</v>
      </c>
      <c r="AM204" s="7">
        <v>2001</v>
      </c>
      <c r="AO204">
        <f t="shared" ref="AO204" si="1430">AQ204*100+3</f>
        <v>2303</v>
      </c>
      <c r="AP204">
        <v>200</v>
      </c>
      <c r="AQ204">
        <f t="shared" si="1371"/>
        <v>23</v>
      </c>
      <c r="AR204" s="17">
        <v>8</v>
      </c>
      <c r="AS204" s="17">
        <f t="shared" si="986"/>
        <v>160</v>
      </c>
      <c r="AT204" s="17">
        <v>7</v>
      </c>
      <c r="AU204">
        <f t="shared" si="1372"/>
        <v>24</v>
      </c>
      <c r="AV204">
        <v>150</v>
      </c>
      <c r="AW204">
        <f t="shared" si="1373"/>
        <v>29194.260479999997</v>
      </c>
      <c r="AX204">
        <f t="shared" si="1036"/>
        <v>161568000</v>
      </c>
      <c r="AY204">
        <f t="shared" si="1374"/>
        <v>2692.8</v>
      </c>
      <c r="AZ204">
        <f t="shared" si="1375"/>
        <v>5385.6</v>
      </c>
      <c r="BA204">
        <f t="shared" si="1376"/>
        <v>35904</v>
      </c>
      <c r="BB204">
        <f t="shared" si="1377"/>
        <v>1346.4</v>
      </c>
      <c r="BC204">
        <f t="shared" si="1037"/>
        <v>161568000</v>
      </c>
      <c r="BD204">
        <f t="shared" si="1378"/>
        <v>0.29411764705882348</v>
      </c>
      <c r="BE204" s="27">
        <f t="shared" si="1038"/>
        <v>77660050.406399995</v>
      </c>
      <c r="BF204" s="30">
        <f t="shared" si="1379"/>
        <v>0.35519999999999996</v>
      </c>
      <c r="BG204" s="27"/>
      <c r="BH204" s="27"/>
      <c r="BI204" s="27"/>
      <c r="CA204" s="20">
        <f t="shared" si="1380"/>
        <v>210</v>
      </c>
      <c r="CB204" s="20">
        <f t="shared" si="1381"/>
        <v>21000</v>
      </c>
    </row>
    <row r="205" spans="1:80" x14ac:dyDescent="0.15">
      <c r="A205">
        <v>2304</v>
      </c>
      <c r="B205" s="3" t="s">
        <v>119</v>
      </c>
      <c r="C205" s="4" t="s">
        <v>109</v>
      </c>
      <c r="D205" s="6" t="s">
        <v>120</v>
      </c>
      <c r="E205" s="5">
        <v>3</v>
      </c>
      <c r="F205" s="7" t="s">
        <v>145</v>
      </c>
      <c r="G205" s="5">
        <v>3</v>
      </c>
      <c r="H205" s="7" t="s">
        <v>190</v>
      </c>
      <c r="I205" s="5">
        <v>0</v>
      </c>
      <c r="J205" s="5">
        <v>0</v>
      </c>
      <c r="K205">
        <v>2</v>
      </c>
      <c r="L205">
        <v>1.5</v>
      </c>
      <c r="M205" s="5">
        <v>1.5</v>
      </c>
      <c r="N205" s="5">
        <v>10</v>
      </c>
      <c r="O205" s="5">
        <f t="shared" si="1361"/>
        <v>30052</v>
      </c>
      <c r="P205" s="5">
        <f t="shared" si="1362"/>
        <v>166320000</v>
      </c>
      <c r="Q205" s="5">
        <f t="shared" si="1363"/>
        <v>2772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70041</v>
      </c>
      <c r="X205" s="6" t="s">
        <v>182</v>
      </c>
      <c r="Y205" s="5">
        <v>300</v>
      </c>
      <c r="Z205" s="5">
        <v>1</v>
      </c>
      <c r="AA205" s="5">
        <v>17437765</v>
      </c>
      <c r="AB205" s="16" t="s">
        <v>111</v>
      </c>
      <c r="AC205" s="7" t="s">
        <v>112</v>
      </c>
      <c r="AD205" s="7" t="s">
        <v>112</v>
      </c>
      <c r="AE205" s="7" t="s">
        <v>112</v>
      </c>
      <c r="AF205" s="6" t="s">
        <v>113</v>
      </c>
      <c r="AG205" s="26" t="str">
        <f t="shared" ref="AG205" si="1431">CM$7</f>
        <v>4,14,28,14,6,4,14,28,14,6</v>
      </c>
      <c r="AH205" s="26" t="str">
        <f t="shared" ref="AH205" si="1432">CN$7</f>
        <v>0,0,0,0,1,0,0,0,0,1</v>
      </c>
      <c r="AI205" s="26" t="str">
        <f t="shared" ref="AI205" si="1433">CO$7</f>
        <v>0,0,0,0,1,0,0,0,0,1</v>
      </c>
      <c r="AJ205" s="26" t="str">
        <f t="shared" ref="AJ205" si="1434">CP$7</f>
        <v>0,0,0,0,5,0,0,0,0,5</v>
      </c>
      <c r="AK205" s="26" t="str">
        <f t="shared" ref="AK205" si="1435">CQ$7</f>
        <v>100,1,1000,2,5,200,1,1000,2,5</v>
      </c>
      <c r="AL205" s="26" t="str">
        <f t="shared" ref="AL205" si="1436">CR$7</f>
        <v>5,5,5,5,5,5,5,5,5,5</v>
      </c>
      <c r="AM205" s="7">
        <v>2001</v>
      </c>
      <c r="AO205">
        <f t="shared" ref="AO205" si="1437">AQ205*100+4</f>
        <v>2304</v>
      </c>
      <c r="AP205">
        <v>201</v>
      </c>
      <c r="AQ205">
        <f t="shared" si="1371"/>
        <v>23</v>
      </c>
      <c r="AR205" s="17">
        <v>8</v>
      </c>
      <c r="AS205" s="17">
        <f t="shared" si="986"/>
        <v>165</v>
      </c>
      <c r="AT205" s="17">
        <v>7</v>
      </c>
      <c r="AU205">
        <f t="shared" si="1372"/>
        <v>24</v>
      </c>
      <c r="AV205">
        <v>150</v>
      </c>
      <c r="AW205">
        <f t="shared" si="1373"/>
        <v>30052.915199999999</v>
      </c>
      <c r="AX205">
        <f t="shared" si="1036"/>
        <v>166320000.00000003</v>
      </c>
      <c r="AY205">
        <f t="shared" si="1374"/>
        <v>2772.0000000000005</v>
      </c>
      <c r="AZ205">
        <f t="shared" si="1375"/>
        <v>5544.0000000000009</v>
      </c>
      <c r="BA205">
        <f t="shared" si="1376"/>
        <v>36960</v>
      </c>
      <c r="BB205">
        <f t="shared" si="1377"/>
        <v>1386.0000000000002</v>
      </c>
      <c r="BC205">
        <f t="shared" si="1037"/>
        <v>166320000.00000003</v>
      </c>
      <c r="BD205">
        <f t="shared" si="1378"/>
        <v>0.29411764705882348</v>
      </c>
      <c r="BE205" s="27">
        <f t="shared" si="1038"/>
        <v>82295468.64000003</v>
      </c>
      <c r="BF205" s="30">
        <f t="shared" si="1379"/>
        <v>0.35519999999999996</v>
      </c>
      <c r="BG205" s="27"/>
      <c r="BH205" s="27"/>
      <c r="BI205" s="27"/>
      <c r="CA205" s="20">
        <f t="shared" si="1380"/>
        <v>210</v>
      </c>
      <c r="CB205" s="20">
        <f t="shared" si="1381"/>
        <v>21000</v>
      </c>
    </row>
    <row r="206" spans="1:80" x14ac:dyDescent="0.15">
      <c r="A206">
        <v>2305</v>
      </c>
      <c r="B206" s="3" t="s">
        <v>122</v>
      </c>
      <c r="C206" s="4" t="s">
        <v>109</v>
      </c>
      <c r="D206" s="4" t="s">
        <v>110</v>
      </c>
      <c r="E206" s="5">
        <v>2</v>
      </c>
      <c r="F206" s="7" t="s">
        <v>146</v>
      </c>
      <c r="G206" s="5">
        <v>3</v>
      </c>
      <c r="H206" s="7" t="s">
        <v>191</v>
      </c>
      <c r="I206" s="5">
        <v>0</v>
      </c>
      <c r="J206" s="7" t="s">
        <v>148</v>
      </c>
      <c r="K206">
        <v>6</v>
      </c>
      <c r="L206">
        <v>1.5</v>
      </c>
      <c r="M206" s="5">
        <v>1.5</v>
      </c>
      <c r="N206" s="5">
        <v>10</v>
      </c>
      <c r="O206" s="5">
        <f t="shared" si="1361"/>
        <v>30911</v>
      </c>
      <c r="P206" s="5">
        <f t="shared" si="1362"/>
        <v>171072000</v>
      </c>
      <c r="Q206" s="5">
        <f t="shared" si="1363"/>
        <v>2851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70051</v>
      </c>
      <c r="X206" s="6" t="s">
        <v>183</v>
      </c>
      <c r="Y206" s="5">
        <v>300</v>
      </c>
      <c r="Z206" s="5">
        <v>1</v>
      </c>
      <c r="AA206" s="5">
        <v>18661104</v>
      </c>
      <c r="AB206" s="16" t="s">
        <v>111</v>
      </c>
      <c r="AC206" s="7" t="s">
        <v>112</v>
      </c>
      <c r="AD206" s="7" t="s">
        <v>112</v>
      </c>
      <c r="AE206" s="7" t="s">
        <v>112</v>
      </c>
      <c r="AF206" s="6" t="s">
        <v>113</v>
      </c>
      <c r="AG206" s="26" t="str">
        <f t="shared" ref="AG206" si="1438">CM$8</f>
        <v>4,19,28,19,6,4,19,28,19,6</v>
      </c>
      <c r="AH206" s="26" t="str">
        <f t="shared" ref="AH206" si="1439">CN$8</f>
        <v>0,0,0,0,1,0,0,0,0,1</v>
      </c>
      <c r="AI206" s="26" t="str">
        <f t="shared" ref="AI206" si="1440">CO$8</f>
        <v>0,0,0,0,1,0,0,0,0,1</v>
      </c>
      <c r="AJ206" s="26" t="str">
        <f t="shared" ref="AJ206" si="1441">CP$8</f>
        <v>0,0,0,0,5,0,0,0,0,5</v>
      </c>
      <c r="AK206" s="26" t="str">
        <f t="shared" ref="AK206" si="1442">CQ$8</f>
        <v>200,100,1000,200,5,200,100,1000,200,5</v>
      </c>
      <c r="AL206" s="26" t="str">
        <f t="shared" ref="AL206" si="1443">CR$8</f>
        <v>5,5,5,5,5,5,5,5,5,5</v>
      </c>
      <c r="AM206" s="7">
        <v>2001</v>
      </c>
      <c r="AO206">
        <f t="shared" ref="AO206" si="1444">AQ206*100+5</f>
        <v>2305</v>
      </c>
      <c r="AP206">
        <v>202</v>
      </c>
      <c r="AQ206">
        <f t="shared" si="1371"/>
        <v>23</v>
      </c>
      <c r="AR206" s="17">
        <v>8</v>
      </c>
      <c r="AS206" s="17">
        <f t="shared" si="986"/>
        <v>170</v>
      </c>
      <c r="AT206" s="17">
        <v>7</v>
      </c>
      <c r="AU206">
        <f t="shared" si="1372"/>
        <v>24</v>
      </c>
      <c r="AV206">
        <v>150</v>
      </c>
      <c r="AW206">
        <f t="shared" si="1373"/>
        <v>30911.569919999998</v>
      </c>
      <c r="AX206">
        <f t="shared" si="1036"/>
        <v>171072000.00000003</v>
      </c>
      <c r="AY206">
        <f t="shared" si="1374"/>
        <v>2851.2000000000003</v>
      </c>
      <c r="AZ206">
        <f t="shared" si="1375"/>
        <v>5702.4000000000005</v>
      </c>
      <c r="BA206">
        <f t="shared" si="1376"/>
        <v>38016</v>
      </c>
      <c r="BB206">
        <f t="shared" si="1377"/>
        <v>1425.6000000000001</v>
      </c>
      <c r="BC206">
        <f t="shared" si="1037"/>
        <v>171072000.00000003</v>
      </c>
      <c r="BD206">
        <f t="shared" si="1378"/>
        <v>0.29411764705882354</v>
      </c>
      <c r="BE206" s="27">
        <f t="shared" si="1038"/>
        <v>87065246.822400033</v>
      </c>
      <c r="BF206" s="30">
        <f t="shared" si="1379"/>
        <v>0.35519999999999996</v>
      </c>
      <c r="BG206" s="27"/>
      <c r="BH206" s="27"/>
      <c r="BI206" s="27"/>
      <c r="CA206" s="20">
        <f t="shared" si="1380"/>
        <v>210</v>
      </c>
      <c r="CB206" s="20">
        <f t="shared" si="1381"/>
        <v>21000</v>
      </c>
    </row>
    <row r="207" spans="1:80" x14ac:dyDescent="0.15">
      <c r="A207">
        <v>2306</v>
      </c>
      <c r="B207" s="3" t="s">
        <v>124</v>
      </c>
      <c r="C207" s="4" t="s">
        <v>109</v>
      </c>
      <c r="D207" s="6" t="s">
        <v>120</v>
      </c>
      <c r="E207" s="5">
        <v>1</v>
      </c>
      <c r="F207" s="7" t="s">
        <v>147</v>
      </c>
      <c r="G207" s="5">
        <v>3</v>
      </c>
      <c r="H207" s="7" t="s">
        <v>192</v>
      </c>
      <c r="I207" s="5">
        <v>0</v>
      </c>
      <c r="J207" s="7" t="s">
        <v>149</v>
      </c>
      <c r="K207">
        <v>6</v>
      </c>
      <c r="L207">
        <v>1.5</v>
      </c>
      <c r="M207" s="5">
        <v>1.5</v>
      </c>
      <c r="N207" s="5">
        <v>10</v>
      </c>
      <c r="O207" s="5">
        <f t="shared" si="1361"/>
        <v>31770</v>
      </c>
      <c r="P207" s="5">
        <f t="shared" si="1362"/>
        <v>175824000</v>
      </c>
      <c r="Q207" s="5">
        <f t="shared" si="1363"/>
        <v>2930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70061</v>
      </c>
      <c r="X207" s="6" t="s">
        <v>184</v>
      </c>
      <c r="Y207" s="5">
        <v>300</v>
      </c>
      <c r="Z207" s="5">
        <v>1</v>
      </c>
      <c r="AA207" s="5">
        <v>19925912</v>
      </c>
      <c r="AB207" s="16" t="s">
        <v>111</v>
      </c>
      <c r="AC207" s="7" t="s">
        <v>112</v>
      </c>
      <c r="AD207" s="7" t="s">
        <v>112</v>
      </c>
      <c r="AE207" s="7" t="s">
        <v>112</v>
      </c>
      <c r="AF207" s="6" t="s">
        <v>113</v>
      </c>
      <c r="AG207" s="26" t="str">
        <f t="shared" ref="AG207" si="1445">CM$9</f>
        <v>4,33,28,33,6,4,33,28,33,6</v>
      </c>
      <c r="AH207" s="26" t="str">
        <f t="shared" ref="AH207" si="1446">CN$9</f>
        <v>0,6,0,6,1,0,6,0,6,1</v>
      </c>
      <c r="AI207" s="26" t="str">
        <f t="shared" ref="AI207" si="1447">CO$9</f>
        <v>0,0,0,0,1,0,0,0,0,1</v>
      </c>
      <c r="AJ207" s="26" t="str">
        <f t="shared" ref="AJ207" si="1448">CP$9</f>
        <v>0,0,0,0,5,0,0,0,0,5</v>
      </c>
      <c r="AK207" s="26" t="str">
        <f t="shared" ref="AK207" si="1449">CQ$9</f>
        <v>200,1,1000,2,5,200,1,1000,2,5</v>
      </c>
      <c r="AL207" s="26" t="str">
        <f t="shared" ref="AL207" si="1450">CR$9</f>
        <v>5,5,5,5,5,5,5,5,5,5</v>
      </c>
      <c r="AM207" s="7">
        <v>2001</v>
      </c>
      <c r="AO207">
        <f t="shared" ref="AO207" si="1451">AQ207*100+6</f>
        <v>2306</v>
      </c>
      <c r="AP207">
        <v>203</v>
      </c>
      <c r="AQ207">
        <f t="shared" si="1371"/>
        <v>23</v>
      </c>
      <c r="AR207" s="17">
        <v>8</v>
      </c>
      <c r="AS207" s="17">
        <f t="shared" ref="AS207:AS270" si="1452">AS198+5</f>
        <v>175</v>
      </c>
      <c r="AT207" s="17">
        <v>7</v>
      </c>
      <c r="AU207">
        <f t="shared" si="1372"/>
        <v>24</v>
      </c>
      <c r="AV207">
        <v>150</v>
      </c>
      <c r="AW207">
        <f t="shared" si="1373"/>
        <v>31770.22464</v>
      </c>
      <c r="AX207">
        <f t="shared" si="1036"/>
        <v>175824000.00000003</v>
      </c>
      <c r="AY207">
        <f t="shared" si="1374"/>
        <v>2930.4000000000005</v>
      </c>
      <c r="AZ207">
        <f t="shared" si="1375"/>
        <v>5860.8000000000011</v>
      </c>
      <c r="BA207">
        <f t="shared" si="1376"/>
        <v>39072</v>
      </c>
      <c r="BB207">
        <f t="shared" si="1377"/>
        <v>1465.2000000000003</v>
      </c>
      <c r="BC207">
        <f t="shared" si="1037"/>
        <v>175824000.00000003</v>
      </c>
      <c r="BD207">
        <f t="shared" si="1378"/>
        <v>0.29411764705882359</v>
      </c>
      <c r="BE207" s="27">
        <f t="shared" si="1038"/>
        <v>91969384.953600034</v>
      </c>
      <c r="BF207" s="30">
        <f t="shared" si="1379"/>
        <v>0.35519999999999996</v>
      </c>
      <c r="BG207" s="27"/>
      <c r="BH207" s="27"/>
      <c r="BI207" s="27"/>
      <c r="CA207" s="20">
        <f t="shared" si="1380"/>
        <v>210</v>
      </c>
      <c r="CB207" s="20">
        <f t="shared" si="1381"/>
        <v>21000</v>
      </c>
    </row>
    <row r="208" spans="1:80" x14ac:dyDescent="0.15">
      <c r="A208">
        <v>2307</v>
      </c>
      <c r="B208" s="3" t="s">
        <v>126</v>
      </c>
      <c r="C208" s="4" t="s">
        <v>109</v>
      </c>
      <c r="D208" s="4" t="s">
        <v>110</v>
      </c>
      <c r="E208" s="5">
        <v>2</v>
      </c>
      <c r="F208" s="7" t="s">
        <v>143</v>
      </c>
      <c r="G208" s="5">
        <v>3</v>
      </c>
      <c r="H208" s="7" t="s">
        <v>193</v>
      </c>
      <c r="I208" s="5">
        <v>0</v>
      </c>
      <c r="J208" s="5">
        <v>0</v>
      </c>
      <c r="K208">
        <v>2</v>
      </c>
      <c r="L208">
        <v>1.5</v>
      </c>
      <c r="M208" s="5">
        <v>1.5</v>
      </c>
      <c r="N208" s="5">
        <v>10</v>
      </c>
      <c r="O208" s="5">
        <f t="shared" si="1361"/>
        <v>32628</v>
      </c>
      <c r="P208" s="5">
        <f t="shared" si="1362"/>
        <v>180576000</v>
      </c>
      <c r="Q208" s="5">
        <f t="shared" si="1363"/>
        <v>3009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70071</v>
      </c>
      <c r="X208" s="6" t="s">
        <v>185</v>
      </c>
      <c r="Y208" s="5">
        <v>300</v>
      </c>
      <c r="Z208" s="5">
        <v>1</v>
      </c>
      <c r="AA208" s="5">
        <v>21232189</v>
      </c>
      <c r="AB208" s="16" t="s">
        <v>111</v>
      </c>
      <c r="AC208" s="7" t="s">
        <v>112</v>
      </c>
      <c r="AD208" s="7" t="s">
        <v>112</v>
      </c>
      <c r="AE208" s="7" t="s">
        <v>112</v>
      </c>
      <c r="AF208" s="6" t="s">
        <v>113</v>
      </c>
      <c r="AG208" s="26" t="str">
        <f t="shared" ref="AG208" si="1453">CM$10</f>
        <v>4,14,28,14,6,4,14,28,14,6</v>
      </c>
      <c r="AH208" s="26" t="str">
        <f t="shared" ref="AH208" si="1454">CN$10</f>
        <v>0,0,0,0,1,0,0,0,0,1</v>
      </c>
      <c r="AI208" s="26" t="str">
        <f t="shared" ref="AI208" si="1455">CO$10</f>
        <v>0,0,0,0,1,0,0,0,0,1</v>
      </c>
      <c r="AJ208" s="26" t="str">
        <f t="shared" ref="AJ208" si="1456">CP$10</f>
        <v>0,0,0,0,5,0,0,0,0,5</v>
      </c>
      <c r="AK208" s="26" t="str">
        <f t="shared" ref="AK208" si="1457">CQ$10</f>
        <v>200,1,1000,2,5,200,1,1000,2,5</v>
      </c>
      <c r="AL208" s="26" t="str">
        <f t="shared" ref="AL208" si="1458">CR$10</f>
        <v>5,5,5,5,5,5,5,5,5,5</v>
      </c>
      <c r="AM208" s="7">
        <v>2001</v>
      </c>
      <c r="AO208">
        <f t="shared" ref="AO208" si="1459">AQ208*100+7</f>
        <v>2307</v>
      </c>
      <c r="AP208">
        <v>204</v>
      </c>
      <c r="AQ208">
        <f t="shared" si="1371"/>
        <v>23</v>
      </c>
      <c r="AR208" s="17">
        <v>8</v>
      </c>
      <c r="AS208" s="17">
        <f t="shared" si="1452"/>
        <v>180</v>
      </c>
      <c r="AT208" s="17">
        <v>7</v>
      </c>
      <c r="AU208">
        <f t="shared" si="1372"/>
        <v>24</v>
      </c>
      <c r="AV208">
        <v>150</v>
      </c>
      <c r="AW208">
        <f t="shared" si="1373"/>
        <v>32628.879359999999</v>
      </c>
      <c r="AX208">
        <f t="shared" si="1036"/>
        <v>180576000.00000003</v>
      </c>
      <c r="AY208">
        <f t="shared" si="1374"/>
        <v>3009.6000000000004</v>
      </c>
      <c r="AZ208">
        <f t="shared" si="1375"/>
        <v>6019.2000000000007</v>
      </c>
      <c r="BA208">
        <f t="shared" si="1376"/>
        <v>40128</v>
      </c>
      <c r="BB208">
        <f t="shared" si="1377"/>
        <v>1504.8000000000002</v>
      </c>
      <c r="BC208">
        <f t="shared" si="1037"/>
        <v>180576000.00000003</v>
      </c>
      <c r="BD208">
        <f t="shared" si="1378"/>
        <v>0.29411764705882354</v>
      </c>
      <c r="BE208" s="27">
        <f t="shared" si="1038"/>
        <v>97007883.033600032</v>
      </c>
      <c r="BF208" s="30">
        <f t="shared" si="1379"/>
        <v>0.35519999999999996</v>
      </c>
      <c r="BG208" s="27"/>
      <c r="BH208" s="27"/>
      <c r="BI208" s="27"/>
      <c r="CA208" s="20">
        <f t="shared" si="1380"/>
        <v>210</v>
      </c>
      <c r="CB208" s="20">
        <f t="shared" si="1381"/>
        <v>21000</v>
      </c>
    </row>
    <row r="209" spans="1:80" x14ac:dyDescent="0.15">
      <c r="A209">
        <v>2308</v>
      </c>
      <c r="B209" s="3" t="s">
        <v>128</v>
      </c>
      <c r="C209" s="4" t="s">
        <v>109</v>
      </c>
      <c r="D209" s="4" t="s">
        <v>110</v>
      </c>
      <c r="E209" s="5">
        <v>5</v>
      </c>
      <c r="F209" s="7" t="s">
        <v>129</v>
      </c>
      <c r="G209" s="5">
        <v>2</v>
      </c>
      <c r="H209" s="7" t="s">
        <v>130</v>
      </c>
      <c r="I209" s="5">
        <v>0</v>
      </c>
      <c r="J209" s="5">
        <v>0</v>
      </c>
      <c r="K209">
        <v>2</v>
      </c>
      <c r="L209">
        <v>1.5</v>
      </c>
      <c r="M209" s="5">
        <v>1.5</v>
      </c>
      <c r="N209" s="5">
        <v>10</v>
      </c>
      <c r="O209" s="5">
        <f t="shared" si="1361"/>
        <v>33487</v>
      </c>
      <c r="P209" s="5">
        <f t="shared" si="1362"/>
        <v>185328000</v>
      </c>
      <c r="Q209" s="5">
        <f t="shared" si="1363"/>
        <v>3088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70081</v>
      </c>
      <c r="X209" s="6" t="s">
        <v>186</v>
      </c>
      <c r="Y209" s="5">
        <v>300</v>
      </c>
      <c r="Z209" s="5">
        <v>1</v>
      </c>
      <c r="AA209" s="5">
        <v>22579936</v>
      </c>
      <c r="AB209" s="16" t="s">
        <v>111</v>
      </c>
      <c r="AC209" s="7" t="s">
        <v>112</v>
      </c>
      <c r="AD209" s="7" t="s">
        <v>112</v>
      </c>
      <c r="AE209" s="7" t="s">
        <v>112</v>
      </c>
      <c r="AF209" s="6" t="s">
        <v>113</v>
      </c>
      <c r="AG209" s="26" t="str">
        <f t="shared" ref="AG209" si="1460">CM$11</f>
        <v>4,28,6,28,6,4,28,6,28,6</v>
      </c>
      <c r="AH209" s="26" t="str">
        <f t="shared" ref="AH209" si="1461">CN$11</f>
        <v>0,0,1,0,1,0,0,1,0,1</v>
      </c>
      <c r="AI209" s="26" t="str">
        <f t="shared" ref="AI209" si="1462">CO$11</f>
        <v>0,0,1,0,1,0,0,1,0,1</v>
      </c>
      <c r="AJ209" s="26" t="str">
        <f t="shared" ref="AJ209" si="1463">CP$11</f>
        <v>0,0,5,0,5,0,0,5,0,5</v>
      </c>
      <c r="AK209" s="26" t="str">
        <f t="shared" ref="AK209" si="1464">CQ$11</f>
        <v>100,1000,5,1500,5,200,1000,5,1500,5</v>
      </c>
      <c r="AL209" s="26" t="str">
        <f t="shared" ref="AL209" si="1465">CR$11</f>
        <v>5,5,5,5,5,5,5,5,5,5</v>
      </c>
      <c r="AM209" s="7">
        <v>2001</v>
      </c>
      <c r="AO209">
        <f t="shared" ref="AO209" si="1466">AQ209*100+8</f>
        <v>2308</v>
      </c>
      <c r="AP209">
        <v>205</v>
      </c>
      <c r="AQ209">
        <f t="shared" si="1371"/>
        <v>23</v>
      </c>
      <c r="AR209" s="17">
        <v>8</v>
      </c>
      <c r="AS209" s="17">
        <f t="shared" si="1452"/>
        <v>185</v>
      </c>
      <c r="AT209" s="17">
        <v>7</v>
      </c>
      <c r="AU209">
        <f t="shared" si="1372"/>
        <v>24</v>
      </c>
      <c r="AV209">
        <v>150</v>
      </c>
      <c r="AW209">
        <f t="shared" si="1373"/>
        <v>33487.534079999998</v>
      </c>
      <c r="AX209">
        <f t="shared" si="1036"/>
        <v>185328000.00000003</v>
      </c>
      <c r="AY209">
        <f t="shared" si="1374"/>
        <v>3088.8000000000006</v>
      </c>
      <c r="AZ209">
        <f t="shared" si="1375"/>
        <v>6177.6000000000013</v>
      </c>
      <c r="BA209">
        <f t="shared" si="1376"/>
        <v>41184</v>
      </c>
      <c r="BB209">
        <f t="shared" si="1377"/>
        <v>1544.4000000000003</v>
      </c>
      <c r="BC209">
        <f t="shared" si="1037"/>
        <v>185328000.00000003</v>
      </c>
      <c r="BD209">
        <f t="shared" si="1378"/>
        <v>0.29411764705882354</v>
      </c>
      <c r="BE209" s="27">
        <f t="shared" si="1038"/>
        <v>102180741.06240006</v>
      </c>
      <c r="BF209" s="30">
        <f t="shared" si="1379"/>
        <v>0.35519999999999996</v>
      </c>
      <c r="BG209" s="27"/>
      <c r="BH209" s="27"/>
      <c r="BI209" s="27"/>
      <c r="CA209" s="20">
        <f t="shared" si="1380"/>
        <v>210</v>
      </c>
      <c r="CB209" s="20">
        <f t="shared" si="1381"/>
        <v>21000</v>
      </c>
    </row>
    <row r="210" spans="1:80" x14ac:dyDescent="0.15">
      <c r="A210">
        <v>2309</v>
      </c>
      <c r="B210" s="3" t="s">
        <v>132</v>
      </c>
      <c r="C210" s="4" t="s">
        <v>109</v>
      </c>
      <c r="D210" s="4" t="s">
        <v>110</v>
      </c>
      <c r="E210" s="5">
        <v>5</v>
      </c>
      <c r="F210" s="7" t="s">
        <v>140</v>
      </c>
      <c r="G210" s="5">
        <v>3</v>
      </c>
      <c r="H210" s="7" t="s">
        <v>140</v>
      </c>
      <c r="I210" s="5">
        <v>0</v>
      </c>
      <c r="J210" s="7">
        <v>0</v>
      </c>
      <c r="K210">
        <v>6</v>
      </c>
      <c r="L210">
        <v>1.5</v>
      </c>
      <c r="M210" s="5">
        <v>1.5</v>
      </c>
      <c r="N210" s="5">
        <v>10</v>
      </c>
      <c r="O210" s="5">
        <f t="shared" si="1361"/>
        <v>34346</v>
      </c>
      <c r="P210" s="5">
        <f t="shared" si="1362"/>
        <v>190080000</v>
      </c>
      <c r="Q210" s="5">
        <f t="shared" si="1363"/>
        <v>3168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70091</v>
      </c>
      <c r="X210" s="6" t="s">
        <v>187</v>
      </c>
      <c r="Y210" s="5">
        <v>300</v>
      </c>
      <c r="Z210" s="5">
        <v>1</v>
      </c>
      <c r="AA210" s="5">
        <v>23969151</v>
      </c>
      <c r="AB210" s="16" t="s">
        <v>111</v>
      </c>
      <c r="AC210" s="7" t="s">
        <v>112</v>
      </c>
      <c r="AD210" s="7" t="s">
        <v>112</v>
      </c>
      <c r="AE210" s="7" t="s">
        <v>112</v>
      </c>
      <c r="AF210" s="6" t="s">
        <v>113</v>
      </c>
      <c r="AG210" s="26" t="str">
        <f t="shared" ref="AG210" si="1467">CM$12</f>
        <v>4,33,28,33,6,4,33,28,33,6</v>
      </c>
      <c r="AH210" s="26" t="str">
        <f t="shared" ref="AH210" si="1468">CN$12</f>
        <v>0,5,0,5,1,0,5,0,5,1</v>
      </c>
      <c r="AI210" s="26" t="str">
        <f t="shared" ref="AI210" si="1469">CO$12</f>
        <v>0,0,0,0,1,0,0,0,0,1</v>
      </c>
      <c r="AJ210" s="26" t="str">
        <f t="shared" ref="AJ210" si="1470">CP$12</f>
        <v>0,0,0,0,5,0,0,0,0,5</v>
      </c>
      <c r="AK210" s="26" t="str">
        <f t="shared" ref="AK210" si="1471">CQ$12</f>
        <v>100,1,1000,2,5,200,1,1000,2,5</v>
      </c>
      <c r="AL210" s="26" t="str">
        <f t="shared" ref="AL210" si="1472">CR$12</f>
        <v>5,5,5,5,5,5,5,5,5,5</v>
      </c>
      <c r="AM210" s="7">
        <v>2001</v>
      </c>
      <c r="AO210">
        <f t="shared" ref="AO210" si="1473">AQ210*100+9</f>
        <v>2309</v>
      </c>
      <c r="AP210">
        <v>206</v>
      </c>
      <c r="AQ210">
        <f t="shared" si="1371"/>
        <v>23</v>
      </c>
      <c r="AR210" s="17">
        <v>8</v>
      </c>
      <c r="AS210" s="17">
        <f t="shared" si="1452"/>
        <v>190</v>
      </c>
      <c r="AT210" s="17">
        <v>7</v>
      </c>
      <c r="AU210">
        <f t="shared" si="1372"/>
        <v>24</v>
      </c>
      <c r="AV210">
        <v>150</v>
      </c>
      <c r="AW210">
        <f t="shared" si="1373"/>
        <v>34346.188799999996</v>
      </c>
      <c r="AX210">
        <f t="shared" si="1036"/>
        <v>190080000.00000003</v>
      </c>
      <c r="AY210">
        <f t="shared" si="1374"/>
        <v>3168.0000000000005</v>
      </c>
      <c r="AZ210">
        <f t="shared" si="1375"/>
        <v>6336.0000000000009</v>
      </c>
      <c r="BA210">
        <f t="shared" si="1376"/>
        <v>42240</v>
      </c>
      <c r="BB210">
        <f t="shared" si="1377"/>
        <v>1584.0000000000002</v>
      </c>
      <c r="BC210">
        <f t="shared" si="1037"/>
        <v>190080000.00000003</v>
      </c>
      <c r="BD210">
        <f t="shared" si="1378"/>
        <v>0.29411764705882348</v>
      </c>
      <c r="BE210" s="27">
        <f t="shared" si="1038"/>
        <v>107487959.04000005</v>
      </c>
      <c r="BF210" s="30">
        <f t="shared" si="1379"/>
        <v>0.35519999999999996</v>
      </c>
      <c r="BG210" s="27"/>
      <c r="BH210" s="27"/>
      <c r="BI210" s="27"/>
      <c r="CA210" s="20">
        <f t="shared" si="1380"/>
        <v>210</v>
      </c>
      <c r="CB210" s="20">
        <f t="shared" si="1381"/>
        <v>21000</v>
      </c>
    </row>
    <row r="211" spans="1:80" x14ac:dyDescent="0.15">
      <c r="A211">
        <v>2401</v>
      </c>
      <c r="B211" s="3" t="s">
        <v>108</v>
      </c>
      <c r="C211" s="4" t="s">
        <v>109</v>
      </c>
      <c r="D211" s="4" t="s">
        <v>110</v>
      </c>
      <c r="E211" s="5">
        <v>3</v>
      </c>
      <c r="F211" s="7" t="s">
        <v>141</v>
      </c>
      <c r="G211" s="5">
        <v>2.5</v>
      </c>
      <c r="H211" s="7" t="s">
        <v>194</v>
      </c>
      <c r="I211" s="5">
        <v>0</v>
      </c>
      <c r="J211" s="5">
        <v>0</v>
      </c>
      <c r="K211">
        <v>2</v>
      </c>
      <c r="L211">
        <v>1.5</v>
      </c>
      <c r="M211" s="5">
        <v>1.5</v>
      </c>
      <c r="N211" s="5">
        <v>10</v>
      </c>
      <c r="O211" s="5">
        <f t="shared" si="1361"/>
        <v>28385</v>
      </c>
      <c r="P211" s="5">
        <f t="shared" si="1362"/>
        <v>156816000</v>
      </c>
      <c r="Q211" s="5">
        <f t="shared" si="1363"/>
        <v>2613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70011</v>
      </c>
      <c r="X211" s="6" t="s">
        <v>179</v>
      </c>
      <c r="Y211" s="5">
        <v>300</v>
      </c>
      <c r="Z211" s="5">
        <v>1</v>
      </c>
      <c r="AA211" s="5">
        <v>25399836</v>
      </c>
      <c r="AB211" s="16" t="s">
        <v>111</v>
      </c>
      <c r="AC211" s="7" t="s">
        <v>112</v>
      </c>
      <c r="AD211" s="7" t="s">
        <v>112</v>
      </c>
      <c r="AE211" s="7" t="s">
        <v>112</v>
      </c>
      <c r="AF211" s="6" t="s">
        <v>113</v>
      </c>
      <c r="AG211" s="26" t="str">
        <f t="shared" ref="AG211" si="1474">CM$4</f>
        <v>4,33,28,33,6,4,33,28,33,6</v>
      </c>
      <c r="AH211" s="26" t="str">
        <f t="shared" ref="AH211" si="1475">CN$4</f>
        <v>0,8,0,8,1,0,8,0,8,1</v>
      </c>
      <c r="AI211" s="26" t="str">
        <f t="shared" ref="AI211" si="1476">CO$4</f>
        <v>0,0,0,0,1,0,0,0,0,1</v>
      </c>
      <c r="AJ211" s="26" t="str">
        <f t="shared" ref="AJ211" si="1477">CP$4</f>
        <v>0,0,0,0,5,0,0,0,0,5</v>
      </c>
      <c r="AK211" s="26" t="str">
        <f t="shared" ref="AK211" si="1478">CQ$4</f>
        <v>100,1,1000,2,5,200,1,1000,2,5</v>
      </c>
      <c r="AL211" s="26" t="str">
        <f t="shared" ref="AL211" si="1479">CR$4</f>
        <v>5,5,5,5,5,5,5,5,5,5</v>
      </c>
      <c r="AM211" s="7">
        <v>2001</v>
      </c>
      <c r="AO211">
        <f t="shared" ref="AO211" si="1480">AQ211*100+1</f>
        <v>2401</v>
      </c>
      <c r="AP211">
        <v>207</v>
      </c>
      <c r="AQ211">
        <f t="shared" si="1371"/>
        <v>24</v>
      </c>
      <c r="AR211" s="17">
        <v>8</v>
      </c>
      <c r="AS211" s="17">
        <f t="shared" si="1452"/>
        <v>155</v>
      </c>
      <c r="AT211" s="17">
        <v>7</v>
      </c>
      <c r="AU211">
        <f t="shared" si="1372"/>
        <v>24</v>
      </c>
      <c r="AV211">
        <v>150</v>
      </c>
      <c r="AW211">
        <f t="shared" si="1373"/>
        <v>28385.786879999996</v>
      </c>
      <c r="AX211">
        <f t="shared" si="1036"/>
        <v>156816000</v>
      </c>
      <c r="AY211">
        <f t="shared" si="1374"/>
        <v>2613.6</v>
      </c>
      <c r="AZ211">
        <f t="shared" si="1375"/>
        <v>5227.2</v>
      </c>
      <c r="BA211">
        <f t="shared" si="1376"/>
        <v>34848</v>
      </c>
      <c r="BB211">
        <f t="shared" si="1377"/>
        <v>1306.8</v>
      </c>
      <c r="BC211">
        <f t="shared" si="1037"/>
        <v>156816000</v>
      </c>
      <c r="BD211">
        <f t="shared" si="1378"/>
        <v>0.29411764705882354</v>
      </c>
      <c r="BE211" s="27">
        <f t="shared" si="1038"/>
        <v>73158992.121600017</v>
      </c>
      <c r="BF211" s="30">
        <f t="shared" si="1379"/>
        <v>0.35759999999999997</v>
      </c>
      <c r="BG211" s="27"/>
      <c r="BH211" s="27"/>
      <c r="BI211" s="27"/>
      <c r="CA211" s="20">
        <f t="shared" si="1380"/>
        <v>215</v>
      </c>
      <c r="CB211" s="20">
        <f t="shared" si="1381"/>
        <v>21500</v>
      </c>
    </row>
    <row r="212" spans="1:80" x14ac:dyDescent="0.15">
      <c r="A212">
        <v>2402</v>
      </c>
      <c r="B212" s="3" t="s">
        <v>115</v>
      </c>
      <c r="C212" s="4" t="s">
        <v>109</v>
      </c>
      <c r="D212" s="6" t="s">
        <v>110</v>
      </c>
      <c r="E212" s="5">
        <v>3</v>
      </c>
      <c r="F212" s="7" t="s">
        <v>142</v>
      </c>
      <c r="G212" s="5">
        <v>3</v>
      </c>
      <c r="H212" s="7" t="s">
        <v>188</v>
      </c>
      <c r="I212" s="5">
        <v>0</v>
      </c>
      <c r="J212" s="5">
        <v>0</v>
      </c>
      <c r="K212">
        <v>2</v>
      </c>
      <c r="L212">
        <v>1.5</v>
      </c>
      <c r="M212" s="5">
        <v>1.5</v>
      </c>
      <c r="N212" s="5">
        <v>10</v>
      </c>
      <c r="O212" s="5">
        <f t="shared" si="1361"/>
        <v>29245</v>
      </c>
      <c r="P212" s="5">
        <f t="shared" si="1362"/>
        <v>161568000</v>
      </c>
      <c r="Q212" s="5">
        <f t="shared" si="1363"/>
        <v>2692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70021</v>
      </c>
      <c r="X212" s="6" t="s">
        <v>180</v>
      </c>
      <c r="Y212" s="5">
        <v>300</v>
      </c>
      <c r="Z212" s="5">
        <v>1</v>
      </c>
      <c r="AA212" s="5">
        <v>16255895</v>
      </c>
      <c r="AB212" s="16" t="s">
        <v>111</v>
      </c>
      <c r="AC212" s="7" t="s">
        <v>112</v>
      </c>
      <c r="AD212" s="7" t="s">
        <v>112</v>
      </c>
      <c r="AE212" s="7" t="s">
        <v>112</v>
      </c>
      <c r="AF212" s="6" t="s">
        <v>113</v>
      </c>
      <c r="AG212" s="26" t="str">
        <f t="shared" ref="AG212" si="1481">CM$5</f>
        <v>4,33,28,33,6,4,33,28,33,6</v>
      </c>
      <c r="AH212" s="26" t="str">
        <f t="shared" ref="AH212" si="1482">CN$5</f>
        <v>0,7,0,7,1,0,7,0,7,1</v>
      </c>
      <c r="AI212" s="26" t="str">
        <f t="shared" ref="AI212" si="1483">CO$5</f>
        <v>0,0,0,0,1,0,0,0,0,1</v>
      </c>
      <c r="AJ212" s="26" t="str">
        <f t="shared" ref="AJ212" si="1484">CP$5</f>
        <v>0,0,0,0,5,0,0,0,0,5</v>
      </c>
      <c r="AK212" s="26" t="str">
        <f t="shared" ref="AK212" si="1485">CQ$5</f>
        <v>100,1,1000,2,5,200,1,1000,2,5</v>
      </c>
      <c r="AL212" s="26" t="str">
        <f t="shared" ref="AL212" si="1486">CR$5</f>
        <v>5,5,5,5,5,5,5,5,5,5</v>
      </c>
      <c r="AM212" s="7">
        <v>2001</v>
      </c>
      <c r="AO212">
        <f t="shared" ref="AO212" si="1487">AQ212*100+2</f>
        <v>2402</v>
      </c>
      <c r="AP212">
        <v>208</v>
      </c>
      <c r="AQ212">
        <f t="shared" si="1371"/>
        <v>24</v>
      </c>
      <c r="AR212" s="17">
        <v>8</v>
      </c>
      <c r="AS212" s="17">
        <f t="shared" si="1452"/>
        <v>160</v>
      </c>
      <c r="AT212" s="17">
        <v>7</v>
      </c>
      <c r="AU212">
        <f t="shared" si="1372"/>
        <v>24</v>
      </c>
      <c r="AV212">
        <v>150</v>
      </c>
      <c r="AW212">
        <f t="shared" si="1373"/>
        <v>29245.962239999993</v>
      </c>
      <c r="AX212">
        <f t="shared" si="1036"/>
        <v>161568000</v>
      </c>
      <c r="AY212">
        <f t="shared" si="1374"/>
        <v>2692.8</v>
      </c>
      <c r="AZ212">
        <f t="shared" si="1375"/>
        <v>5385.6</v>
      </c>
      <c r="BA212">
        <f t="shared" si="1376"/>
        <v>35904</v>
      </c>
      <c r="BB212">
        <f t="shared" si="1377"/>
        <v>1346.4</v>
      </c>
      <c r="BC212">
        <f t="shared" si="1037"/>
        <v>161568000</v>
      </c>
      <c r="BD212">
        <f t="shared" si="1378"/>
        <v>0.29411764705882348</v>
      </c>
      <c r="BE212" s="27">
        <f t="shared" si="1038"/>
        <v>77660050.406399995</v>
      </c>
      <c r="BF212" s="30">
        <f t="shared" si="1379"/>
        <v>0.35759999999999997</v>
      </c>
      <c r="BG212" s="27"/>
      <c r="BH212" s="27"/>
      <c r="BI212" s="27"/>
      <c r="CA212" s="20">
        <f t="shared" si="1380"/>
        <v>215</v>
      </c>
      <c r="CB212" s="20">
        <f t="shared" si="1381"/>
        <v>21500</v>
      </c>
    </row>
    <row r="213" spans="1:80" x14ac:dyDescent="0.15">
      <c r="A213">
        <v>2403</v>
      </c>
      <c r="B213" s="3" t="s">
        <v>117</v>
      </c>
      <c r="C213" s="4" t="s">
        <v>109</v>
      </c>
      <c r="D213" s="4" t="s">
        <v>110</v>
      </c>
      <c r="E213" s="5">
        <v>1</v>
      </c>
      <c r="F213" s="7" t="s">
        <v>144</v>
      </c>
      <c r="G213" s="5">
        <v>3</v>
      </c>
      <c r="H213" s="7" t="s">
        <v>189</v>
      </c>
      <c r="I213" s="5">
        <v>0</v>
      </c>
      <c r="J213" s="2">
        <v>0</v>
      </c>
      <c r="K213">
        <v>6</v>
      </c>
      <c r="L213">
        <v>1.5</v>
      </c>
      <c r="M213" s="5">
        <v>1.5</v>
      </c>
      <c r="N213" s="5">
        <v>10</v>
      </c>
      <c r="O213" s="5">
        <f t="shared" si="1361"/>
        <v>30106</v>
      </c>
      <c r="P213" s="5">
        <f t="shared" si="1362"/>
        <v>166320000</v>
      </c>
      <c r="Q213" s="5">
        <f t="shared" si="1363"/>
        <v>2772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70031</v>
      </c>
      <c r="X213" s="6" t="s">
        <v>181</v>
      </c>
      <c r="Y213" s="5">
        <v>300</v>
      </c>
      <c r="Z213" s="5">
        <v>1</v>
      </c>
      <c r="AA213" s="5">
        <v>17437765</v>
      </c>
      <c r="AB213" s="16" t="s">
        <v>111</v>
      </c>
      <c r="AC213" s="7" t="s">
        <v>112</v>
      </c>
      <c r="AD213" s="7" t="s">
        <v>112</v>
      </c>
      <c r="AE213" s="7" t="s">
        <v>112</v>
      </c>
      <c r="AF213" s="6" t="s">
        <v>113</v>
      </c>
      <c r="AG213" s="26" t="str">
        <f t="shared" ref="AG213" si="1488">CM$6</f>
        <v>4,28,6,28,6,4,28,6,28,6</v>
      </c>
      <c r="AH213" s="26" t="str">
        <f t="shared" ref="AH213" si="1489">CN$6</f>
        <v>0,0,1,0,1,0,0,1,0,1</v>
      </c>
      <c r="AI213" s="26" t="str">
        <f t="shared" ref="AI213" si="1490">CO$6</f>
        <v>0,0,0,0,1,0,0,0,0,1</v>
      </c>
      <c r="AJ213" s="26" t="str">
        <f t="shared" ref="AJ213" si="1491">CP$6</f>
        <v>0,0,5,0,5,0,0,5,0,5</v>
      </c>
      <c r="AK213" s="26" t="str">
        <f t="shared" ref="AK213" si="1492">CQ$6</f>
        <v>100,1000,5,1500,5,200,1000,5,1500,5</v>
      </c>
      <c r="AL213" s="26" t="str">
        <f t="shared" ref="AL213" si="1493">CR$6</f>
        <v>5,5,5,5,5,5,5,5,5,5</v>
      </c>
      <c r="AM213" s="7">
        <v>2001</v>
      </c>
      <c r="AO213">
        <f t="shared" ref="AO213" si="1494">AQ213*100+3</f>
        <v>2403</v>
      </c>
      <c r="AP213">
        <v>209</v>
      </c>
      <c r="AQ213">
        <f t="shared" si="1371"/>
        <v>24</v>
      </c>
      <c r="AR213" s="17">
        <v>8</v>
      </c>
      <c r="AS213" s="17">
        <f t="shared" si="1452"/>
        <v>165</v>
      </c>
      <c r="AT213" s="17">
        <v>7</v>
      </c>
      <c r="AU213">
        <f t="shared" si="1372"/>
        <v>24</v>
      </c>
      <c r="AV213">
        <v>150</v>
      </c>
      <c r="AW213">
        <f t="shared" si="1373"/>
        <v>30106.137599999998</v>
      </c>
      <c r="AX213">
        <f t="shared" si="1036"/>
        <v>166320000.00000003</v>
      </c>
      <c r="AY213">
        <f t="shared" si="1374"/>
        <v>2772.0000000000005</v>
      </c>
      <c r="AZ213">
        <f t="shared" si="1375"/>
        <v>5544.0000000000009</v>
      </c>
      <c r="BA213">
        <f t="shared" si="1376"/>
        <v>36960</v>
      </c>
      <c r="BB213">
        <f t="shared" si="1377"/>
        <v>1386.0000000000002</v>
      </c>
      <c r="BC213">
        <f t="shared" si="1037"/>
        <v>166320000.00000003</v>
      </c>
      <c r="BD213">
        <f t="shared" si="1378"/>
        <v>0.29411764705882348</v>
      </c>
      <c r="BE213" s="27">
        <f t="shared" si="1038"/>
        <v>82295468.64000003</v>
      </c>
      <c r="BF213" s="30">
        <f t="shared" si="1379"/>
        <v>0.35759999999999997</v>
      </c>
      <c r="BG213" s="27"/>
      <c r="BH213" s="27"/>
      <c r="BI213" s="27"/>
      <c r="CA213" s="20">
        <f t="shared" si="1380"/>
        <v>215</v>
      </c>
      <c r="CB213" s="20">
        <f t="shared" si="1381"/>
        <v>21500</v>
      </c>
    </row>
    <row r="214" spans="1:80" x14ac:dyDescent="0.15">
      <c r="A214">
        <v>2404</v>
      </c>
      <c r="B214" s="3" t="s">
        <v>119</v>
      </c>
      <c r="C214" s="4" t="s">
        <v>109</v>
      </c>
      <c r="D214" s="6" t="s">
        <v>120</v>
      </c>
      <c r="E214" s="5">
        <v>3</v>
      </c>
      <c r="F214" s="7" t="s">
        <v>145</v>
      </c>
      <c r="G214" s="5">
        <v>3</v>
      </c>
      <c r="H214" s="7" t="s">
        <v>190</v>
      </c>
      <c r="I214" s="5">
        <v>0</v>
      </c>
      <c r="J214" s="5">
        <v>0</v>
      </c>
      <c r="K214">
        <v>2</v>
      </c>
      <c r="L214">
        <v>1.5</v>
      </c>
      <c r="M214" s="5">
        <v>1.5</v>
      </c>
      <c r="N214" s="5">
        <v>10</v>
      </c>
      <c r="O214" s="5">
        <f t="shared" si="1361"/>
        <v>30966</v>
      </c>
      <c r="P214" s="5">
        <f t="shared" si="1362"/>
        <v>171072000</v>
      </c>
      <c r="Q214" s="5">
        <f t="shared" si="1363"/>
        <v>2851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70041</v>
      </c>
      <c r="X214" s="6" t="s">
        <v>182</v>
      </c>
      <c r="Y214" s="5">
        <v>300</v>
      </c>
      <c r="Z214" s="5">
        <v>1</v>
      </c>
      <c r="AA214" s="5">
        <v>18661104</v>
      </c>
      <c r="AB214" s="16" t="s">
        <v>111</v>
      </c>
      <c r="AC214" s="7" t="s">
        <v>112</v>
      </c>
      <c r="AD214" s="7" t="s">
        <v>112</v>
      </c>
      <c r="AE214" s="7" t="s">
        <v>112</v>
      </c>
      <c r="AF214" s="6" t="s">
        <v>113</v>
      </c>
      <c r="AG214" s="26" t="str">
        <f t="shared" ref="AG214" si="1495">CM$7</f>
        <v>4,14,28,14,6,4,14,28,14,6</v>
      </c>
      <c r="AH214" s="26" t="str">
        <f t="shared" ref="AH214" si="1496">CN$7</f>
        <v>0,0,0,0,1,0,0,0,0,1</v>
      </c>
      <c r="AI214" s="26" t="str">
        <f t="shared" ref="AI214" si="1497">CO$7</f>
        <v>0,0,0,0,1,0,0,0,0,1</v>
      </c>
      <c r="AJ214" s="26" t="str">
        <f t="shared" ref="AJ214" si="1498">CP$7</f>
        <v>0,0,0,0,5,0,0,0,0,5</v>
      </c>
      <c r="AK214" s="26" t="str">
        <f t="shared" ref="AK214" si="1499">CQ$7</f>
        <v>100,1,1000,2,5,200,1,1000,2,5</v>
      </c>
      <c r="AL214" s="26" t="str">
        <f t="shared" ref="AL214" si="1500">CR$7</f>
        <v>5,5,5,5,5,5,5,5,5,5</v>
      </c>
      <c r="AM214" s="7">
        <v>2001</v>
      </c>
      <c r="AO214">
        <f t="shared" ref="AO214" si="1501">AQ214*100+4</f>
        <v>2404</v>
      </c>
      <c r="AP214">
        <v>210</v>
      </c>
      <c r="AQ214">
        <f t="shared" si="1371"/>
        <v>24</v>
      </c>
      <c r="AR214" s="17">
        <v>8</v>
      </c>
      <c r="AS214" s="17">
        <f t="shared" si="1452"/>
        <v>170</v>
      </c>
      <c r="AT214" s="17">
        <v>7</v>
      </c>
      <c r="AU214">
        <f t="shared" si="1372"/>
        <v>24</v>
      </c>
      <c r="AV214">
        <v>150</v>
      </c>
      <c r="AW214">
        <f t="shared" si="1373"/>
        <v>30966.312959999996</v>
      </c>
      <c r="AX214">
        <f t="shared" ref="AX214:AX277" si="1502">BC214</f>
        <v>171072000.00000003</v>
      </c>
      <c r="AY214">
        <f t="shared" si="1374"/>
        <v>2851.2000000000003</v>
      </c>
      <c r="AZ214">
        <f t="shared" si="1375"/>
        <v>5702.4000000000005</v>
      </c>
      <c r="BA214">
        <f t="shared" si="1376"/>
        <v>38016</v>
      </c>
      <c r="BB214">
        <f t="shared" si="1377"/>
        <v>1425.6000000000001</v>
      </c>
      <c r="BC214">
        <f t="shared" ref="BC214:BC277" si="1503">90/1.5*AZ214*(1/(1+AZ214/(5*BB214)))*6*AV214</f>
        <v>171072000.00000003</v>
      </c>
      <c r="BD214">
        <f t="shared" si="1378"/>
        <v>0.29411764705882354</v>
      </c>
      <c r="BE214" s="27">
        <f t="shared" ref="BE214:BE277" si="1504">BC214/10000/(1-BD214)/1*AZ214/L214*(1+0.1*0.5)*0.9*1</f>
        <v>87065246.822400033</v>
      </c>
      <c r="BF214" s="30">
        <f t="shared" si="1379"/>
        <v>0.35759999999999997</v>
      </c>
      <c r="BG214" s="27"/>
      <c r="BH214" s="27"/>
      <c r="BI214" s="27"/>
      <c r="CA214" s="20">
        <f t="shared" si="1380"/>
        <v>215</v>
      </c>
      <c r="CB214" s="20">
        <f t="shared" si="1381"/>
        <v>21500</v>
      </c>
    </row>
    <row r="215" spans="1:80" x14ac:dyDescent="0.15">
      <c r="A215">
        <v>2405</v>
      </c>
      <c r="B215" s="3" t="s">
        <v>122</v>
      </c>
      <c r="C215" s="4" t="s">
        <v>109</v>
      </c>
      <c r="D215" s="4" t="s">
        <v>110</v>
      </c>
      <c r="E215" s="5">
        <v>2</v>
      </c>
      <c r="F215" s="7" t="s">
        <v>146</v>
      </c>
      <c r="G215" s="5">
        <v>3</v>
      </c>
      <c r="H215" s="7" t="s">
        <v>191</v>
      </c>
      <c r="I215" s="5">
        <v>0</v>
      </c>
      <c r="J215" s="7" t="s">
        <v>148</v>
      </c>
      <c r="K215">
        <v>6</v>
      </c>
      <c r="L215">
        <v>1.5</v>
      </c>
      <c r="M215" s="5">
        <v>1.5</v>
      </c>
      <c r="N215" s="5">
        <v>10</v>
      </c>
      <c r="O215" s="5">
        <f t="shared" si="1361"/>
        <v>31826</v>
      </c>
      <c r="P215" s="5">
        <f t="shared" si="1362"/>
        <v>175824000</v>
      </c>
      <c r="Q215" s="5">
        <f t="shared" si="1363"/>
        <v>2930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70051</v>
      </c>
      <c r="X215" s="6" t="s">
        <v>183</v>
      </c>
      <c r="Y215" s="5">
        <v>300</v>
      </c>
      <c r="Z215" s="5">
        <v>1</v>
      </c>
      <c r="AA215" s="5">
        <v>19925912</v>
      </c>
      <c r="AB215" s="16" t="s">
        <v>111</v>
      </c>
      <c r="AC215" s="7" t="s">
        <v>112</v>
      </c>
      <c r="AD215" s="7" t="s">
        <v>112</v>
      </c>
      <c r="AE215" s="7" t="s">
        <v>112</v>
      </c>
      <c r="AF215" s="6" t="s">
        <v>113</v>
      </c>
      <c r="AG215" s="26" t="str">
        <f t="shared" ref="AG215" si="1505">CM$8</f>
        <v>4,19,28,19,6,4,19,28,19,6</v>
      </c>
      <c r="AH215" s="26" t="str">
        <f t="shared" ref="AH215" si="1506">CN$8</f>
        <v>0,0,0,0,1,0,0,0,0,1</v>
      </c>
      <c r="AI215" s="26" t="str">
        <f t="shared" ref="AI215" si="1507">CO$8</f>
        <v>0,0,0,0,1,0,0,0,0,1</v>
      </c>
      <c r="AJ215" s="26" t="str">
        <f t="shared" ref="AJ215" si="1508">CP$8</f>
        <v>0,0,0,0,5,0,0,0,0,5</v>
      </c>
      <c r="AK215" s="26" t="str">
        <f t="shared" ref="AK215" si="1509">CQ$8</f>
        <v>200,100,1000,200,5,200,100,1000,200,5</v>
      </c>
      <c r="AL215" s="26" t="str">
        <f t="shared" ref="AL215" si="1510">CR$8</f>
        <v>5,5,5,5,5,5,5,5,5,5</v>
      </c>
      <c r="AM215" s="7">
        <v>2001</v>
      </c>
      <c r="AO215">
        <f t="shared" ref="AO215" si="1511">AQ215*100+5</f>
        <v>2405</v>
      </c>
      <c r="AP215">
        <v>211</v>
      </c>
      <c r="AQ215">
        <f t="shared" si="1371"/>
        <v>24</v>
      </c>
      <c r="AR215" s="17">
        <v>8</v>
      </c>
      <c r="AS215" s="17">
        <f t="shared" si="1452"/>
        <v>175</v>
      </c>
      <c r="AT215" s="17">
        <v>7</v>
      </c>
      <c r="AU215">
        <f t="shared" si="1372"/>
        <v>24</v>
      </c>
      <c r="AV215">
        <v>150</v>
      </c>
      <c r="AW215">
        <f t="shared" si="1373"/>
        <v>31826.48832</v>
      </c>
      <c r="AX215">
        <f t="shared" si="1502"/>
        <v>175824000.00000003</v>
      </c>
      <c r="AY215">
        <f t="shared" si="1374"/>
        <v>2930.4000000000005</v>
      </c>
      <c r="AZ215">
        <f t="shared" si="1375"/>
        <v>5860.8000000000011</v>
      </c>
      <c r="BA215">
        <f t="shared" si="1376"/>
        <v>39072</v>
      </c>
      <c r="BB215">
        <f t="shared" si="1377"/>
        <v>1465.2000000000003</v>
      </c>
      <c r="BC215">
        <f t="shared" si="1503"/>
        <v>175824000.00000003</v>
      </c>
      <c r="BD215">
        <f t="shared" si="1378"/>
        <v>0.29411764705882359</v>
      </c>
      <c r="BE215" s="27">
        <f t="shared" si="1504"/>
        <v>91969384.953600034</v>
      </c>
      <c r="BF215" s="30">
        <f t="shared" si="1379"/>
        <v>0.35759999999999997</v>
      </c>
      <c r="BG215" s="27"/>
      <c r="BH215" s="27"/>
      <c r="BI215" s="27"/>
      <c r="CA215" s="20">
        <f t="shared" si="1380"/>
        <v>215</v>
      </c>
      <c r="CB215" s="20">
        <f t="shared" si="1381"/>
        <v>21500</v>
      </c>
    </row>
    <row r="216" spans="1:80" x14ac:dyDescent="0.15">
      <c r="A216">
        <v>2406</v>
      </c>
      <c r="B216" s="3" t="s">
        <v>124</v>
      </c>
      <c r="C216" s="4" t="s">
        <v>109</v>
      </c>
      <c r="D216" s="6" t="s">
        <v>120</v>
      </c>
      <c r="E216" s="5">
        <v>1</v>
      </c>
      <c r="F216" s="7" t="s">
        <v>147</v>
      </c>
      <c r="G216" s="5">
        <v>3</v>
      </c>
      <c r="H216" s="7" t="s">
        <v>192</v>
      </c>
      <c r="I216" s="5">
        <v>0</v>
      </c>
      <c r="J216" s="7" t="s">
        <v>149</v>
      </c>
      <c r="K216">
        <v>6</v>
      </c>
      <c r="L216">
        <v>1.5</v>
      </c>
      <c r="M216" s="5">
        <v>1.5</v>
      </c>
      <c r="N216" s="5">
        <v>10</v>
      </c>
      <c r="O216" s="5">
        <f t="shared" si="1361"/>
        <v>32686</v>
      </c>
      <c r="P216" s="5">
        <f t="shared" si="1362"/>
        <v>180576000</v>
      </c>
      <c r="Q216" s="5">
        <f t="shared" si="1363"/>
        <v>3009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70061</v>
      </c>
      <c r="X216" s="6" t="s">
        <v>184</v>
      </c>
      <c r="Y216" s="5">
        <v>300</v>
      </c>
      <c r="Z216" s="5">
        <v>1</v>
      </c>
      <c r="AA216" s="5">
        <v>21232189</v>
      </c>
      <c r="AB216" s="16" t="s">
        <v>111</v>
      </c>
      <c r="AC216" s="7" t="s">
        <v>112</v>
      </c>
      <c r="AD216" s="7" t="s">
        <v>112</v>
      </c>
      <c r="AE216" s="7" t="s">
        <v>112</v>
      </c>
      <c r="AF216" s="6" t="s">
        <v>113</v>
      </c>
      <c r="AG216" s="26" t="str">
        <f t="shared" ref="AG216" si="1512">CM$9</f>
        <v>4,33,28,33,6,4,33,28,33,6</v>
      </c>
      <c r="AH216" s="26" t="str">
        <f t="shared" ref="AH216" si="1513">CN$9</f>
        <v>0,6,0,6,1,0,6,0,6,1</v>
      </c>
      <c r="AI216" s="26" t="str">
        <f t="shared" ref="AI216" si="1514">CO$9</f>
        <v>0,0,0,0,1,0,0,0,0,1</v>
      </c>
      <c r="AJ216" s="26" t="str">
        <f t="shared" ref="AJ216" si="1515">CP$9</f>
        <v>0,0,0,0,5,0,0,0,0,5</v>
      </c>
      <c r="AK216" s="26" t="str">
        <f t="shared" ref="AK216" si="1516">CQ$9</f>
        <v>200,1,1000,2,5,200,1,1000,2,5</v>
      </c>
      <c r="AL216" s="26" t="str">
        <f t="shared" ref="AL216" si="1517">CR$9</f>
        <v>5,5,5,5,5,5,5,5,5,5</v>
      </c>
      <c r="AM216" s="7">
        <v>2001</v>
      </c>
      <c r="AO216">
        <f t="shared" ref="AO216" si="1518">AQ216*100+6</f>
        <v>2406</v>
      </c>
      <c r="AP216">
        <v>212</v>
      </c>
      <c r="AQ216">
        <f t="shared" si="1371"/>
        <v>24</v>
      </c>
      <c r="AR216" s="17">
        <v>8</v>
      </c>
      <c r="AS216" s="17">
        <f t="shared" si="1452"/>
        <v>180</v>
      </c>
      <c r="AT216" s="17">
        <v>7</v>
      </c>
      <c r="AU216">
        <f t="shared" si="1372"/>
        <v>24</v>
      </c>
      <c r="AV216">
        <v>150</v>
      </c>
      <c r="AW216">
        <f t="shared" si="1373"/>
        <v>32686.663679999998</v>
      </c>
      <c r="AX216">
        <f t="shared" si="1502"/>
        <v>180576000.00000003</v>
      </c>
      <c r="AY216">
        <f t="shared" si="1374"/>
        <v>3009.6000000000004</v>
      </c>
      <c r="AZ216">
        <f t="shared" si="1375"/>
        <v>6019.2000000000007</v>
      </c>
      <c r="BA216">
        <f t="shared" si="1376"/>
        <v>40128</v>
      </c>
      <c r="BB216">
        <f t="shared" si="1377"/>
        <v>1504.8000000000002</v>
      </c>
      <c r="BC216">
        <f t="shared" si="1503"/>
        <v>180576000.00000003</v>
      </c>
      <c r="BD216">
        <f t="shared" si="1378"/>
        <v>0.29411764705882354</v>
      </c>
      <c r="BE216" s="27">
        <f t="shared" si="1504"/>
        <v>97007883.033600032</v>
      </c>
      <c r="BF216" s="30">
        <f t="shared" si="1379"/>
        <v>0.35759999999999997</v>
      </c>
      <c r="BG216" s="27"/>
      <c r="BH216" s="27"/>
      <c r="BI216" s="27"/>
      <c r="CA216" s="20">
        <f t="shared" si="1380"/>
        <v>215</v>
      </c>
      <c r="CB216" s="20">
        <f t="shared" si="1381"/>
        <v>21500</v>
      </c>
    </row>
    <row r="217" spans="1:80" x14ac:dyDescent="0.15">
      <c r="A217">
        <v>2407</v>
      </c>
      <c r="B217" s="3" t="s">
        <v>126</v>
      </c>
      <c r="C217" s="4" t="s">
        <v>109</v>
      </c>
      <c r="D217" s="4" t="s">
        <v>110</v>
      </c>
      <c r="E217" s="5">
        <v>2</v>
      </c>
      <c r="F217" s="7" t="s">
        <v>143</v>
      </c>
      <c r="G217" s="5">
        <v>3</v>
      </c>
      <c r="H217" s="7" t="s">
        <v>193</v>
      </c>
      <c r="I217" s="5">
        <v>0</v>
      </c>
      <c r="J217" s="5">
        <v>0</v>
      </c>
      <c r="K217">
        <v>2</v>
      </c>
      <c r="L217">
        <v>1.5</v>
      </c>
      <c r="M217" s="5">
        <v>1.5</v>
      </c>
      <c r="N217" s="5">
        <v>10</v>
      </c>
      <c r="O217" s="5">
        <f t="shared" si="1361"/>
        <v>33546</v>
      </c>
      <c r="P217" s="5">
        <f t="shared" si="1362"/>
        <v>185328000</v>
      </c>
      <c r="Q217" s="5">
        <f t="shared" si="1363"/>
        <v>3088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70071</v>
      </c>
      <c r="X217" s="6" t="s">
        <v>185</v>
      </c>
      <c r="Y217" s="5">
        <v>300</v>
      </c>
      <c r="Z217" s="5">
        <v>1</v>
      </c>
      <c r="AA217" s="5">
        <v>22579936</v>
      </c>
      <c r="AB217" s="16" t="s">
        <v>111</v>
      </c>
      <c r="AC217" s="7" t="s">
        <v>112</v>
      </c>
      <c r="AD217" s="7" t="s">
        <v>112</v>
      </c>
      <c r="AE217" s="7" t="s">
        <v>112</v>
      </c>
      <c r="AF217" s="6" t="s">
        <v>113</v>
      </c>
      <c r="AG217" s="26" t="str">
        <f t="shared" ref="AG217" si="1519">CM$10</f>
        <v>4,14,28,14,6,4,14,28,14,6</v>
      </c>
      <c r="AH217" s="26" t="str">
        <f t="shared" ref="AH217" si="1520">CN$10</f>
        <v>0,0,0,0,1,0,0,0,0,1</v>
      </c>
      <c r="AI217" s="26" t="str">
        <f t="shared" ref="AI217" si="1521">CO$10</f>
        <v>0,0,0,0,1,0,0,0,0,1</v>
      </c>
      <c r="AJ217" s="26" t="str">
        <f t="shared" ref="AJ217" si="1522">CP$10</f>
        <v>0,0,0,0,5,0,0,0,0,5</v>
      </c>
      <c r="AK217" s="26" t="str">
        <f t="shared" ref="AK217" si="1523">CQ$10</f>
        <v>200,1,1000,2,5,200,1,1000,2,5</v>
      </c>
      <c r="AL217" s="26" t="str">
        <f t="shared" ref="AL217" si="1524">CR$10</f>
        <v>5,5,5,5,5,5,5,5,5,5</v>
      </c>
      <c r="AM217" s="7">
        <v>2001</v>
      </c>
      <c r="AO217">
        <f t="shared" ref="AO217" si="1525">AQ217*100+7</f>
        <v>2407</v>
      </c>
      <c r="AP217">
        <v>213</v>
      </c>
      <c r="AQ217">
        <f t="shared" si="1371"/>
        <v>24</v>
      </c>
      <c r="AR217" s="17">
        <v>8</v>
      </c>
      <c r="AS217" s="17">
        <f t="shared" si="1452"/>
        <v>185</v>
      </c>
      <c r="AT217" s="17">
        <v>7</v>
      </c>
      <c r="AU217">
        <f t="shared" si="1372"/>
        <v>24</v>
      </c>
      <c r="AV217">
        <v>150</v>
      </c>
      <c r="AW217">
        <f t="shared" si="1373"/>
        <v>33546.839039999992</v>
      </c>
      <c r="AX217">
        <f t="shared" si="1502"/>
        <v>185328000.00000003</v>
      </c>
      <c r="AY217">
        <f t="shared" si="1374"/>
        <v>3088.8000000000006</v>
      </c>
      <c r="AZ217">
        <f t="shared" si="1375"/>
        <v>6177.6000000000013</v>
      </c>
      <c r="BA217">
        <f t="shared" si="1376"/>
        <v>41184</v>
      </c>
      <c r="BB217">
        <f t="shared" si="1377"/>
        <v>1544.4000000000003</v>
      </c>
      <c r="BC217">
        <f t="shared" si="1503"/>
        <v>185328000.00000003</v>
      </c>
      <c r="BD217">
        <f t="shared" si="1378"/>
        <v>0.29411764705882354</v>
      </c>
      <c r="BE217" s="27">
        <f t="shared" si="1504"/>
        <v>102180741.06240006</v>
      </c>
      <c r="BF217" s="30">
        <f t="shared" si="1379"/>
        <v>0.35759999999999997</v>
      </c>
      <c r="BG217" s="27"/>
      <c r="BH217" s="27"/>
      <c r="BI217" s="27"/>
      <c r="CA217" s="20">
        <f t="shared" si="1380"/>
        <v>215</v>
      </c>
      <c r="CB217" s="20">
        <f t="shared" si="1381"/>
        <v>21500</v>
      </c>
    </row>
    <row r="218" spans="1:80" x14ac:dyDescent="0.15">
      <c r="A218">
        <v>2408</v>
      </c>
      <c r="B218" s="3" t="s">
        <v>128</v>
      </c>
      <c r="C218" s="4" t="s">
        <v>109</v>
      </c>
      <c r="D218" s="4" t="s">
        <v>110</v>
      </c>
      <c r="E218" s="5">
        <v>5</v>
      </c>
      <c r="F218" s="7" t="s">
        <v>129</v>
      </c>
      <c r="G218" s="5">
        <v>2</v>
      </c>
      <c r="H218" s="7" t="s">
        <v>130</v>
      </c>
      <c r="I218" s="5">
        <v>0</v>
      </c>
      <c r="J218" s="5">
        <v>0</v>
      </c>
      <c r="K218">
        <v>2</v>
      </c>
      <c r="L218">
        <v>1.5</v>
      </c>
      <c r="M218" s="5">
        <v>1.5</v>
      </c>
      <c r="N218" s="5">
        <v>10</v>
      </c>
      <c r="O218" s="5">
        <f t="shared" si="1361"/>
        <v>34407</v>
      </c>
      <c r="P218" s="5">
        <f t="shared" si="1362"/>
        <v>190080000</v>
      </c>
      <c r="Q218" s="5">
        <f t="shared" si="1363"/>
        <v>3168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70081</v>
      </c>
      <c r="X218" s="6" t="s">
        <v>186</v>
      </c>
      <c r="Y218" s="5">
        <v>300</v>
      </c>
      <c r="Z218" s="5">
        <v>1</v>
      </c>
      <c r="AA218" s="5">
        <v>23969151</v>
      </c>
      <c r="AB218" s="16" t="s">
        <v>111</v>
      </c>
      <c r="AC218" s="7" t="s">
        <v>112</v>
      </c>
      <c r="AD218" s="7" t="s">
        <v>112</v>
      </c>
      <c r="AE218" s="7" t="s">
        <v>112</v>
      </c>
      <c r="AF218" s="6" t="s">
        <v>113</v>
      </c>
      <c r="AG218" s="26" t="str">
        <f t="shared" ref="AG218" si="1526">CM$11</f>
        <v>4,28,6,28,6,4,28,6,28,6</v>
      </c>
      <c r="AH218" s="26" t="str">
        <f t="shared" ref="AH218" si="1527">CN$11</f>
        <v>0,0,1,0,1,0,0,1,0,1</v>
      </c>
      <c r="AI218" s="26" t="str">
        <f t="shared" ref="AI218" si="1528">CO$11</f>
        <v>0,0,1,0,1,0,0,1,0,1</v>
      </c>
      <c r="AJ218" s="26" t="str">
        <f t="shared" ref="AJ218" si="1529">CP$11</f>
        <v>0,0,5,0,5,0,0,5,0,5</v>
      </c>
      <c r="AK218" s="26" t="str">
        <f t="shared" ref="AK218" si="1530">CQ$11</f>
        <v>100,1000,5,1500,5,200,1000,5,1500,5</v>
      </c>
      <c r="AL218" s="26" t="str">
        <f t="shared" ref="AL218" si="1531">CR$11</f>
        <v>5,5,5,5,5,5,5,5,5,5</v>
      </c>
      <c r="AM218" s="7">
        <v>2001</v>
      </c>
      <c r="AO218">
        <f t="shared" ref="AO218" si="1532">AQ218*100+8</f>
        <v>2408</v>
      </c>
      <c r="AP218">
        <v>214</v>
      </c>
      <c r="AQ218">
        <f t="shared" si="1371"/>
        <v>24</v>
      </c>
      <c r="AR218" s="17">
        <v>8</v>
      </c>
      <c r="AS218" s="17">
        <f t="shared" si="1452"/>
        <v>190</v>
      </c>
      <c r="AT218" s="17">
        <v>7</v>
      </c>
      <c r="AU218">
        <f t="shared" si="1372"/>
        <v>24</v>
      </c>
      <c r="AV218">
        <v>150</v>
      </c>
      <c r="AW218">
        <f t="shared" si="1373"/>
        <v>34407.0144</v>
      </c>
      <c r="AX218">
        <f t="shared" si="1502"/>
        <v>190080000.00000003</v>
      </c>
      <c r="AY218">
        <f t="shared" si="1374"/>
        <v>3168.0000000000005</v>
      </c>
      <c r="AZ218">
        <f t="shared" si="1375"/>
        <v>6336.0000000000009</v>
      </c>
      <c r="BA218">
        <f t="shared" si="1376"/>
        <v>42240</v>
      </c>
      <c r="BB218">
        <f t="shared" si="1377"/>
        <v>1584.0000000000002</v>
      </c>
      <c r="BC218">
        <f t="shared" si="1503"/>
        <v>190080000.00000003</v>
      </c>
      <c r="BD218">
        <f t="shared" si="1378"/>
        <v>0.29411764705882348</v>
      </c>
      <c r="BE218" s="27">
        <f t="shared" si="1504"/>
        <v>107487959.04000005</v>
      </c>
      <c r="BF218" s="30">
        <f t="shared" si="1379"/>
        <v>0.35759999999999997</v>
      </c>
      <c r="BG218" s="27"/>
      <c r="BH218" s="27"/>
      <c r="BI218" s="27"/>
      <c r="CA218" s="20">
        <f t="shared" si="1380"/>
        <v>215</v>
      </c>
      <c r="CB218" s="20">
        <f t="shared" si="1381"/>
        <v>21500</v>
      </c>
    </row>
    <row r="219" spans="1:80" x14ac:dyDescent="0.15">
      <c r="A219">
        <v>2409</v>
      </c>
      <c r="B219" s="3" t="s">
        <v>132</v>
      </c>
      <c r="C219" s="4" t="s">
        <v>109</v>
      </c>
      <c r="D219" s="4" t="s">
        <v>110</v>
      </c>
      <c r="E219" s="5">
        <v>5</v>
      </c>
      <c r="F219" s="7" t="s">
        <v>140</v>
      </c>
      <c r="G219" s="5">
        <v>3</v>
      </c>
      <c r="H219" s="7" t="s">
        <v>140</v>
      </c>
      <c r="I219" s="5">
        <v>0</v>
      </c>
      <c r="J219" s="7">
        <v>0</v>
      </c>
      <c r="K219">
        <v>6</v>
      </c>
      <c r="L219">
        <v>1.5</v>
      </c>
      <c r="M219" s="5">
        <v>1.5</v>
      </c>
      <c r="N219" s="5">
        <v>10</v>
      </c>
      <c r="O219" s="5">
        <f t="shared" si="1361"/>
        <v>35267</v>
      </c>
      <c r="P219" s="5">
        <f t="shared" si="1362"/>
        <v>194832000</v>
      </c>
      <c r="Q219" s="5">
        <f t="shared" si="1363"/>
        <v>3247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70091</v>
      </c>
      <c r="X219" s="6" t="s">
        <v>187</v>
      </c>
      <c r="Y219" s="5">
        <v>300</v>
      </c>
      <c r="Z219" s="5">
        <v>1</v>
      </c>
      <c r="AA219" s="5">
        <v>25399836</v>
      </c>
      <c r="AB219" s="16" t="s">
        <v>111</v>
      </c>
      <c r="AC219" s="7" t="s">
        <v>112</v>
      </c>
      <c r="AD219" s="7" t="s">
        <v>112</v>
      </c>
      <c r="AE219" s="7" t="s">
        <v>112</v>
      </c>
      <c r="AF219" s="6" t="s">
        <v>113</v>
      </c>
      <c r="AG219" s="26" t="str">
        <f t="shared" ref="AG219" si="1533">CM$12</f>
        <v>4,33,28,33,6,4,33,28,33,6</v>
      </c>
      <c r="AH219" s="26" t="str">
        <f t="shared" ref="AH219" si="1534">CN$12</f>
        <v>0,5,0,5,1,0,5,0,5,1</v>
      </c>
      <c r="AI219" s="26" t="str">
        <f t="shared" ref="AI219" si="1535">CO$12</f>
        <v>0,0,0,0,1,0,0,0,0,1</v>
      </c>
      <c r="AJ219" s="26" t="str">
        <f t="shared" ref="AJ219" si="1536">CP$12</f>
        <v>0,0,0,0,5,0,0,0,0,5</v>
      </c>
      <c r="AK219" s="26" t="str">
        <f t="shared" ref="AK219" si="1537">CQ$12</f>
        <v>100,1,1000,2,5,200,1,1000,2,5</v>
      </c>
      <c r="AL219" s="26" t="str">
        <f t="shared" ref="AL219" si="1538">CR$12</f>
        <v>5,5,5,5,5,5,5,5,5,5</v>
      </c>
      <c r="AM219" s="7">
        <v>2001</v>
      </c>
      <c r="AO219">
        <f t="shared" ref="AO219" si="1539">AQ219*100+9</f>
        <v>2409</v>
      </c>
      <c r="AP219">
        <v>215</v>
      </c>
      <c r="AQ219">
        <f t="shared" si="1371"/>
        <v>24</v>
      </c>
      <c r="AR219" s="17">
        <v>8</v>
      </c>
      <c r="AS219" s="17">
        <f t="shared" si="1452"/>
        <v>195</v>
      </c>
      <c r="AT219" s="17">
        <v>7</v>
      </c>
      <c r="AU219">
        <f t="shared" si="1372"/>
        <v>24</v>
      </c>
      <c r="AV219">
        <v>150</v>
      </c>
      <c r="AW219">
        <f t="shared" si="1373"/>
        <v>35267.189759999994</v>
      </c>
      <c r="AX219">
        <f t="shared" si="1502"/>
        <v>194832000.00000003</v>
      </c>
      <c r="AY219">
        <f t="shared" si="1374"/>
        <v>3247.2000000000003</v>
      </c>
      <c r="AZ219">
        <f t="shared" si="1375"/>
        <v>6494.4000000000005</v>
      </c>
      <c r="BA219">
        <f t="shared" si="1376"/>
        <v>43296</v>
      </c>
      <c r="BB219">
        <f t="shared" si="1377"/>
        <v>1623.6000000000001</v>
      </c>
      <c r="BC219">
        <f t="shared" si="1503"/>
        <v>194832000.00000003</v>
      </c>
      <c r="BD219">
        <f t="shared" si="1378"/>
        <v>0.29411764705882354</v>
      </c>
      <c r="BE219" s="27">
        <f t="shared" si="1504"/>
        <v>112929536.96640004</v>
      </c>
      <c r="BF219" s="30">
        <f t="shared" si="1379"/>
        <v>0.35759999999999997</v>
      </c>
      <c r="BG219" s="27"/>
      <c r="BH219" s="27"/>
      <c r="BI219" s="27"/>
      <c r="CA219" s="20">
        <f t="shared" si="1380"/>
        <v>215</v>
      </c>
      <c r="CB219" s="20">
        <f t="shared" si="1381"/>
        <v>21500</v>
      </c>
    </row>
    <row r="220" spans="1:80" x14ac:dyDescent="0.15">
      <c r="A220">
        <v>2501</v>
      </c>
      <c r="B220" s="3" t="s">
        <v>108</v>
      </c>
      <c r="C220" s="4" t="s">
        <v>109</v>
      </c>
      <c r="D220" s="4" t="s">
        <v>110</v>
      </c>
      <c r="E220" s="5">
        <v>3</v>
      </c>
      <c r="F220" s="7" t="s">
        <v>141</v>
      </c>
      <c r="G220" s="5">
        <v>2.5</v>
      </c>
      <c r="H220" s="7" t="s">
        <v>194</v>
      </c>
      <c r="I220" s="5">
        <v>0</v>
      </c>
      <c r="J220" s="5">
        <v>0</v>
      </c>
      <c r="K220">
        <v>2</v>
      </c>
      <c r="L220">
        <v>1.5</v>
      </c>
      <c r="M220" s="5">
        <v>1.5</v>
      </c>
      <c r="N220" s="5">
        <v>10</v>
      </c>
      <c r="O220" s="5">
        <f t="shared" si="1361"/>
        <v>29297</v>
      </c>
      <c r="P220" s="5">
        <f t="shared" si="1362"/>
        <v>161568000</v>
      </c>
      <c r="Q220" s="5">
        <f t="shared" si="1363"/>
        <v>2692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70011</v>
      </c>
      <c r="X220" s="6" t="s">
        <v>179</v>
      </c>
      <c r="Y220" s="5">
        <v>300</v>
      </c>
      <c r="Z220" s="5">
        <v>1</v>
      </c>
      <c r="AA220" s="5">
        <v>26871990</v>
      </c>
      <c r="AB220" s="16" t="s">
        <v>111</v>
      </c>
      <c r="AC220" s="7" t="s">
        <v>112</v>
      </c>
      <c r="AD220" s="7" t="s">
        <v>112</v>
      </c>
      <c r="AE220" s="7" t="s">
        <v>112</v>
      </c>
      <c r="AF220" s="6" t="s">
        <v>113</v>
      </c>
      <c r="AG220" s="26" t="str">
        <f t="shared" ref="AG220" si="1540">CM$4</f>
        <v>4,33,28,33,6,4,33,28,33,6</v>
      </c>
      <c r="AH220" s="26" t="str">
        <f t="shared" ref="AH220" si="1541">CN$4</f>
        <v>0,8,0,8,1,0,8,0,8,1</v>
      </c>
      <c r="AI220" s="26" t="str">
        <f t="shared" ref="AI220" si="1542">CO$4</f>
        <v>0,0,0,0,1,0,0,0,0,1</v>
      </c>
      <c r="AJ220" s="26" t="str">
        <f t="shared" ref="AJ220" si="1543">CP$4</f>
        <v>0,0,0,0,5,0,0,0,0,5</v>
      </c>
      <c r="AK220" s="26" t="str">
        <f t="shared" ref="AK220" si="1544">CQ$4</f>
        <v>100,1,1000,2,5,200,1,1000,2,5</v>
      </c>
      <c r="AL220" s="26" t="str">
        <f t="shared" ref="AL220" si="1545">CR$4</f>
        <v>5,5,5,5,5,5,5,5,5,5</v>
      </c>
      <c r="AM220" s="7">
        <v>2001</v>
      </c>
      <c r="AO220">
        <f t="shared" ref="AO220" si="1546">AQ220*100+1</f>
        <v>2501</v>
      </c>
      <c r="AP220">
        <v>216</v>
      </c>
      <c r="AQ220">
        <f t="shared" si="1371"/>
        <v>25</v>
      </c>
      <c r="AR220" s="17">
        <v>8</v>
      </c>
      <c r="AS220" s="17">
        <f t="shared" si="1452"/>
        <v>160</v>
      </c>
      <c r="AT220" s="17">
        <v>7</v>
      </c>
      <c r="AU220">
        <f t="shared" si="1372"/>
        <v>24</v>
      </c>
      <c r="AV220">
        <v>150</v>
      </c>
      <c r="AW220">
        <f t="shared" si="1373"/>
        <v>29297.663999999993</v>
      </c>
      <c r="AX220">
        <f t="shared" si="1502"/>
        <v>161568000</v>
      </c>
      <c r="AY220">
        <f t="shared" si="1374"/>
        <v>2692.8</v>
      </c>
      <c r="AZ220">
        <f t="shared" si="1375"/>
        <v>5385.6</v>
      </c>
      <c r="BA220">
        <f t="shared" si="1376"/>
        <v>35904</v>
      </c>
      <c r="BB220">
        <f t="shared" si="1377"/>
        <v>1346.4</v>
      </c>
      <c r="BC220">
        <f t="shared" si="1503"/>
        <v>161568000</v>
      </c>
      <c r="BD220">
        <f t="shared" si="1378"/>
        <v>0.29411764705882348</v>
      </c>
      <c r="BE220" s="27">
        <f t="shared" si="1504"/>
        <v>77660050.406399995</v>
      </c>
      <c r="BF220" s="30">
        <f t="shared" si="1379"/>
        <v>0.36</v>
      </c>
      <c r="BG220" s="27"/>
      <c r="BH220" s="27"/>
      <c r="BI220" s="27"/>
      <c r="CA220" s="20">
        <f t="shared" si="1380"/>
        <v>220</v>
      </c>
      <c r="CB220" s="20">
        <f t="shared" si="1381"/>
        <v>22000</v>
      </c>
    </row>
    <row r="221" spans="1:80" x14ac:dyDescent="0.15">
      <c r="A221">
        <v>2502</v>
      </c>
      <c r="B221" s="3" t="s">
        <v>115</v>
      </c>
      <c r="C221" s="4" t="s">
        <v>109</v>
      </c>
      <c r="D221" s="6" t="s">
        <v>110</v>
      </c>
      <c r="E221" s="5">
        <v>3</v>
      </c>
      <c r="F221" s="7" t="s">
        <v>142</v>
      </c>
      <c r="G221" s="5">
        <v>3</v>
      </c>
      <c r="H221" s="7" t="s">
        <v>188</v>
      </c>
      <c r="I221" s="5">
        <v>0</v>
      </c>
      <c r="J221" s="5">
        <v>0</v>
      </c>
      <c r="K221">
        <v>2</v>
      </c>
      <c r="L221">
        <v>1.5</v>
      </c>
      <c r="M221" s="5">
        <v>1.5</v>
      </c>
      <c r="N221" s="5">
        <v>10</v>
      </c>
      <c r="O221" s="5">
        <f t="shared" si="1361"/>
        <v>30159</v>
      </c>
      <c r="P221" s="5">
        <f t="shared" si="1362"/>
        <v>166320000</v>
      </c>
      <c r="Q221" s="5">
        <f t="shared" si="1363"/>
        <v>2772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70021</v>
      </c>
      <c r="X221" s="6" t="s">
        <v>180</v>
      </c>
      <c r="Y221" s="5">
        <v>300</v>
      </c>
      <c r="Z221" s="5">
        <v>1</v>
      </c>
      <c r="AA221" s="5">
        <v>17437765</v>
      </c>
      <c r="AB221" s="16" t="s">
        <v>111</v>
      </c>
      <c r="AC221" s="7" t="s">
        <v>112</v>
      </c>
      <c r="AD221" s="7" t="s">
        <v>112</v>
      </c>
      <c r="AE221" s="7" t="s">
        <v>112</v>
      </c>
      <c r="AF221" s="6" t="s">
        <v>113</v>
      </c>
      <c r="AG221" s="26" t="str">
        <f t="shared" ref="AG221" si="1547">CM$5</f>
        <v>4,33,28,33,6,4,33,28,33,6</v>
      </c>
      <c r="AH221" s="26" t="str">
        <f t="shared" ref="AH221" si="1548">CN$5</f>
        <v>0,7,0,7,1,0,7,0,7,1</v>
      </c>
      <c r="AI221" s="26" t="str">
        <f t="shared" ref="AI221" si="1549">CO$5</f>
        <v>0,0,0,0,1,0,0,0,0,1</v>
      </c>
      <c r="AJ221" s="26" t="str">
        <f t="shared" ref="AJ221" si="1550">CP$5</f>
        <v>0,0,0,0,5,0,0,0,0,5</v>
      </c>
      <c r="AK221" s="26" t="str">
        <f t="shared" ref="AK221" si="1551">CQ$5</f>
        <v>100,1,1000,2,5,200,1,1000,2,5</v>
      </c>
      <c r="AL221" s="26" t="str">
        <f t="shared" ref="AL221" si="1552">CR$5</f>
        <v>5,5,5,5,5,5,5,5,5,5</v>
      </c>
      <c r="AM221" s="7">
        <v>2001</v>
      </c>
      <c r="AO221">
        <f t="shared" ref="AO221" si="1553">AQ221*100+2</f>
        <v>2502</v>
      </c>
      <c r="AP221">
        <v>217</v>
      </c>
      <c r="AQ221">
        <f t="shared" si="1371"/>
        <v>25</v>
      </c>
      <c r="AR221" s="17">
        <v>8</v>
      </c>
      <c r="AS221" s="17">
        <f t="shared" si="1452"/>
        <v>165</v>
      </c>
      <c r="AT221" s="17">
        <v>7</v>
      </c>
      <c r="AU221">
        <f t="shared" si="1372"/>
        <v>24</v>
      </c>
      <c r="AV221">
        <v>150</v>
      </c>
      <c r="AW221">
        <f t="shared" si="1373"/>
        <v>30159.359999999997</v>
      </c>
      <c r="AX221">
        <f t="shared" si="1502"/>
        <v>166320000.00000003</v>
      </c>
      <c r="AY221">
        <f t="shared" si="1374"/>
        <v>2772.0000000000005</v>
      </c>
      <c r="AZ221">
        <f t="shared" si="1375"/>
        <v>5544.0000000000009</v>
      </c>
      <c r="BA221">
        <f t="shared" si="1376"/>
        <v>36960</v>
      </c>
      <c r="BB221">
        <f t="shared" si="1377"/>
        <v>1386.0000000000002</v>
      </c>
      <c r="BC221">
        <f t="shared" si="1503"/>
        <v>166320000.00000003</v>
      </c>
      <c r="BD221">
        <f t="shared" si="1378"/>
        <v>0.29411764705882348</v>
      </c>
      <c r="BE221" s="27">
        <f t="shared" si="1504"/>
        <v>82295468.64000003</v>
      </c>
      <c r="BF221" s="30">
        <f t="shared" si="1379"/>
        <v>0.36</v>
      </c>
      <c r="BG221" s="27"/>
      <c r="BH221" s="27"/>
      <c r="BI221" s="27"/>
      <c r="CA221" s="20">
        <f t="shared" si="1380"/>
        <v>220</v>
      </c>
      <c r="CB221" s="20">
        <f t="shared" si="1381"/>
        <v>22000</v>
      </c>
    </row>
    <row r="222" spans="1:80" x14ac:dyDescent="0.15">
      <c r="A222">
        <v>2503</v>
      </c>
      <c r="B222" s="3" t="s">
        <v>117</v>
      </c>
      <c r="C222" s="4" t="s">
        <v>109</v>
      </c>
      <c r="D222" s="4" t="s">
        <v>110</v>
      </c>
      <c r="E222" s="5">
        <v>1</v>
      </c>
      <c r="F222" s="7" t="s">
        <v>144</v>
      </c>
      <c r="G222" s="5">
        <v>3</v>
      </c>
      <c r="H222" s="7" t="s">
        <v>189</v>
      </c>
      <c r="I222" s="5">
        <v>0</v>
      </c>
      <c r="J222" s="2">
        <v>0</v>
      </c>
      <c r="K222">
        <v>6</v>
      </c>
      <c r="L222">
        <v>1.5</v>
      </c>
      <c r="M222" s="5">
        <v>1.5</v>
      </c>
      <c r="N222" s="5">
        <v>10</v>
      </c>
      <c r="O222" s="5">
        <f t="shared" si="1361"/>
        <v>31021</v>
      </c>
      <c r="P222" s="5">
        <f t="shared" si="1362"/>
        <v>171072000</v>
      </c>
      <c r="Q222" s="5">
        <f t="shared" si="1363"/>
        <v>2851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70031</v>
      </c>
      <c r="X222" s="6" t="s">
        <v>181</v>
      </c>
      <c r="Y222" s="5">
        <v>300</v>
      </c>
      <c r="Z222" s="5">
        <v>1</v>
      </c>
      <c r="AA222" s="5">
        <v>18661104</v>
      </c>
      <c r="AB222" s="16" t="s">
        <v>111</v>
      </c>
      <c r="AC222" s="7" t="s">
        <v>112</v>
      </c>
      <c r="AD222" s="7" t="s">
        <v>112</v>
      </c>
      <c r="AE222" s="7" t="s">
        <v>112</v>
      </c>
      <c r="AF222" s="6" t="s">
        <v>113</v>
      </c>
      <c r="AG222" s="26" t="str">
        <f t="shared" ref="AG222" si="1554">CM$6</f>
        <v>4,28,6,28,6,4,28,6,28,6</v>
      </c>
      <c r="AH222" s="26" t="str">
        <f t="shared" ref="AH222" si="1555">CN$6</f>
        <v>0,0,1,0,1,0,0,1,0,1</v>
      </c>
      <c r="AI222" s="26" t="str">
        <f t="shared" ref="AI222" si="1556">CO$6</f>
        <v>0,0,0,0,1,0,0,0,0,1</v>
      </c>
      <c r="AJ222" s="26" t="str">
        <f t="shared" ref="AJ222" si="1557">CP$6</f>
        <v>0,0,5,0,5,0,0,5,0,5</v>
      </c>
      <c r="AK222" s="26" t="str">
        <f t="shared" ref="AK222" si="1558">CQ$6</f>
        <v>100,1000,5,1500,5,200,1000,5,1500,5</v>
      </c>
      <c r="AL222" s="26" t="str">
        <f t="shared" ref="AL222" si="1559">CR$6</f>
        <v>5,5,5,5,5,5,5,5,5,5</v>
      </c>
      <c r="AM222" s="7">
        <v>2001</v>
      </c>
      <c r="AO222">
        <f t="shared" ref="AO222" si="1560">AQ222*100+3</f>
        <v>2503</v>
      </c>
      <c r="AP222">
        <v>218</v>
      </c>
      <c r="AQ222">
        <f t="shared" si="1371"/>
        <v>25</v>
      </c>
      <c r="AR222" s="17">
        <v>8</v>
      </c>
      <c r="AS222" s="17">
        <f t="shared" si="1452"/>
        <v>170</v>
      </c>
      <c r="AT222" s="17">
        <v>7</v>
      </c>
      <c r="AU222">
        <f t="shared" si="1372"/>
        <v>24</v>
      </c>
      <c r="AV222">
        <v>150</v>
      </c>
      <c r="AW222">
        <f t="shared" si="1373"/>
        <v>31021.055999999997</v>
      </c>
      <c r="AX222">
        <f t="shared" si="1502"/>
        <v>171072000.00000003</v>
      </c>
      <c r="AY222">
        <f t="shared" si="1374"/>
        <v>2851.2000000000003</v>
      </c>
      <c r="AZ222">
        <f t="shared" si="1375"/>
        <v>5702.4000000000005</v>
      </c>
      <c r="BA222">
        <f t="shared" si="1376"/>
        <v>38016</v>
      </c>
      <c r="BB222">
        <f t="shared" si="1377"/>
        <v>1425.6000000000001</v>
      </c>
      <c r="BC222">
        <f t="shared" si="1503"/>
        <v>171072000.00000003</v>
      </c>
      <c r="BD222">
        <f t="shared" si="1378"/>
        <v>0.29411764705882354</v>
      </c>
      <c r="BE222" s="27">
        <f t="shared" si="1504"/>
        <v>87065246.822400033</v>
      </c>
      <c r="BF222" s="30">
        <f t="shared" si="1379"/>
        <v>0.36</v>
      </c>
      <c r="BG222" s="27"/>
      <c r="BH222" s="27"/>
      <c r="BI222" s="27"/>
      <c r="CA222" s="20">
        <f t="shared" si="1380"/>
        <v>220</v>
      </c>
      <c r="CB222" s="20">
        <f t="shared" si="1381"/>
        <v>22000</v>
      </c>
    </row>
    <row r="223" spans="1:80" x14ac:dyDescent="0.15">
      <c r="A223">
        <v>2504</v>
      </c>
      <c r="B223" s="3" t="s">
        <v>119</v>
      </c>
      <c r="C223" s="4" t="s">
        <v>109</v>
      </c>
      <c r="D223" s="6" t="s">
        <v>120</v>
      </c>
      <c r="E223" s="5">
        <v>3</v>
      </c>
      <c r="F223" s="7" t="s">
        <v>145</v>
      </c>
      <c r="G223" s="5">
        <v>3</v>
      </c>
      <c r="H223" s="7" t="s">
        <v>190</v>
      </c>
      <c r="I223" s="5">
        <v>0</v>
      </c>
      <c r="J223" s="5">
        <v>0</v>
      </c>
      <c r="K223">
        <v>2</v>
      </c>
      <c r="L223">
        <v>1.5</v>
      </c>
      <c r="M223" s="5">
        <v>1.5</v>
      </c>
      <c r="N223" s="5">
        <v>10</v>
      </c>
      <c r="O223" s="5">
        <f t="shared" si="1361"/>
        <v>31882</v>
      </c>
      <c r="P223" s="5">
        <f t="shared" si="1362"/>
        <v>175824000</v>
      </c>
      <c r="Q223" s="5">
        <f t="shared" si="1363"/>
        <v>2930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70041</v>
      </c>
      <c r="X223" s="6" t="s">
        <v>182</v>
      </c>
      <c r="Y223" s="5">
        <v>300</v>
      </c>
      <c r="Z223" s="5">
        <v>1</v>
      </c>
      <c r="AA223" s="5">
        <v>19925912</v>
      </c>
      <c r="AB223" s="16" t="s">
        <v>111</v>
      </c>
      <c r="AC223" s="7" t="s">
        <v>112</v>
      </c>
      <c r="AD223" s="7" t="s">
        <v>112</v>
      </c>
      <c r="AE223" s="7" t="s">
        <v>112</v>
      </c>
      <c r="AF223" s="6" t="s">
        <v>113</v>
      </c>
      <c r="AG223" s="26" t="str">
        <f t="shared" ref="AG223" si="1561">CM$7</f>
        <v>4,14,28,14,6,4,14,28,14,6</v>
      </c>
      <c r="AH223" s="26" t="str">
        <f t="shared" ref="AH223" si="1562">CN$7</f>
        <v>0,0,0,0,1,0,0,0,0,1</v>
      </c>
      <c r="AI223" s="26" t="str">
        <f t="shared" ref="AI223" si="1563">CO$7</f>
        <v>0,0,0,0,1,0,0,0,0,1</v>
      </c>
      <c r="AJ223" s="26" t="str">
        <f t="shared" ref="AJ223" si="1564">CP$7</f>
        <v>0,0,0,0,5,0,0,0,0,5</v>
      </c>
      <c r="AK223" s="26" t="str">
        <f t="shared" ref="AK223" si="1565">CQ$7</f>
        <v>100,1,1000,2,5,200,1,1000,2,5</v>
      </c>
      <c r="AL223" s="26" t="str">
        <f t="shared" ref="AL223" si="1566">CR$7</f>
        <v>5,5,5,5,5,5,5,5,5,5</v>
      </c>
      <c r="AM223" s="7">
        <v>2001</v>
      </c>
      <c r="AO223">
        <f t="shared" ref="AO223" si="1567">AQ223*100+4</f>
        <v>2504</v>
      </c>
      <c r="AP223">
        <v>219</v>
      </c>
      <c r="AQ223">
        <f t="shared" si="1371"/>
        <v>25</v>
      </c>
      <c r="AR223" s="17">
        <v>8</v>
      </c>
      <c r="AS223" s="17">
        <f t="shared" si="1452"/>
        <v>175</v>
      </c>
      <c r="AT223" s="17">
        <v>7</v>
      </c>
      <c r="AU223">
        <f t="shared" si="1372"/>
        <v>24</v>
      </c>
      <c r="AV223">
        <v>150</v>
      </c>
      <c r="AW223">
        <f t="shared" si="1373"/>
        <v>31882.751999999997</v>
      </c>
      <c r="AX223">
        <f t="shared" si="1502"/>
        <v>175824000.00000003</v>
      </c>
      <c r="AY223">
        <f t="shared" si="1374"/>
        <v>2930.4000000000005</v>
      </c>
      <c r="AZ223">
        <f t="shared" si="1375"/>
        <v>5860.8000000000011</v>
      </c>
      <c r="BA223">
        <f t="shared" si="1376"/>
        <v>39072</v>
      </c>
      <c r="BB223">
        <f t="shared" si="1377"/>
        <v>1465.2000000000003</v>
      </c>
      <c r="BC223">
        <f t="shared" si="1503"/>
        <v>175824000.00000003</v>
      </c>
      <c r="BD223">
        <f t="shared" si="1378"/>
        <v>0.29411764705882359</v>
      </c>
      <c r="BE223" s="27">
        <f t="shared" si="1504"/>
        <v>91969384.953600034</v>
      </c>
      <c r="BF223" s="30">
        <f t="shared" si="1379"/>
        <v>0.36</v>
      </c>
      <c r="BG223" s="27"/>
      <c r="BH223" s="27"/>
      <c r="BI223" s="27"/>
      <c r="CA223" s="20">
        <f t="shared" si="1380"/>
        <v>220</v>
      </c>
      <c r="CB223" s="20">
        <f t="shared" si="1381"/>
        <v>22000</v>
      </c>
    </row>
    <row r="224" spans="1:80" x14ac:dyDescent="0.15">
      <c r="A224">
        <v>2505</v>
      </c>
      <c r="B224" s="3" t="s">
        <v>122</v>
      </c>
      <c r="C224" s="4" t="s">
        <v>109</v>
      </c>
      <c r="D224" s="4" t="s">
        <v>110</v>
      </c>
      <c r="E224" s="5">
        <v>2</v>
      </c>
      <c r="F224" s="7" t="s">
        <v>146</v>
      </c>
      <c r="G224" s="5">
        <v>3</v>
      </c>
      <c r="H224" s="7" t="s">
        <v>191</v>
      </c>
      <c r="I224" s="5">
        <v>0</v>
      </c>
      <c r="J224" s="7" t="s">
        <v>148</v>
      </c>
      <c r="K224">
        <v>6</v>
      </c>
      <c r="L224">
        <v>1.5</v>
      </c>
      <c r="M224" s="5">
        <v>1.5</v>
      </c>
      <c r="N224" s="5">
        <v>10</v>
      </c>
      <c r="O224" s="5">
        <f t="shared" si="1361"/>
        <v>32744</v>
      </c>
      <c r="P224" s="5">
        <f t="shared" si="1362"/>
        <v>180576000</v>
      </c>
      <c r="Q224" s="5">
        <f t="shared" si="1363"/>
        <v>3009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70051</v>
      </c>
      <c r="X224" s="6" t="s">
        <v>183</v>
      </c>
      <c r="Y224" s="5">
        <v>300</v>
      </c>
      <c r="Z224" s="5">
        <v>1</v>
      </c>
      <c r="AA224" s="5">
        <v>21232189</v>
      </c>
      <c r="AB224" s="16" t="s">
        <v>111</v>
      </c>
      <c r="AC224" s="7" t="s">
        <v>112</v>
      </c>
      <c r="AD224" s="7" t="s">
        <v>112</v>
      </c>
      <c r="AE224" s="7" t="s">
        <v>112</v>
      </c>
      <c r="AF224" s="6" t="s">
        <v>113</v>
      </c>
      <c r="AG224" s="26" t="str">
        <f t="shared" ref="AG224" si="1568">CM$8</f>
        <v>4,19,28,19,6,4,19,28,19,6</v>
      </c>
      <c r="AH224" s="26" t="str">
        <f t="shared" ref="AH224" si="1569">CN$8</f>
        <v>0,0,0,0,1,0,0,0,0,1</v>
      </c>
      <c r="AI224" s="26" t="str">
        <f t="shared" ref="AI224" si="1570">CO$8</f>
        <v>0,0,0,0,1,0,0,0,0,1</v>
      </c>
      <c r="AJ224" s="26" t="str">
        <f t="shared" ref="AJ224" si="1571">CP$8</f>
        <v>0,0,0,0,5,0,0,0,0,5</v>
      </c>
      <c r="AK224" s="26" t="str">
        <f t="shared" ref="AK224" si="1572">CQ$8</f>
        <v>200,100,1000,200,5,200,100,1000,200,5</v>
      </c>
      <c r="AL224" s="26" t="str">
        <f t="shared" ref="AL224" si="1573">CR$8</f>
        <v>5,5,5,5,5,5,5,5,5,5</v>
      </c>
      <c r="AM224" s="7">
        <v>2001</v>
      </c>
      <c r="AO224">
        <f t="shared" ref="AO224" si="1574">AQ224*100+5</f>
        <v>2505</v>
      </c>
      <c r="AP224">
        <v>220</v>
      </c>
      <c r="AQ224">
        <f t="shared" si="1371"/>
        <v>25</v>
      </c>
      <c r="AR224" s="17">
        <v>8</v>
      </c>
      <c r="AS224" s="17">
        <f t="shared" si="1452"/>
        <v>180</v>
      </c>
      <c r="AT224" s="17">
        <v>7</v>
      </c>
      <c r="AU224">
        <f t="shared" si="1372"/>
        <v>24</v>
      </c>
      <c r="AV224">
        <v>150</v>
      </c>
      <c r="AW224">
        <f t="shared" si="1373"/>
        <v>32744.447999999997</v>
      </c>
      <c r="AX224">
        <f t="shared" si="1502"/>
        <v>180576000.00000003</v>
      </c>
      <c r="AY224">
        <f t="shared" si="1374"/>
        <v>3009.6000000000004</v>
      </c>
      <c r="AZ224">
        <f t="shared" si="1375"/>
        <v>6019.2000000000007</v>
      </c>
      <c r="BA224">
        <f t="shared" si="1376"/>
        <v>40128</v>
      </c>
      <c r="BB224">
        <f t="shared" si="1377"/>
        <v>1504.8000000000002</v>
      </c>
      <c r="BC224">
        <f t="shared" si="1503"/>
        <v>180576000.00000003</v>
      </c>
      <c r="BD224">
        <f t="shared" si="1378"/>
        <v>0.29411764705882354</v>
      </c>
      <c r="BE224" s="27">
        <f t="shared" si="1504"/>
        <v>97007883.033600032</v>
      </c>
      <c r="BF224" s="30">
        <f t="shared" si="1379"/>
        <v>0.36</v>
      </c>
      <c r="BG224" s="27"/>
      <c r="BH224" s="27"/>
      <c r="BI224" s="27"/>
      <c r="CA224" s="20">
        <f t="shared" si="1380"/>
        <v>220</v>
      </c>
      <c r="CB224" s="20">
        <f t="shared" si="1381"/>
        <v>22000</v>
      </c>
    </row>
    <row r="225" spans="1:80" x14ac:dyDescent="0.15">
      <c r="A225">
        <v>2506</v>
      </c>
      <c r="B225" s="3" t="s">
        <v>124</v>
      </c>
      <c r="C225" s="4" t="s">
        <v>109</v>
      </c>
      <c r="D225" s="6" t="s">
        <v>120</v>
      </c>
      <c r="E225" s="5">
        <v>1</v>
      </c>
      <c r="F225" s="7" t="s">
        <v>147</v>
      </c>
      <c r="G225" s="5">
        <v>3</v>
      </c>
      <c r="H225" s="7" t="s">
        <v>192</v>
      </c>
      <c r="I225" s="5">
        <v>0</v>
      </c>
      <c r="J225" s="7" t="s">
        <v>149</v>
      </c>
      <c r="K225">
        <v>6</v>
      </c>
      <c r="L225">
        <v>1.5</v>
      </c>
      <c r="M225" s="5">
        <v>1.5</v>
      </c>
      <c r="N225" s="5">
        <v>10</v>
      </c>
      <c r="O225" s="5">
        <f t="shared" si="1361"/>
        <v>33606</v>
      </c>
      <c r="P225" s="5">
        <f t="shared" si="1362"/>
        <v>185328000</v>
      </c>
      <c r="Q225" s="5">
        <f t="shared" si="1363"/>
        <v>3088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70061</v>
      </c>
      <c r="X225" s="6" t="s">
        <v>184</v>
      </c>
      <c r="Y225" s="5">
        <v>300</v>
      </c>
      <c r="Z225" s="5">
        <v>1</v>
      </c>
      <c r="AA225" s="5">
        <v>22579936</v>
      </c>
      <c r="AB225" s="16" t="s">
        <v>111</v>
      </c>
      <c r="AC225" s="7" t="s">
        <v>112</v>
      </c>
      <c r="AD225" s="7" t="s">
        <v>112</v>
      </c>
      <c r="AE225" s="7" t="s">
        <v>112</v>
      </c>
      <c r="AF225" s="6" t="s">
        <v>113</v>
      </c>
      <c r="AG225" s="26" t="str">
        <f t="shared" ref="AG225" si="1575">CM$9</f>
        <v>4,33,28,33,6,4,33,28,33,6</v>
      </c>
      <c r="AH225" s="26" t="str">
        <f t="shared" ref="AH225" si="1576">CN$9</f>
        <v>0,6,0,6,1,0,6,0,6,1</v>
      </c>
      <c r="AI225" s="26" t="str">
        <f t="shared" ref="AI225" si="1577">CO$9</f>
        <v>0,0,0,0,1,0,0,0,0,1</v>
      </c>
      <c r="AJ225" s="26" t="str">
        <f t="shared" ref="AJ225" si="1578">CP$9</f>
        <v>0,0,0,0,5,0,0,0,0,5</v>
      </c>
      <c r="AK225" s="26" t="str">
        <f t="shared" ref="AK225" si="1579">CQ$9</f>
        <v>200,1,1000,2,5,200,1,1000,2,5</v>
      </c>
      <c r="AL225" s="26" t="str">
        <f t="shared" ref="AL225" si="1580">CR$9</f>
        <v>5,5,5,5,5,5,5,5,5,5</v>
      </c>
      <c r="AM225" s="7">
        <v>2001</v>
      </c>
      <c r="AO225">
        <f t="shared" ref="AO225" si="1581">AQ225*100+6</f>
        <v>2506</v>
      </c>
      <c r="AP225">
        <v>221</v>
      </c>
      <c r="AQ225">
        <f t="shared" si="1371"/>
        <v>25</v>
      </c>
      <c r="AR225" s="17">
        <v>8</v>
      </c>
      <c r="AS225" s="17">
        <f t="shared" si="1452"/>
        <v>185</v>
      </c>
      <c r="AT225" s="17">
        <v>7</v>
      </c>
      <c r="AU225">
        <f t="shared" si="1372"/>
        <v>24</v>
      </c>
      <c r="AV225">
        <v>150</v>
      </c>
      <c r="AW225">
        <f t="shared" si="1373"/>
        <v>33606.143999999993</v>
      </c>
      <c r="AX225">
        <f t="shared" si="1502"/>
        <v>185328000.00000003</v>
      </c>
      <c r="AY225">
        <f t="shared" si="1374"/>
        <v>3088.8000000000006</v>
      </c>
      <c r="AZ225">
        <f t="shared" si="1375"/>
        <v>6177.6000000000013</v>
      </c>
      <c r="BA225">
        <f t="shared" si="1376"/>
        <v>41184</v>
      </c>
      <c r="BB225">
        <f t="shared" si="1377"/>
        <v>1544.4000000000003</v>
      </c>
      <c r="BC225">
        <f t="shared" si="1503"/>
        <v>185328000.00000003</v>
      </c>
      <c r="BD225">
        <f t="shared" si="1378"/>
        <v>0.29411764705882354</v>
      </c>
      <c r="BE225" s="27">
        <f t="shared" si="1504"/>
        <v>102180741.06240006</v>
      </c>
      <c r="BF225" s="30">
        <f t="shared" si="1379"/>
        <v>0.36</v>
      </c>
      <c r="BG225" s="27"/>
      <c r="BH225" s="27"/>
      <c r="BI225" s="27"/>
      <c r="CA225" s="20">
        <f t="shared" si="1380"/>
        <v>220</v>
      </c>
      <c r="CB225" s="20">
        <f t="shared" si="1381"/>
        <v>22000</v>
      </c>
    </row>
    <row r="226" spans="1:80" x14ac:dyDescent="0.15">
      <c r="A226">
        <v>2507</v>
      </c>
      <c r="B226" s="3" t="s">
        <v>126</v>
      </c>
      <c r="C226" s="4" t="s">
        <v>109</v>
      </c>
      <c r="D226" s="4" t="s">
        <v>110</v>
      </c>
      <c r="E226" s="5">
        <v>2</v>
      </c>
      <c r="F226" s="7" t="s">
        <v>143</v>
      </c>
      <c r="G226" s="5">
        <v>3</v>
      </c>
      <c r="H226" s="7" t="s">
        <v>193</v>
      </c>
      <c r="I226" s="5">
        <v>0</v>
      </c>
      <c r="J226" s="5">
        <v>0</v>
      </c>
      <c r="K226">
        <v>2</v>
      </c>
      <c r="L226">
        <v>1.5</v>
      </c>
      <c r="M226" s="5">
        <v>1.5</v>
      </c>
      <c r="N226" s="5">
        <v>10</v>
      </c>
      <c r="O226" s="5">
        <f t="shared" si="1361"/>
        <v>34467</v>
      </c>
      <c r="P226" s="5">
        <f t="shared" si="1362"/>
        <v>190080000</v>
      </c>
      <c r="Q226" s="5">
        <f t="shared" si="1363"/>
        <v>3168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70071</v>
      </c>
      <c r="X226" s="6" t="s">
        <v>185</v>
      </c>
      <c r="Y226" s="5">
        <v>300</v>
      </c>
      <c r="Z226" s="5">
        <v>1</v>
      </c>
      <c r="AA226" s="5">
        <v>23969151</v>
      </c>
      <c r="AB226" s="16" t="s">
        <v>111</v>
      </c>
      <c r="AC226" s="7" t="s">
        <v>112</v>
      </c>
      <c r="AD226" s="7" t="s">
        <v>112</v>
      </c>
      <c r="AE226" s="7" t="s">
        <v>112</v>
      </c>
      <c r="AF226" s="6" t="s">
        <v>113</v>
      </c>
      <c r="AG226" s="26" t="str">
        <f t="shared" ref="AG226" si="1582">CM$10</f>
        <v>4,14,28,14,6,4,14,28,14,6</v>
      </c>
      <c r="AH226" s="26" t="str">
        <f t="shared" ref="AH226" si="1583">CN$10</f>
        <v>0,0,0,0,1,0,0,0,0,1</v>
      </c>
      <c r="AI226" s="26" t="str">
        <f t="shared" ref="AI226" si="1584">CO$10</f>
        <v>0,0,0,0,1,0,0,0,0,1</v>
      </c>
      <c r="AJ226" s="26" t="str">
        <f t="shared" ref="AJ226" si="1585">CP$10</f>
        <v>0,0,0,0,5,0,0,0,0,5</v>
      </c>
      <c r="AK226" s="26" t="str">
        <f t="shared" ref="AK226" si="1586">CQ$10</f>
        <v>200,1,1000,2,5,200,1,1000,2,5</v>
      </c>
      <c r="AL226" s="26" t="str">
        <f t="shared" ref="AL226" si="1587">CR$10</f>
        <v>5,5,5,5,5,5,5,5,5,5</v>
      </c>
      <c r="AM226" s="7">
        <v>2001</v>
      </c>
      <c r="AO226">
        <f t="shared" ref="AO226" si="1588">AQ226*100+7</f>
        <v>2507</v>
      </c>
      <c r="AP226">
        <v>222</v>
      </c>
      <c r="AQ226">
        <f t="shared" si="1371"/>
        <v>25</v>
      </c>
      <c r="AR226" s="17">
        <v>8</v>
      </c>
      <c r="AS226" s="17">
        <f t="shared" si="1452"/>
        <v>190</v>
      </c>
      <c r="AT226" s="17">
        <v>7</v>
      </c>
      <c r="AU226">
        <f t="shared" si="1372"/>
        <v>24</v>
      </c>
      <c r="AV226">
        <v>150</v>
      </c>
      <c r="AW226">
        <f t="shared" si="1373"/>
        <v>34467.839999999997</v>
      </c>
      <c r="AX226">
        <f t="shared" si="1502"/>
        <v>190080000.00000003</v>
      </c>
      <c r="AY226">
        <f t="shared" si="1374"/>
        <v>3168.0000000000005</v>
      </c>
      <c r="AZ226">
        <f t="shared" si="1375"/>
        <v>6336.0000000000009</v>
      </c>
      <c r="BA226">
        <f t="shared" si="1376"/>
        <v>42240</v>
      </c>
      <c r="BB226">
        <f t="shared" si="1377"/>
        <v>1584.0000000000002</v>
      </c>
      <c r="BC226">
        <f t="shared" si="1503"/>
        <v>190080000.00000003</v>
      </c>
      <c r="BD226">
        <f t="shared" si="1378"/>
        <v>0.29411764705882348</v>
      </c>
      <c r="BE226" s="27">
        <f t="shared" si="1504"/>
        <v>107487959.04000005</v>
      </c>
      <c r="BF226" s="30">
        <f t="shared" si="1379"/>
        <v>0.36</v>
      </c>
      <c r="BG226" s="27"/>
      <c r="BH226" s="27"/>
      <c r="BI226" s="27"/>
      <c r="CA226" s="20">
        <f t="shared" si="1380"/>
        <v>220</v>
      </c>
      <c r="CB226" s="20">
        <f t="shared" si="1381"/>
        <v>22000</v>
      </c>
    </row>
    <row r="227" spans="1:80" x14ac:dyDescent="0.15">
      <c r="A227">
        <v>2508</v>
      </c>
      <c r="B227" s="3" t="s">
        <v>128</v>
      </c>
      <c r="C227" s="4" t="s">
        <v>109</v>
      </c>
      <c r="D227" s="4" t="s">
        <v>110</v>
      </c>
      <c r="E227" s="5">
        <v>5</v>
      </c>
      <c r="F227" s="7" t="s">
        <v>129</v>
      </c>
      <c r="G227" s="5">
        <v>2</v>
      </c>
      <c r="H227" s="7" t="s">
        <v>130</v>
      </c>
      <c r="I227" s="5">
        <v>0</v>
      </c>
      <c r="J227" s="5">
        <v>0</v>
      </c>
      <c r="K227">
        <v>2</v>
      </c>
      <c r="L227">
        <v>1.5</v>
      </c>
      <c r="M227" s="5">
        <v>1.5</v>
      </c>
      <c r="N227" s="5">
        <v>10</v>
      </c>
      <c r="O227" s="5">
        <f t="shared" si="1361"/>
        <v>35329</v>
      </c>
      <c r="P227" s="5">
        <f t="shared" si="1362"/>
        <v>194832000</v>
      </c>
      <c r="Q227" s="5">
        <f t="shared" si="1363"/>
        <v>3247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70081</v>
      </c>
      <c r="X227" s="6" t="s">
        <v>186</v>
      </c>
      <c r="Y227" s="5">
        <v>300</v>
      </c>
      <c r="Z227" s="5">
        <v>1</v>
      </c>
      <c r="AA227" s="5">
        <v>25399836</v>
      </c>
      <c r="AB227" s="16" t="s">
        <v>111</v>
      </c>
      <c r="AC227" s="7" t="s">
        <v>112</v>
      </c>
      <c r="AD227" s="7" t="s">
        <v>112</v>
      </c>
      <c r="AE227" s="7" t="s">
        <v>112</v>
      </c>
      <c r="AF227" s="6" t="s">
        <v>113</v>
      </c>
      <c r="AG227" s="26" t="str">
        <f t="shared" ref="AG227" si="1589">CM$11</f>
        <v>4,28,6,28,6,4,28,6,28,6</v>
      </c>
      <c r="AH227" s="26" t="str">
        <f t="shared" ref="AH227" si="1590">CN$11</f>
        <v>0,0,1,0,1,0,0,1,0,1</v>
      </c>
      <c r="AI227" s="26" t="str">
        <f t="shared" ref="AI227" si="1591">CO$11</f>
        <v>0,0,1,0,1,0,0,1,0,1</v>
      </c>
      <c r="AJ227" s="26" t="str">
        <f t="shared" ref="AJ227" si="1592">CP$11</f>
        <v>0,0,5,0,5,0,0,5,0,5</v>
      </c>
      <c r="AK227" s="26" t="str">
        <f t="shared" ref="AK227" si="1593">CQ$11</f>
        <v>100,1000,5,1500,5,200,1000,5,1500,5</v>
      </c>
      <c r="AL227" s="26" t="str">
        <f t="shared" ref="AL227" si="1594">CR$11</f>
        <v>5,5,5,5,5,5,5,5,5,5</v>
      </c>
      <c r="AM227" s="7">
        <v>2001</v>
      </c>
      <c r="AO227">
        <f t="shared" ref="AO227" si="1595">AQ227*100+8</f>
        <v>2508</v>
      </c>
      <c r="AP227">
        <v>223</v>
      </c>
      <c r="AQ227">
        <f t="shared" si="1371"/>
        <v>25</v>
      </c>
      <c r="AR227" s="17">
        <v>8</v>
      </c>
      <c r="AS227" s="17">
        <f t="shared" si="1452"/>
        <v>195</v>
      </c>
      <c r="AT227" s="17">
        <v>7</v>
      </c>
      <c r="AU227">
        <f t="shared" si="1372"/>
        <v>24</v>
      </c>
      <c r="AV227">
        <v>150</v>
      </c>
      <c r="AW227">
        <f t="shared" si="1373"/>
        <v>35329.535999999993</v>
      </c>
      <c r="AX227">
        <f t="shared" si="1502"/>
        <v>194832000.00000003</v>
      </c>
      <c r="AY227">
        <f t="shared" si="1374"/>
        <v>3247.2000000000003</v>
      </c>
      <c r="AZ227">
        <f t="shared" si="1375"/>
        <v>6494.4000000000005</v>
      </c>
      <c r="BA227">
        <f t="shared" si="1376"/>
        <v>43296</v>
      </c>
      <c r="BB227">
        <f t="shared" si="1377"/>
        <v>1623.6000000000001</v>
      </c>
      <c r="BC227">
        <f t="shared" si="1503"/>
        <v>194832000.00000003</v>
      </c>
      <c r="BD227">
        <f t="shared" si="1378"/>
        <v>0.29411764705882354</v>
      </c>
      <c r="BE227" s="27">
        <f t="shared" si="1504"/>
        <v>112929536.96640004</v>
      </c>
      <c r="BF227" s="30">
        <f t="shared" si="1379"/>
        <v>0.36</v>
      </c>
      <c r="BG227" s="27"/>
      <c r="BH227" s="27"/>
      <c r="BI227" s="27"/>
      <c r="CA227" s="20">
        <f t="shared" si="1380"/>
        <v>220</v>
      </c>
      <c r="CB227" s="20">
        <f t="shared" si="1381"/>
        <v>22000</v>
      </c>
    </row>
    <row r="228" spans="1:80" x14ac:dyDescent="0.15">
      <c r="A228">
        <v>2509</v>
      </c>
      <c r="B228" s="3" t="s">
        <v>132</v>
      </c>
      <c r="C228" s="4" t="s">
        <v>109</v>
      </c>
      <c r="D228" s="4" t="s">
        <v>110</v>
      </c>
      <c r="E228" s="5">
        <v>5</v>
      </c>
      <c r="F228" s="7" t="s">
        <v>140</v>
      </c>
      <c r="G228" s="5">
        <v>3</v>
      </c>
      <c r="H228" s="7" t="s">
        <v>140</v>
      </c>
      <c r="I228" s="5">
        <v>0</v>
      </c>
      <c r="J228" s="7">
        <v>0</v>
      </c>
      <c r="K228">
        <v>6</v>
      </c>
      <c r="L228">
        <v>1.5</v>
      </c>
      <c r="M228" s="5">
        <v>1.5</v>
      </c>
      <c r="N228" s="5">
        <v>10</v>
      </c>
      <c r="O228" s="5">
        <f t="shared" si="1361"/>
        <v>36191</v>
      </c>
      <c r="P228" s="5">
        <f t="shared" si="1362"/>
        <v>199584000</v>
      </c>
      <c r="Q228" s="5">
        <f t="shared" si="1363"/>
        <v>3326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70091</v>
      </c>
      <c r="X228" s="6" t="s">
        <v>187</v>
      </c>
      <c r="Y228" s="5">
        <v>300</v>
      </c>
      <c r="Z228" s="5">
        <v>1</v>
      </c>
      <c r="AA228" s="5">
        <v>26871990</v>
      </c>
      <c r="AB228" s="16" t="s">
        <v>111</v>
      </c>
      <c r="AC228" s="7" t="s">
        <v>112</v>
      </c>
      <c r="AD228" s="7" t="s">
        <v>112</v>
      </c>
      <c r="AE228" s="7" t="s">
        <v>112</v>
      </c>
      <c r="AF228" s="6" t="s">
        <v>113</v>
      </c>
      <c r="AG228" s="26" t="str">
        <f t="shared" ref="AG228" si="1596">CM$12</f>
        <v>4,33,28,33,6,4,33,28,33,6</v>
      </c>
      <c r="AH228" s="26" t="str">
        <f t="shared" ref="AH228" si="1597">CN$12</f>
        <v>0,5,0,5,1,0,5,0,5,1</v>
      </c>
      <c r="AI228" s="26" t="str">
        <f t="shared" ref="AI228" si="1598">CO$12</f>
        <v>0,0,0,0,1,0,0,0,0,1</v>
      </c>
      <c r="AJ228" s="26" t="str">
        <f t="shared" ref="AJ228" si="1599">CP$12</f>
        <v>0,0,0,0,5,0,0,0,0,5</v>
      </c>
      <c r="AK228" s="26" t="str">
        <f t="shared" ref="AK228" si="1600">CQ$12</f>
        <v>100,1,1000,2,5,200,1,1000,2,5</v>
      </c>
      <c r="AL228" s="26" t="str">
        <f t="shared" ref="AL228" si="1601">CR$12</f>
        <v>5,5,5,5,5,5,5,5,5,5</v>
      </c>
      <c r="AM228" s="7">
        <v>2001</v>
      </c>
      <c r="AO228">
        <f t="shared" ref="AO228" si="1602">AQ228*100+9</f>
        <v>2509</v>
      </c>
      <c r="AP228">
        <v>224</v>
      </c>
      <c r="AQ228">
        <f t="shared" si="1371"/>
        <v>25</v>
      </c>
      <c r="AR228" s="17">
        <v>8</v>
      </c>
      <c r="AS228" s="17">
        <f t="shared" si="1452"/>
        <v>200</v>
      </c>
      <c r="AT228" s="17">
        <v>7</v>
      </c>
      <c r="AU228">
        <f t="shared" si="1372"/>
        <v>24</v>
      </c>
      <c r="AV228">
        <v>150</v>
      </c>
      <c r="AW228">
        <f t="shared" si="1373"/>
        <v>36191.231999999996</v>
      </c>
      <c r="AX228">
        <f t="shared" si="1502"/>
        <v>199584000.00000003</v>
      </c>
      <c r="AY228">
        <f t="shared" si="1374"/>
        <v>3326.4000000000005</v>
      </c>
      <c r="AZ228">
        <f t="shared" si="1375"/>
        <v>6652.8000000000011</v>
      </c>
      <c r="BA228">
        <f t="shared" si="1376"/>
        <v>44352</v>
      </c>
      <c r="BB228">
        <f t="shared" si="1377"/>
        <v>1663.2000000000003</v>
      </c>
      <c r="BC228">
        <f t="shared" si="1503"/>
        <v>199584000.00000003</v>
      </c>
      <c r="BD228">
        <f t="shared" si="1378"/>
        <v>0.29411764705882359</v>
      </c>
      <c r="BE228" s="27">
        <f t="shared" si="1504"/>
        <v>118505474.84160005</v>
      </c>
      <c r="BF228" s="30">
        <f t="shared" si="1379"/>
        <v>0.36</v>
      </c>
      <c r="BG228" s="27"/>
      <c r="BH228" s="27"/>
      <c r="BI228" s="27"/>
      <c r="CA228" s="20">
        <f t="shared" si="1380"/>
        <v>220</v>
      </c>
      <c r="CB228" s="20">
        <f t="shared" si="1381"/>
        <v>22000</v>
      </c>
    </row>
    <row r="229" spans="1:80" x14ac:dyDescent="0.15">
      <c r="A229">
        <v>2601</v>
      </c>
      <c r="B229" s="3" t="s">
        <v>108</v>
      </c>
      <c r="C229" s="4" t="s">
        <v>109</v>
      </c>
      <c r="D229" s="4" t="s">
        <v>110</v>
      </c>
      <c r="E229" s="5">
        <v>3</v>
      </c>
      <c r="F229" s="7" t="s">
        <v>141</v>
      </c>
      <c r="G229" s="5">
        <v>2.5</v>
      </c>
      <c r="H229" s="7" t="s">
        <v>194</v>
      </c>
      <c r="I229" s="5">
        <v>0</v>
      </c>
      <c r="J229" s="5">
        <v>0</v>
      </c>
      <c r="K229">
        <v>2</v>
      </c>
      <c r="L229">
        <v>1.5</v>
      </c>
      <c r="M229" s="5">
        <v>1.5</v>
      </c>
      <c r="N229" s="5">
        <v>10</v>
      </c>
      <c r="O229" s="5">
        <f t="shared" si="1361"/>
        <v>30212</v>
      </c>
      <c r="P229" s="5">
        <f t="shared" si="1362"/>
        <v>166320000</v>
      </c>
      <c r="Q229" s="5">
        <f t="shared" si="1363"/>
        <v>2772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70011</v>
      </c>
      <c r="X229" s="6" t="s">
        <v>179</v>
      </c>
      <c r="Y229" s="5">
        <v>300</v>
      </c>
      <c r="Z229" s="5">
        <v>1</v>
      </c>
      <c r="AA229" s="5">
        <v>28385613</v>
      </c>
      <c r="AB229" s="16" t="s">
        <v>111</v>
      </c>
      <c r="AC229" s="7" t="s">
        <v>112</v>
      </c>
      <c r="AD229" s="7" t="s">
        <v>112</v>
      </c>
      <c r="AE229" s="7" t="s">
        <v>112</v>
      </c>
      <c r="AF229" s="6" t="s">
        <v>113</v>
      </c>
      <c r="AG229" s="26" t="str">
        <f t="shared" ref="AG229" si="1603">CM$4</f>
        <v>4,33,28,33,6,4,33,28,33,6</v>
      </c>
      <c r="AH229" s="26" t="str">
        <f t="shared" ref="AH229" si="1604">CN$4</f>
        <v>0,8,0,8,1,0,8,0,8,1</v>
      </c>
      <c r="AI229" s="26" t="str">
        <f t="shared" ref="AI229" si="1605">CO$4</f>
        <v>0,0,0,0,1,0,0,0,0,1</v>
      </c>
      <c r="AJ229" s="26" t="str">
        <f t="shared" ref="AJ229" si="1606">CP$4</f>
        <v>0,0,0,0,5,0,0,0,0,5</v>
      </c>
      <c r="AK229" s="26" t="str">
        <f t="shared" ref="AK229" si="1607">CQ$4</f>
        <v>100,1,1000,2,5,200,1,1000,2,5</v>
      </c>
      <c r="AL229" s="26" t="str">
        <f t="shared" ref="AL229" si="1608">CR$4</f>
        <v>5,5,5,5,5,5,5,5,5,5</v>
      </c>
      <c r="AM229" s="7">
        <v>2001</v>
      </c>
      <c r="AO229">
        <f t="shared" ref="AO229" si="1609">AQ229*100+1</f>
        <v>2601</v>
      </c>
      <c r="AP229">
        <v>225</v>
      </c>
      <c r="AQ229">
        <f t="shared" si="1371"/>
        <v>26</v>
      </c>
      <c r="AR229" s="17">
        <v>8</v>
      </c>
      <c r="AS229" s="17">
        <f t="shared" si="1452"/>
        <v>165</v>
      </c>
      <c r="AT229" s="17">
        <v>7</v>
      </c>
      <c r="AU229">
        <f t="shared" si="1372"/>
        <v>24</v>
      </c>
      <c r="AV229">
        <v>150</v>
      </c>
      <c r="AW229">
        <f t="shared" si="1373"/>
        <v>30212.582400000003</v>
      </c>
      <c r="AX229">
        <f t="shared" si="1502"/>
        <v>166320000.00000003</v>
      </c>
      <c r="AY229">
        <f t="shared" si="1374"/>
        <v>2772.0000000000005</v>
      </c>
      <c r="AZ229">
        <f t="shared" si="1375"/>
        <v>5544.0000000000009</v>
      </c>
      <c r="BA229">
        <f t="shared" si="1376"/>
        <v>36960</v>
      </c>
      <c r="BB229">
        <f t="shared" si="1377"/>
        <v>1386.0000000000002</v>
      </c>
      <c r="BC229">
        <f t="shared" si="1503"/>
        <v>166320000.00000003</v>
      </c>
      <c r="BD229">
        <f t="shared" si="1378"/>
        <v>0.29411764705882348</v>
      </c>
      <c r="BE229" s="27">
        <f t="shared" si="1504"/>
        <v>82295468.64000003</v>
      </c>
      <c r="BF229" s="30">
        <f t="shared" si="1379"/>
        <v>0.3624</v>
      </c>
      <c r="BG229" s="27"/>
      <c r="BH229" s="27"/>
      <c r="BI229" s="27"/>
      <c r="CA229" s="20">
        <f t="shared" si="1380"/>
        <v>225</v>
      </c>
      <c r="CB229" s="20">
        <f t="shared" si="1381"/>
        <v>22500</v>
      </c>
    </row>
    <row r="230" spans="1:80" x14ac:dyDescent="0.15">
      <c r="A230">
        <v>2602</v>
      </c>
      <c r="B230" s="3" t="s">
        <v>115</v>
      </c>
      <c r="C230" s="4" t="s">
        <v>109</v>
      </c>
      <c r="D230" s="6" t="s">
        <v>110</v>
      </c>
      <c r="E230" s="5">
        <v>3</v>
      </c>
      <c r="F230" s="7" t="s">
        <v>142</v>
      </c>
      <c r="G230" s="5">
        <v>3</v>
      </c>
      <c r="H230" s="7" t="s">
        <v>188</v>
      </c>
      <c r="I230" s="5">
        <v>0</v>
      </c>
      <c r="J230" s="5">
        <v>0</v>
      </c>
      <c r="K230">
        <v>2</v>
      </c>
      <c r="L230">
        <v>1.5</v>
      </c>
      <c r="M230" s="5">
        <v>1.5</v>
      </c>
      <c r="N230" s="5">
        <v>10</v>
      </c>
      <c r="O230" s="5">
        <f t="shared" si="1361"/>
        <v>31075</v>
      </c>
      <c r="P230" s="5">
        <f t="shared" si="1362"/>
        <v>171072000</v>
      </c>
      <c r="Q230" s="5">
        <f t="shared" si="1363"/>
        <v>2851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70021</v>
      </c>
      <c r="X230" s="6" t="s">
        <v>180</v>
      </c>
      <c r="Y230" s="5">
        <v>300</v>
      </c>
      <c r="Z230" s="5">
        <v>1</v>
      </c>
      <c r="AA230" s="5">
        <v>18661104</v>
      </c>
      <c r="AB230" s="16" t="s">
        <v>111</v>
      </c>
      <c r="AC230" s="7" t="s">
        <v>112</v>
      </c>
      <c r="AD230" s="7" t="s">
        <v>112</v>
      </c>
      <c r="AE230" s="7" t="s">
        <v>112</v>
      </c>
      <c r="AF230" s="6" t="s">
        <v>113</v>
      </c>
      <c r="AG230" s="26" t="str">
        <f t="shared" ref="AG230" si="1610">CM$5</f>
        <v>4,33,28,33,6,4,33,28,33,6</v>
      </c>
      <c r="AH230" s="26" t="str">
        <f t="shared" ref="AH230" si="1611">CN$5</f>
        <v>0,7,0,7,1,0,7,0,7,1</v>
      </c>
      <c r="AI230" s="26" t="str">
        <f t="shared" ref="AI230" si="1612">CO$5</f>
        <v>0,0,0,0,1,0,0,0,0,1</v>
      </c>
      <c r="AJ230" s="26" t="str">
        <f t="shared" ref="AJ230" si="1613">CP$5</f>
        <v>0,0,0,0,5,0,0,0,0,5</v>
      </c>
      <c r="AK230" s="26" t="str">
        <f t="shared" ref="AK230" si="1614">CQ$5</f>
        <v>100,1,1000,2,5,200,1,1000,2,5</v>
      </c>
      <c r="AL230" s="26" t="str">
        <f t="shared" ref="AL230" si="1615">CR$5</f>
        <v>5,5,5,5,5,5,5,5,5,5</v>
      </c>
      <c r="AM230" s="7">
        <v>2001</v>
      </c>
      <c r="AO230">
        <f t="shared" ref="AO230" si="1616">AQ230*100+2</f>
        <v>2602</v>
      </c>
      <c r="AP230">
        <v>226</v>
      </c>
      <c r="AQ230">
        <f t="shared" si="1371"/>
        <v>26</v>
      </c>
      <c r="AR230" s="17">
        <v>8</v>
      </c>
      <c r="AS230" s="17">
        <f t="shared" si="1452"/>
        <v>170</v>
      </c>
      <c r="AT230" s="17">
        <v>7</v>
      </c>
      <c r="AU230">
        <f t="shared" si="1372"/>
        <v>24</v>
      </c>
      <c r="AV230">
        <v>150</v>
      </c>
      <c r="AW230">
        <f t="shared" si="1373"/>
        <v>31075.799039999998</v>
      </c>
      <c r="AX230">
        <f t="shared" si="1502"/>
        <v>171072000.00000003</v>
      </c>
      <c r="AY230">
        <f t="shared" si="1374"/>
        <v>2851.2000000000003</v>
      </c>
      <c r="AZ230">
        <f t="shared" si="1375"/>
        <v>5702.4000000000005</v>
      </c>
      <c r="BA230">
        <f t="shared" si="1376"/>
        <v>38016</v>
      </c>
      <c r="BB230">
        <f t="shared" si="1377"/>
        <v>1425.6000000000001</v>
      </c>
      <c r="BC230">
        <f t="shared" si="1503"/>
        <v>171072000.00000003</v>
      </c>
      <c r="BD230">
        <f t="shared" si="1378"/>
        <v>0.29411764705882354</v>
      </c>
      <c r="BE230" s="27">
        <f t="shared" si="1504"/>
        <v>87065246.822400033</v>
      </c>
      <c r="BF230" s="30">
        <f t="shared" si="1379"/>
        <v>0.3624</v>
      </c>
      <c r="BG230" s="27"/>
      <c r="BH230" s="27"/>
      <c r="BI230" s="27"/>
      <c r="CA230" s="20">
        <f t="shared" si="1380"/>
        <v>225</v>
      </c>
      <c r="CB230" s="20">
        <f t="shared" si="1381"/>
        <v>22500</v>
      </c>
    </row>
    <row r="231" spans="1:80" x14ac:dyDescent="0.15">
      <c r="A231">
        <v>2603</v>
      </c>
      <c r="B231" s="3" t="s">
        <v>117</v>
      </c>
      <c r="C231" s="4" t="s">
        <v>109</v>
      </c>
      <c r="D231" s="4" t="s">
        <v>110</v>
      </c>
      <c r="E231" s="5">
        <v>1</v>
      </c>
      <c r="F231" s="7" t="s">
        <v>144</v>
      </c>
      <c r="G231" s="5">
        <v>3</v>
      </c>
      <c r="H231" s="7" t="s">
        <v>189</v>
      </c>
      <c r="I231" s="5">
        <v>0</v>
      </c>
      <c r="J231" s="2">
        <v>0</v>
      </c>
      <c r="K231">
        <v>6</v>
      </c>
      <c r="L231">
        <v>1.5</v>
      </c>
      <c r="M231" s="5">
        <v>1.5</v>
      </c>
      <c r="N231" s="5">
        <v>10</v>
      </c>
      <c r="O231" s="5">
        <f t="shared" si="1361"/>
        <v>31939</v>
      </c>
      <c r="P231" s="5">
        <f t="shared" si="1362"/>
        <v>175824000</v>
      </c>
      <c r="Q231" s="5">
        <f t="shared" si="1363"/>
        <v>2930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70031</v>
      </c>
      <c r="X231" s="6" t="s">
        <v>181</v>
      </c>
      <c r="Y231" s="5">
        <v>300</v>
      </c>
      <c r="Z231" s="5">
        <v>1</v>
      </c>
      <c r="AA231" s="5">
        <v>19925912</v>
      </c>
      <c r="AB231" s="16" t="s">
        <v>111</v>
      </c>
      <c r="AC231" s="7" t="s">
        <v>112</v>
      </c>
      <c r="AD231" s="7" t="s">
        <v>112</v>
      </c>
      <c r="AE231" s="7" t="s">
        <v>112</v>
      </c>
      <c r="AF231" s="6" t="s">
        <v>113</v>
      </c>
      <c r="AG231" s="26" t="str">
        <f t="shared" ref="AG231" si="1617">CM$6</f>
        <v>4,28,6,28,6,4,28,6,28,6</v>
      </c>
      <c r="AH231" s="26" t="str">
        <f t="shared" ref="AH231" si="1618">CN$6</f>
        <v>0,0,1,0,1,0,0,1,0,1</v>
      </c>
      <c r="AI231" s="26" t="str">
        <f t="shared" ref="AI231" si="1619">CO$6</f>
        <v>0,0,0,0,1,0,0,0,0,1</v>
      </c>
      <c r="AJ231" s="26" t="str">
        <f t="shared" ref="AJ231" si="1620">CP$6</f>
        <v>0,0,5,0,5,0,0,5,0,5</v>
      </c>
      <c r="AK231" s="26" t="str">
        <f t="shared" ref="AK231" si="1621">CQ$6</f>
        <v>100,1000,5,1500,5,200,1000,5,1500,5</v>
      </c>
      <c r="AL231" s="26" t="str">
        <f t="shared" ref="AL231" si="1622">CR$6</f>
        <v>5,5,5,5,5,5,5,5,5,5</v>
      </c>
      <c r="AM231" s="7">
        <v>2001</v>
      </c>
      <c r="AO231">
        <f t="shared" ref="AO231" si="1623">AQ231*100+3</f>
        <v>2603</v>
      </c>
      <c r="AP231">
        <v>227</v>
      </c>
      <c r="AQ231">
        <f t="shared" si="1371"/>
        <v>26</v>
      </c>
      <c r="AR231" s="17">
        <v>8</v>
      </c>
      <c r="AS231" s="17">
        <f t="shared" si="1452"/>
        <v>175</v>
      </c>
      <c r="AT231" s="17">
        <v>7</v>
      </c>
      <c r="AU231">
        <f t="shared" si="1372"/>
        <v>24</v>
      </c>
      <c r="AV231">
        <v>150</v>
      </c>
      <c r="AW231">
        <f t="shared" si="1373"/>
        <v>31939.015680000004</v>
      </c>
      <c r="AX231">
        <f t="shared" si="1502"/>
        <v>175824000.00000003</v>
      </c>
      <c r="AY231">
        <f t="shared" si="1374"/>
        <v>2930.4000000000005</v>
      </c>
      <c r="AZ231">
        <f t="shared" si="1375"/>
        <v>5860.8000000000011</v>
      </c>
      <c r="BA231">
        <f t="shared" si="1376"/>
        <v>39072</v>
      </c>
      <c r="BB231">
        <f t="shared" si="1377"/>
        <v>1465.2000000000003</v>
      </c>
      <c r="BC231">
        <f t="shared" si="1503"/>
        <v>175824000.00000003</v>
      </c>
      <c r="BD231">
        <f t="shared" si="1378"/>
        <v>0.29411764705882359</v>
      </c>
      <c r="BE231" s="27">
        <f t="shared" si="1504"/>
        <v>91969384.953600034</v>
      </c>
      <c r="BF231" s="30">
        <f t="shared" si="1379"/>
        <v>0.3624</v>
      </c>
      <c r="BG231" s="27"/>
      <c r="BH231" s="27"/>
      <c r="BI231" s="27"/>
      <c r="CA231" s="20">
        <f t="shared" si="1380"/>
        <v>225</v>
      </c>
      <c r="CB231" s="20">
        <f t="shared" si="1381"/>
        <v>22500</v>
      </c>
    </row>
    <row r="232" spans="1:80" x14ac:dyDescent="0.15">
      <c r="A232">
        <v>2604</v>
      </c>
      <c r="B232" s="3" t="s">
        <v>119</v>
      </c>
      <c r="C232" s="4" t="s">
        <v>109</v>
      </c>
      <c r="D232" s="6" t="s">
        <v>120</v>
      </c>
      <c r="E232" s="5">
        <v>3</v>
      </c>
      <c r="F232" s="7" t="s">
        <v>145</v>
      </c>
      <c r="G232" s="5">
        <v>3</v>
      </c>
      <c r="H232" s="7" t="s">
        <v>190</v>
      </c>
      <c r="I232" s="5">
        <v>0</v>
      </c>
      <c r="J232" s="5">
        <v>0</v>
      </c>
      <c r="K232">
        <v>2</v>
      </c>
      <c r="L232">
        <v>1.5</v>
      </c>
      <c r="M232" s="5">
        <v>1.5</v>
      </c>
      <c r="N232" s="5">
        <v>10</v>
      </c>
      <c r="O232" s="5">
        <f t="shared" si="1361"/>
        <v>32802</v>
      </c>
      <c r="P232" s="5">
        <f t="shared" si="1362"/>
        <v>180576000</v>
      </c>
      <c r="Q232" s="5">
        <f t="shared" si="1363"/>
        <v>3009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70041</v>
      </c>
      <c r="X232" s="6" t="s">
        <v>182</v>
      </c>
      <c r="Y232" s="5">
        <v>300</v>
      </c>
      <c r="Z232" s="5">
        <v>1</v>
      </c>
      <c r="AA232" s="5">
        <v>21232189</v>
      </c>
      <c r="AB232" s="16" t="s">
        <v>111</v>
      </c>
      <c r="AC232" s="7" t="s">
        <v>112</v>
      </c>
      <c r="AD232" s="7" t="s">
        <v>112</v>
      </c>
      <c r="AE232" s="7" t="s">
        <v>112</v>
      </c>
      <c r="AF232" s="6" t="s">
        <v>113</v>
      </c>
      <c r="AG232" s="26" t="str">
        <f t="shared" ref="AG232" si="1624">CM$7</f>
        <v>4,14,28,14,6,4,14,28,14,6</v>
      </c>
      <c r="AH232" s="26" t="str">
        <f t="shared" ref="AH232" si="1625">CN$7</f>
        <v>0,0,0,0,1,0,0,0,0,1</v>
      </c>
      <c r="AI232" s="26" t="str">
        <f t="shared" ref="AI232" si="1626">CO$7</f>
        <v>0,0,0,0,1,0,0,0,0,1</v>
      </c>
      <c r="AJ232" s="26" t="str">
        <f t="shared" ref="AJ232" si="1627">CP$7</f>
        <v>0,0,0,0,5,0,0,0,0,5</v>
      </c>
      <c r="AK232" s="26" t="str">
        <f t="shared" ref="AK232" si="1628">CQ$7</f>
        <v>100,1,1000,2,5,200,1,1000,2,5</v>
      </c>
      <c r="AL232" s="26" t="str">
        <f t="shared" ref="AL232" si="1629">CR$7</f>
        <v>5,5,5,5,5,5,5,5,5,5</v>
      </c>
      <c r="AM232" s="7">
        <v>2001</v>
      </c>
      <c r="AO232">
        <f t="shared" ref="AO232" si="1630">AQ232*100+4</f>
        <v>2604</v>
      </c>
      <c r="AP232">
        <v>228</v>
      </c>
      <c r="AQ232">
        <f t="shared" si="1371"/>
        <v>26</v>
      </c>
      <c r="AR232" s="17">
        <v>8</v>
      </c>
      <c r="AS232" s="17">
        <f t="shared" si="1452"/>
        <v>180</v>
      </c>
      <c r="AT232" s="17">
        <v>7</v>
      </c>
      <c r="AU232">
        <f t="shared" si="1372"/>
        <v>24</v>
      </c>
      <c r="AV232">
        <v>150</v>
      </c>
      <c r="AW232">
        <f t="shared" si="1373"/>
        <v>32802.232320000003</v>
      </c>
      <c r="AX232">
        <f t="shared" si="1502"/>
        <v>180576000.00000003</v>
      </c>
      <c r="AY232">
        <f t="shared" si="1374"/>
        <v>3009.6000000000004</v>
      </c>
      <c r="AZ232">
        <f t="shared" si="1375"/>
        <v>6019.2000000000007</v>
      </c>
      <c r="BA232">
        <f t="shared" si="1376"/>
        <v>40128</v>
      </c>
      <c r="BB232">
        <f t="shared" si="1377"/>
        <v>1504.8000000000002</v>
      </c>
      <c r="BC232">
        <f t="shared" si="1503"/>
        <v>180576000.00000003</v>
      </c>
      <c r="BD232">
        <f t="shared" si="1378"/>
        <v>0.29411764705882354</v>
      </c>
      <c r="BE232" s="27">
        <f t="shared" si="1504"/>
        <v>97007883.033600032</v>
      </c>
      <c r="BF232" s="30">
        <f t="shared" si="1379"/>
        <v>0.3624</v>
      </c>
      <c r="BG232" s="27"/>
      <c r="BH232" s="27"/>
      <c r="BI232" s="27"/>
      <c r="CA232" s="20">
        <f t="shared" si="1380"/>
        <v>225</v>
      </c>
      <c r="CB232" s="20">
        <f t="shared" si="1381"/>
        <v>22500</v>
      </c>
    </row>
    <row r="233" spans="1:80" x14ac:dyDescent="0.15">
      <c r="A233">
        <v>2605</v>
      </c>
      <c r="B233" s="3" t="s">
        <v>122</v>
      </c>
      <c r="C233" s="4" t="s">
        <v>109</v>
      </c>
      <c r="D233" s="4" t="s">
        <v>110</v>
      </c>
      <c r="E233" s="5">
        <v>2</v>
      </c>
      <c r="F233" s="7" t="s">
        <v>146</v>
      </c>
      <c r="G233" s="5">
        <v>3</v>
      </c>
      <c r="H233" s="7" t="s">
        <v>191</v>
      </c>
      <c r="I233" s="5">
        <v>0</v>
      </c>
      <c r="J233" s="7" t="s">
        <v>148</v>
      </c>
      <c r="K233">
        <v>6</v>
      </c>
      <c r="L233">
        <v>1.5</v>
      </c>
      <c r="M233" s="5">
        <v>1.5</v>
      </c>
      <c r="N233" s="5">
        <v>10</v>
      </c>
      <c r="O233" s="5">
        <f t="shared" si="1361"/>
        <v>33665</v>
      </c>
      <c r="P233" s="5">
        <f t="shared" si="1362"/>
        <v>185328000</v>
      </c>
      <c r="Q233" s="5">
        <f t="shared" si="1363"/>
        <v>3088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70051</v>
      </c>
      <c r="X233" s="6" t="s">
        <v>183</v>
      </c>
      <c r="Y233" s="5">
        <v>300</v>
      </c>
      <c r="Z233" s="5">
        <v>1</v>
      </c>
      <c r="AA233" s="5">
        <v>22579936</v>
      </c>
      <c r="AB233" s="16" t="s">
        <v>111</v>
      </c>
      <c r="AC233" s="7" t="s">
        <v>112</v>
      </c>
      <c r="AD233" s="7" t="s">
        <v>112</v>
      </c>
      <c r="AE233" s="7" t="s">
        <v>112</v>
      </c>
      <c r="AF233" s="6" t="s">
        <v>113</v>
      </c>
      <c r="AG233" s="26" t="str">
        <f t="shared" ref="AG233" si="1631">CM$8</f>
        <v>4,19,28,19,6,4,19,28,19,6</v>
      </c>
      <c r="AH233" s="26" t="str">
        <f t="shared" ref="AH233" si="1632">CN$8</f>
        <v>0,0,0,0,1,0,0,0,0,1</v>
      </c>
      <c r="AI233" s="26" t="str">
        <f t="shared" ref="AI233" si="1633">CO$8</f>
        <v>0,0,0,0,1,0,0,0,0,1</v>
      </c>
      <c r="AJ233" s="26" t="str">
        <f t="shared" ref="AJ233" si="1634">CP$8</f>
        <v>0,0,0,0,5,0,0,0,0,5</v>
      </c>
      <c r="AK233" s="26" t="str">
        <f t="shared" ref="AK233" si="1635">CQ$8</f>
        <v>200,100,1000,200,5,200,100,1000,200,5</v>
      </c>
      <c r="AL233" s="26" t="str">
        <f t="shared" ref="AL233" si="1636">CR$8</f>
        <v>5,5,5,5,5,5,5,5,5,5</v>
      </c>
      <c r="AM233" s="7">
        <v>2001</v>
      </c>
      <c r="AO233">
        <f t="shared" ref="AO233" si="1637">AQ233*100+5</f>
        <v>2605</v>
      </c>
      <c r="AP233">
        <v>229</v>
      </c>
      <c r="AQ233">
        <f t="shared" si="1371"/>
        <v>26</v>
      </c>
      <c r="AR233" s="17">
        <v>8</v>
      </c>
      <c r="AS233" s="17">
        <f t="shared" si="1452"/>
        <v>185</v>
      </c>
      <c r="AT233" s="17">
        <v>7</v>
      </c>
      <c r="AU233">
        <f t="shared" si="1372"/>
        <v>24</v>
      </c>
      <c r="AV233">
        <v>150</v>
      </c>
      <c r="AW233">
        <f t="shared" si="1373"/>
        <v>33665.448960000002</v>
      </c>
      <c r="AX233">
        <f t="shared" si="1502"/>
        <v>185328000.00000003</v>
      </c>
      <c r="AY233">
        <f t="shared" si="1374"/>
        <v>3088.8000000000006</v>
      </c>
      <c r="AZ233">
        <f t="shared" si="1375"/>
        <v>6177.6000000000013</v>
      </c>
      <c r="BA233">
        <f t="shared" si="1376"/>
        <v>41184</v>
      </c>
      <c r="BB233">
        <f t="shared" si="1377"/>
        <v>1544.4000000000003</v>
      </c>
      <c r="BC233">
        <f t="shared" si="1503"/>
        <v>185328000.00000003</v>
      </c>
      <c r="BD233">
        <f t="shared" si="1378"/>
        <v>0.29411764705882354</v>
      </c>
      <c r="BE233" s="27">
        <f t="shared" si="1504"/>
        <v>102180741.06240006</v>
      </c>
      <c r="BF233" s="30">
        <f t="shared" si="1379"/>
        <v>0.3624</v>
      </c>
      <c r="BG233" s="27"/>
      <c r="BH233" s="27"/>
      <c r="BI233" s="27"/>
      <c r="CA233" s="20">
        <f t="shared" si="1380"/>
        <v>225</v>
      </c>
      <c r="CB233" s="20">
        <f t="shared" si="1381"/>
        <v>22500</v>
      </c>
    </row>
    <row r="234" spans="1:80" x14ac:dyDescent="0.15">
      <c r="A234">
        <v>2606</v>
      </c>
      <c r="B234" s="3" t="s">
        <v>124</v>
      </c>
      <c r="C234" s="4" t="s">
        <v>109</v>
      </c>
      <c r="D234" s="6" t="s">
        <v>120</v>
      </c>
      <c r="E234" s="5">
        <v>1</v>
      </c>
      <c r="F234" s="7" t="s">
        <v>147</v>
      </c>
      <c r="G234" s="5">
        <v>3</v>
      </c>
      <c r="H234" s="7" t="s">
        <v>192</v>
      </c>
      <c r="I234" s="5">
        <v>0</v>
      </c>
      <c r="J234" s="7" t="s">
        <v>149</v>
      </c>
      <c r="K234">
        <v>6</v>
      </c>
      <c r="L234">
        <v>1.5</v>
      </c>
      <c r="M234" s="5">
        <v>1.5</v>
      </c>
      <c r="N234" s="5">
        <v>10</v>
      </c>
      <c r="O234" s="5">
        <f t="shared" si="1361"/>
        <v>34528</v>
      </c>
      <c r="P234" s="5">
        <f t="shared" si="1362"/>
        <v>190080000</v>
      </c>
      <c r="Q234" s="5">
        <f t="shared" si="1363"/>
        <v>3168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70061</v>
      </c>
      <c r="X234" s="6" t="s">
        <v>184</v>
      </c>
      <c r="Y234" s="5">
        <v>300</v>
      </c>
      <c r="Z234" s="5">
        <v>1</v>
      </c>
      <c r="AA234" s="5">
        <v>23969151</v>
      </c>
      <c r="AB234" s="16" t="s">
        <v>111</v>
      </c>
      <c r="AC234" s="7" t="s">
        <v>112</v>
      </c>
      <c r="AD234" s="7" t="s">
        <v>112</v>
      </c>
      <c r="AE234" s="7" t="s">
        <v>112</v>
      </c>
      <c r="AF234" s="6" t="s">
        <v>113</v>
      </c>
      <c r="AG234" s="26" t="str">
        <f t="shared" ref="AG234" si="1638">CM$9</f>
        <v>4,33,28,33,6,4,33,28,33,6</v>
      </c>
      <c r="AH234" s="26" t="str">
        <f t="shared" ref="AH234" si="1639">CN$9</f>
        <v>0,6,0,6,1,0,6,0,6,1</v>
      </c>
      <c r="AI234" s="26" t="str">
        <f t="shared" ref="AI234" si="1640">CO$9</f>
        <v>0,0,0,0,1,0,0,0,0,1</v>
      </c>
      <c r="AJ234" s="26" t="str">
        <f t="shared" ref="AJ234" si="1641">CP$9</f>
        <v>0,0,0,0,5,0,0,0,0,5</v>
      </c>
      <c r="AK234" s="26" t="str">
        <f t="shared" ref="AK234" si="1642">CQ$9</f>
        <v>200,1,1000,2,5,200,1,1000,2,5</v>
      </c>
      <c r="AL234" s="26" t="str">
        <f t="shared" ref="AL234" si="1643">CR$9</f>
        <v>5,5,5,5,5,5,5,5,5,5</v>
      </c>
      <c r="AM234" s="7">
        <v>2001</v>
      </c>
      <c r="AO234">
        <f t="shared" ref="AO234" si="1644">AQ234*100+6</f>
        <v>2606</v>
      </c>
      <c r="AP234">
        <v>230</v>
      </c>
      <c r="AQ234">
        <f t="shared" si="1371"/>
        <v>26</v>
      </c>
      <c r="AR234" s="17">
        <v>8</v>
      </c>
      <c r="AS234" s="17">
        <f t="shared" si="1452"/>
        <v>190</v>
      </c>
      <c r="AT234" s="17">
        <v>7</v>
      </c>
      <c r="AU234">
        <f t="shared" si="1372"/>
        <v>24</v>
      </c>
      <c r="AV234">
        <v>150</v>
      </c>
      <c r="AW234">
        <f t="shared" si="1373"/>
        <v>34528.6656</v>
      </c>
      <c r="AX234">
        <f t="shared" si="1502"/>
        <v>190080000.00000003</v>
      </c>
      <c r="AY234">
        <f t="shared" si="1374"/>
        <v>3168.0000000000005</v>
      </c>
      <c r="AZ234">
        <f t="shared" si="1375"/>
        <v>6336.0000000000009</v>
      </c>
      <c r="BA234">
        <f t="shared" si="1376"/>
        <v>42240</v>
      </c>
      <c r="BB234">
        <f t="shared" si="1377"/>
        <v>1584.0000000000002</v>
      </c>
      <c r="BC234">
        <f t="shared" si="1503"/>
        <v>190080000.00000003</v>
      </c>
      <c r="BD234">
        <f t="shared" si="1378"/>
        <v>0.29411764705882348</v>
      </c>
      <c r="BE234" s="27">
        <f t="shared" si="1504"/>
        <v>107487959.04000005</v>
      </c>
      <c r="BF234" s="30">
        <f t="shared" si="1379"/>
        <v>0.3624</v>
      </c>
      <c r="BG234" s="27"/>
      <c r="BH234" s="27"/>
      <c r="BI234" s="27"/>
      <c r="CA234" s="20">
        <f t="shared" si="1380"/>
        <v>225</v>
      </c>
      <c r="CB234" s="20">
        <f t="shared" si="1381"/>
        <v>22500</v>
      </c>
    </row>
    <row r="235" spans="1:80" x14ac:dyDescent="0.15">
      <c r="A235">
        <v>2607</v>
      </c>
      <c r="B235" s="3" t="s">
        <v>126</v>
      </c>
      <c r="C235" s="4" t="s">
        <v>109</v>
      </c>
      <c r="D235" s="4" t="s">
        <v>110</v>
      </c>
      <c r="E235" s="5">
        <v>2</v>
      </c>
      <c r="F235" s="7" t="s">
        <v>143</v>
      </c>
      <c r="G235" s="5">
        <v>3</v>
      </c>
      <c r="H235" s="7" t="s">
        <v>193</v>
      </c>
      <c r="I235" s="5">
        <v>0</v>
      </c>
      <c r="J235" s="5">
        <v>0</v>
      </c>
      <c r="K235">
        <v>2</v>
      </c>
      <c r="L235">
        <v>1.5</v>
      </c>
      <c r="M235" s="5">
        <v>1.5</v>
      </c>
      <c r="N235" s="5">
        <v>10</v>
      </c>
      <c r="O235" s="5">
        <f t="shared" si="1361"/>
        <v>35391</v>
      </c>
      <c r="P235" s="5">
        <f t="shared" si="1362"/>
        <v>194832000</v>
      </c>
      <c r="Q235" s="5">
        <f t="shared" si="1363"/>
        <v>3247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70071</v>
      </c>
      <c r="X235" s="6" t="s">
        <v>185</v>
      </c>
      <c r="Y235" s="5">
        <v>300</v>
      </c>
      <c r="Z235" s="5">
        <v>1</v>
      </c>
      <c r="AA235" s="5">
        <v>25399836</v>
      </c>
      <c r="AB235" s="16" t="s">
        <v>111</v>
      </c>
      <c r="AC235" s="7" t="s">
        <v>112</v>
      </c>
      <c r="AD235" s="7" t="s">
        <v>112</v>
      </c>
      <c r="AE235" s="7" t="s">
        <v>112</v>
      </c>
      <c r="AF235" s="6" t="s">
        <v>113</v>
      </c>
      <c r="AG235" s="26" t="str">
        <f t="shared" ref="AG235" si="1645">CM$10</f>
        <v>4,14,28,14,6,4,14,28,14,6</v>
      </c>
      <c r="AH235" s="26" t="str">
        <f t="shared" ref="AH235" si="1646">CN$10</f>
        <v>0,0,0,0,1,0,0,0,0,1</v>
      </c>
      <c r="AI235" s="26" t="str">
        <f t="shared" ref="AI235" si="1647">CO$10</f>
        <v>0,0,0,0,1,0,0,0,0,1</v>
      </c>
      <c r="AJ235" s="26" t="str">
        <f t="shared" ref="AJ235" si="1648">CP$10</f>
        <v>0,0,0,0,5,0,0,0,0,5</v>
      </c>
      <c r="AK235" s="26" t="str">
        <f t="shared" ref="AK235" si="1649">CQ$10</f>
        <v>200,1,1000,2,5,200,1,1000,2,5</v>
      </c>
      <c r="AL235" s="26" t="str">
        <f t="shared" ref="AL235" si="1650">CR$10</f>
        <v>5,5,5,5,5,5,5,5,5,5</v>
      </c>
      <c r="AM235" s="7">
        <v>2001</v>
      </c>
      <c r="AO235">
        <f t="shared" ref="AO235" si="1651">AQ235*100+7</f>
        <v>2607</v>
      </c>
      <c r="AP235">
        <v>231</v>
      </c>
      <c r="AQ235">
        <f t="shared" si="1371"/>
        <v>26</v>
      </c>
      <c r="AR235" s="17">
        <v>8</v>
      </c>
      <c r="AS235" s="17">
        <f t="shared" si="1452"/>
        <v>195</v>
      </c>
      <c r="AT235" s="17">
        <v>7</v>
      </c>
      <c r="AU235">
        <f t="shared" si="1372"/>
        <v>24</v>
      </c>
      <c r="AV235">
        <v>150</v>
      </c>
      <c r="AW235">
        <f t="shared" si="1373"/>
        <v>35391.882239999999</v>
      </c>
      <c r="AX235">
        <f t="shared" si="1502"/>
        <v>194832000.00000003</v>
      </c>
      <c r="AY235">
        <f t="shared" si="1374"/>
        <v>3247.2000000000003</v>
      </c>
      <c r="AZ235">
        <f t="shared" si="1375"/>
        <v>6494.4000000000005</v>
      </c>
      <c r="BA235">
        <f t="shared" si="1376"/>
        <v>43296</v>
      </c>
      <c r="BB235">
        <f t="shared" si="1377"/>
        <v>1623.6000000000001</v>
      </c>
      <c r="BC235">
        <f t="shared" si="1503"/>
        <v>194832000.00000003</v>
      </c>
      <c r="BD235">
        <f t="shared" si="1378"/>
        <v>0.29411764705882354</v>
      </c>
      <c r="BE235" s="27">
        <f t="shared" si="1504"/>
        <v>112929536.96640004</v>
      </c>
      <c r="BF235" s="30">
        <f t="shared" si="1379"/>
        <v>0.3624</v>
      </c>
      <c r="BG235" s="27"/>
      <c r="BH235" s="27"/>
      <c r="BI235" s="27"/>
      <c r="CA235" s="20">
        <f t="shared" si="1380"/>
        <v>225</v>
      </c>
      <c r="CB235" s="20">
        <f t="shared" si="1381"/>
        <v>22500</v>
      </c>
    </row>
    <row r="236" spans="1:80" x14ac:dyDescent="0.15">
      <c r="A236">
        <v>2608</v>
      </c>
      <c r="B236" s="3" t="s">
        <v>128</v>
      </c>
      <c r="C236" s="4" t="s">
        <v>109</v>
      </c>
      <c r="D236" s="4" t="s">
        <v>110</v>
      </c>
      <c r="E236" s="5">
        <v>5</v>
      </c>
      <c r="F236" s="7" t="s">
        <v>129</v>
      </c>
      <c r="G236" s="5">
        <v>2</v>
      </c>
      <c r="H236" s="7" t="s">
        <v>130</v>
      </c>
      <c r="I236" s="5">
        <v>0</v>
      </c>
      <c r="J236" s="5">
        <v>0</v>
      </c>
      <c r="K236">
        <v>2</v>
      </c>
      <c r="L236">
        <v>1.5</v>
      </c>
      <c r="M236" s="5">
        <v>1.5</v>
      </c>
      <c r="N236" s="5">
        <v>10</v>
      </c>
      <c r="O236" s="5">
        <f t="shared" si="1361"/>
        <v>36255</v>
      </c>
      <c r="P236" s="5">
        <f t="shared" si="1362"/>
        <v>199584000</v>
      </c>
      <c r="Q236" s="5">
        <f t="shared" si="1363"/>
        <v>3326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70081</v>
      </c>
      <c r="X236" s="6" t="s">
        <v>186</v>
      </c>
      <c r="Y236" s="5">
        <v>300</v>
      </c>
      <c r="Z236" s="5">
        <v>1</v>
      </c>
      <c r="AA236" s="5">
        <v>26871990</v>
      </c>
      <c r="AB236" s="16" t="s">
        <v>111</v>
      </c>
      <c r="AC236" s="7" t="s">
        <v>112</v>
      </c>
      <c r="AD236" s="7" t="s">
        <v>112</v>
      </c>
      <c r="AE236" s="7" t="s">
        <v>112</v>
      </c>
      <c r="AF236" s="6" t="s">
        <v>113</v>
      </c>
      <c r="AG236" s="26" t="str">
        <f t="shared" ref="AG236" si="1652">CM$11</f>
        <v>4,28,6,28,6,4,28,6,28,6</v>
      </c>
      <c r="AH236" s="26" t="str">
        <f t="shared" ref="AH236" si="1653">CN$11</f>
        <v>0,0,1,0,1,0,0,1,0,1</v>
      </c>
      <c r="AI236" s="26" t="str">
        <f t="shared" ref="AI236" si="1654">CO$11</f>
        <v>0,0,1,0,1,0,0,1,0,1</v>
      </c>
      <c r="AJ236" s="26" t="str">
        <f t="shared" ref="AJ236" si="1655">CP$11</f>
        <v>0,0,5,0,5,0,0,5,0,5</v>
      </c>
      <c r="AK236" s="26" t="str">
        <f t="shared" ref="AK236" si="1656">CQ$11</f>
        <v>100,1000,5,1500,5,200,1000,5,1500,5</v>
      </c>
      <c r="AL236" s="26" t="str">
        <f t="shared" ref="AL236" si="1657">CR$11</f>
        <v>5,5,5,5,5,5,5,5,5,5</v>
      </c>
      <c r="AM236" s="7">
        <v>2001</v>
      </c>
      <c r="AO236">
        <f t="shared" ref="AO236" si="1658">AQ236*100+8</f>
        <v>2608</v>
      </c>
      <c r="AP236">
        <v>232</v>
      </c>
      <c r="AQ236">
        <f t="shared" si="1371"/>
        <v>26</v>
      </c>
      <c r="AR236" s="17">
        <v>8</v>
      </c>
      <c r="AS236" s="17">
        <f t="shared" si="1452"/>
        <v>200</v>
      </c>
      <c r="AT236" s="17">
        <v>7</v>
      </c>
      <c r="AU236">
        <f t="shared" si="1372"/>
        <v>24</v>
      </c>
      <c r="AV236">
        <v>150</v>
      </c>
      <c r="AW236">
        <f t="shared" si="1373"/>
        <v>36255.098880000005</v>
      </c>
      <c r="AX236">
        <f t="shared" si="1502"/>
        <v>199584000.00000003</v>
      </c>
      <c r="AY236">
        <f t="shared" si="1374"/>
        <v>3326.4000000000005</v>
      </c>
      <c r="AZ236">
        <f t="shared" si="1375"/>
        <v>6652.8000000000011</v>
      </c>
      <c r="BA236">
        <f t="shared" si="1376"/>
        <v>44352</v>
      </c>
      <c r="BB236">
        <f t="shared" si="1377"/>
        <v>1663.2000000000003</v>
      </c>
      <c r="BC236">
        <f t="shared" si="1503"/>
        <v>199584000.00000003</v>
      </c>
      <c r="BD236">
        <f t="shared" si="1378"/>
        <v>0.29411764705882359</v>
      </c>
      <c r="BE236" s="27">
        <f t="shared" si="1504"/>
        <v>118505474.84160005</v>
      </c>
      <c r="BF236" s="30">
        <f t="shared" si="1379"/>
        <v>0.3624</v>
      </c>
      <c r="BG236" s="27"/>
      <c r="BH236" s="27"/>
      <c r="BI236" s="27"/>
      <c r="CA236" s="20">
        <f t="shared" si="1380"/>
        <v>225</v>
      </c>
      <c r="CB236" s="20">
        <f t="shared" si="1381"/>
        <v>22500</v>
      </c>
    </row>
    <row r="237" spans="1:80" x14ac:dyDescent="0.15">
      <c r="A237">
        <v>2609</v>
      </c>
      <c r="B237" s="3" t="s">
        <v>132</v>
      </c>
      <c r="C237" s="4" t="s">
        <v>109</v>
      </c>
      <c r="D237" s="4" t="s">
        <v>110</v>
      </c>
      <c r="E237" s="5">
        <v>5</v>
      </c>
      <c r="F237" s="7" t="s">
        <v>140</v>
      </c>
      <c r="G237" s="5">
        <v>3</v>
      </c>
      <c r="H237" s="7" t="s">
        <v>140</v>
      </c>
      <c r="I237" s="5">
        <v>0</v>
      </c>
      <c r="J237" s="7">
        <v>0</v>
      </c>
      <c r="K237">
        <v>6</v>
      </c>
      <c r="L237">
        <v>1.5</v>
      </c>
      <c r="M237" s="5">
        <v>1.5</v>
      </c>
      <c r="N237" s="5">
        <v>10</v>
      </c>
      <c r="O237" s="5">
        <f t="shared" si="1361"/>
        <v>37118</v>
      </c>
      <c r="P237" s="5">
        <f t="shared" si="1362"/>
        <v>204336000</v>
      </c>
      <c r="Q237" s="5">
        <f t="shared" si="1363"/>
        <v>3405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70091</v>
      </c>
      <c r="X237" s="6" t="s">
        <v>187</v>
      </c>
      <c r="Y237" s="5">
        <v>300</v>
      </c>
      <c r="Z237" s="5">
        <v>1</v>
      </c>
      <c r="AA237" s="5">
        <v>28385613</v>
      </c>
      <c r="AB237" s="16" t="s">
        <v>111</v>
      </c>
      <c r="AC237" s="7" t="s">
        <v>112</v>
      </c>
      <c r="AD237" s="7" t="s">
        <v>112</v>
      </c>
      <c r="AE237" s="7" t="s">
        <v>112</v>
      </c>
      <c r="AF237" s="6" t="s">
        <v>113</v>
      </c>
      <c r="AG237" s="26" t="str">
        <f t="shared" ref="AG237" si="1659">CM$12</f>
        <v>4,33,28,33,6,4,33,28,33,6</v>
      </c>
      <c r="AH237" s="26" t="str">
        <f t="shared" ref="AH237" si="1660">CN$12</f>
        <v>0,5,0,5,1,0,5,0,5,1</v>
      </c>
      <c r="AI237" s="26" t="str">
        <f t="shared" ref="AI237" si="1661">CO$12</f>
        <v>0,0,0,0,1,0,0,0,0,1</v>
      </c>
      <c r="AJ237" s="26" t="str">
        <f t="shared" ref="AJ237" si="1662">CP$12</f>
        <v>0,0,0,0,5,0,0,0,0,5</v>
      </c>
      <c r="AK237" s="26" t="str">
        <f t="shared" ref="AK237" si="1663">CQ$12</f>
        <v>100,1,1000,2,5,200,1,1000,2,5</v>
      </c>
      <c r="AL237" s="26" t="str">
        <f t="shared" ref="AL237" si="1664">CR$12</f>
        <v>5,5,5,5,5,5,5,5,5,5</v>
      </c>
      <c r="AM237" s="7">
        <v>2001</v>
      </c>
      <c r="AO237">
        <f t="shared" ref="AO237" si="1665">AQ237*100+9</f>
        <v>2609</v>
      </c>
      <c r="AP237">
        <v>233</v>
      </c>
      <c r="AQ237">
        <f t="shared" si="1371"/>
        <v>26</v>
      </c>
      <c r="AR237" s="17">
        <v>8</v>
      </c>
      <c r="AS237" s="17">
        <f t="shared" si="1452"/>
        <v>205</v>
      </c>
      <c r="AT237" s="17">
        <v>7</v>
      </c>
      <c r="AU237">
        <f t="shared" si="1372"/>
        <v>24</v>
      </c>
      <c r="AV237">
        <v>150</v>
      </c>
      <c r="AW237">
        <f t="shared" si="1373"/>
        <v>37118.315520000004</v>
      </c>
      <c r="AX237">
        <f t="shared" si="1502"/>
        <v>204336000.00000003</v>
      </c>
      <c r="AY237">
        <f t="shared" si="1374"/>
        <v>3405.6000000000004</v>
      </c>
      <c r="AZ237">
        <f t="shared" si="1375"/>
        <v>6811.2000000000007</v>
      </c>
      <c r="BA237">
        <f t="shared" si="1376"/>
        <v>45408</v>
      </c>
      <c r="BB237">
        <f t="shared" si="1377"/>
        <v>1702.8000000000002</v>
      </c>
      <c r="BC237">
        <f t="shared" si="1503"/>
        <v>204336000.00000003</v>
      </c>
      <c r="BD237">
        <f t="shared" si="1378"/>
        <v>0.29411764705882348</v>
      </c>
      <c r="BE237" s="27">
        <f t="shared" si="1504"/>
        <v>124215772.66560005</v>
      </c>
      <c r="BF237" s="30">
        <f t="shared" si="1379"/>
        <v>0.3624</v>
      </c>
      <c r="BG237" s="27"/>
      <c r="BH237" s="27"/>
      <c r="BI237" s="27"/>
      <c r="CA237" s="20">
        <f t="shared" si="1380"/>
        <v>225</v>
      </c>
      <c r="CB237" s="20">
        <f t="shared" si="1381"/>
        <v>22500</v>
      </c>
    </row>
    <row r="238" spans="1:80" x14ac:dyDescent="0.15">
      <c r="A238">
        <v>2701</v>
      </c>
      <c r="B238" s="3" t="s">
        <v>108</v>
      </c>
      <c r="C238" s="4" t="s">
        <v>109</v>
      </c>
      <c r="D238" s="4" t="s">
        <v>110</v>
      </c>
      <c r="E238" s="5">
        <v>3</v>
      </c>
      <c r="F238" s="7" t="s">
        <v>141</v>
      </c>
      <c r="G238" s="5">
        <v>2.5</v>
      </c>
      <c r="H238" s="7" t="s">
        <v>194</v>
      </c>
      <c r="I238" s="5">
        <v>0</v>
      </c>
      <c r="J238" s="5">
        <v>0</v>
      </c>
      <c r="K238">
        <v>2</v>
      </c>
      <c r="L238">
        <v>1.5</v>
      </c>
      <c r="M238" s="5">
        <v>1.5</v>
      </c>
      <c r="N238" s="5">
        <v>10</v>
      </c>
      <c r="O238" s="5">
        <f t="shared" si="1361"/>
        <v>31130</v>
      </c>
      <c r="P238" s="5">
        <f t="shared" si="1362"/>
        <v>171072000</v>
      </c>
      <c r="Q238" s="5">
        <f t="shared" si="1363"/>
        <v>2851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70011</v>
      </c>
      <c r="X238" s="6" t="s">
        <v>179</v>
      </c>
      <c r="Y238" s="5">
        <v>300</v>
      </c>
      <c r="Z238" s="5">
        <v>1</v>
      </c>
      <c r="AA238" s="5">
        <v>29940705</v>
      </c>
      <c r="AB238" s="16" t="s">
        <v>111</v>
      </c>
      <c r="AC238" s="7" t="s">
        <v>112</v>
      </c>
      <c r="AD238" s="7" t="s">
        <v>112</v>
      </c>
      <c r="AE238" s="7" t="s">
        <v>112</v>
      </c>
      <c r="AF238" s="6" t="s">
        <v>113</v>
      </c>
      <c r="AG238" s="26" t="str">
        <f t="shared" ref="AG238" si="1666">CM$4</f>
        <v>4,33,28,33,6,4,33,28,33,6</v>
      </c>
      <c r="AH238" s="26" t="str">
        <f t="shared" ref="AH238" si="1667">CN$4</f>
        <v>0,8,0,8,1,0,8,0,8,1</v>
      </c>
      <c r="AI238" s="26" t="str">
        <f t="shared" ref="AI238" si="1668">CO$4</f>
        <v>0,0,0,0,1,0,0,0,0,1</v>
      </c>
      <c r="AJ238" s="26" t="str">
        <f t="shared" ref="AJ238" si="1669">CP$4</f>
        <v>0,0,0,0,5,0,0,0,0,5</v>
      </c>
      <c r="AK238" s="26" t="str">
        <f t="shared" ref="AK238" si="1670">CQ$4</f>
        <v>100,1,1000,2,5,200,1,1000,2,5</v>
      </c>
      <c r="AL238" s="26" t="str">
        <f t="shared" ref="AL238" si="1671">CR$4</f>
        <v>5,5,5,5,5,5,5,5,5,5</v>
      </c>
      <c r="AM238" s="7">
        <v>2001</v>
      </c>
      <c r="AO238">
        <f t="shared" ref="AO238" si="1672">AQ238*100+1</f>
        <v>2701</v>
      </c>
      <c r="AP238">
        <v>234</v>
      </c>
      <c r="AQ238">
        <f t="shared" si="1371"/>
        <v>27</v>
      </c>
      <c r="AR238" s="17">
        <v>8</v>
      </c>
      <c r="AS238" s="17">
        <f t="shared" si="1452"/>
        <v>170</v>
      </c>
      <c r="AT238" s="17">
        <v>7</v>
      </c>
      <c r="AU238">
        <f t="shared" si="1372"/>
        <v>24</v>
      </c>
      <c r="AV238">
        <v>150</v>
      </c>
      <c r="AW238">
        <f t="shared" si="1373"/>
        <v>31130.542079999999</v>
      </c>
      <c r="AX238">
        <f t="shared" si="1502"/>
        <v>171072000.00000003</v>
      </c>
      <c r="AY238">
        <f t="shared" si="1374"/>
        <v>2851.2000000000003</v>
      </c>
      <c r="AZ238">
        <f t="shared" si="1375"/>
        <v>5702.4000000000005</v>
      </c>
      <c r="BA238">
        <f t="shared" si="1376"/>
        <v>38016</v>
      </c>
      <c r="BB238">
        <f t="shared" si="1377"/>
        <v>1425.6000000000001</v>
      </c>
      <c r="BC238">
        <f t="shared" si="1503"/>
        <v>171072000.00000003</v>
      </c>
      <c r="BD238">
        <f t="shared" si="1378"/>
        <v>0.29411764705882354</v>
      </c>
      <c r="BE238" s="27">
        <f t="shared" si="1504"/>
        <v>87065246.822400033</v>
      </c>
      <c r="BF238" s="30">
        <f t="shared" si="1379"/>
        <v>0.36480000000000001</v>
      </c>
      <c r="BG238" s="27"/>
      <c r="BH238" s="27"/>
      <c r="BI238" s="27"/>
      <c r="CA238" s="20">
        <f t="shared" si="1380"/>
        <v>230</v>
      </c>
      <c r="CB238" s="20">
        <f t="shared" si="1381"/>
        <v>23000</v>
      </c>
    </row>
    <row r="239" spans="1:80" x14ac:dyDescent="0.15">
      <c r="A239">
        <v>2702</v>
      </c>
      <c r="B239" s="3" t="s">
        <v>115</v>
      </c>
      <c r="C239" s="4" t="s">
        <v>109</v>
      </c>
      <c r="D239" s="6" t="s">
        <v>110</v>
      </c>
      <c r="E239" s="5">
        <v>3</v>
      </c>
      <c r="F239" s="7" t="s">
        <v>142</v>
      </c>
      <c r="G239" s="5">
        <v>3</v>
      </c>
      <c r="H239" s="7" t="s">
        <v>188</v>
      </c>
      <c r="I239" s="5">
        <v>0</v>
      </c>
      <c r="J239" s="5">
        <v>0</v>
      </c>
      <c r="K239">
        <v>2</v>
      </c>
      <c r="L239">
        <v>1.5</v>
      </c>
      <c r="M239" s="5">
        <v>1.5</v>
      </c>
      <c r="N239" s="5">
        <v>10</v>
      </c>
      <c r="O239" s="5">
        <f t="shared" si="1361"/>
        <v>31995</v>
      </c>
      <c r="P239" s="5">
        <f t="shared" si="1362"/>
        <v>175824000</v>
      </c>
      <c r="Q239" s="5">
        <f t="shared" si="1363"/>
        <v>2930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70021</v>
      </c>
      <c r="X239" s="6" t="s">
        <v>180</v>
      </c>
      <c r="Y239" s="5">
        <v>300</v>
      </c>
      <c r="Z239" s="5">
        <v>1</v>
      </c>
      <c r="AA239" s="5">
        <v>19925912</v>
      </c>
      <c r="AB239" s="16" t="s">
        <v>111</v>
      </c>
      <c r="AC239" s="7" t="s">
        <v>112</v>
      </c>
      <c r="AD239" s="7" t="s">
        <v>112</v>
      </c>
      <c r="AE239" s="7" t="s">
        <v>112</v>
      </c>
      <c r="AF239" s="6" t="s">
        <v>113</v>
      </c>
      <c r="AG239" s="26" t="str">
        <f t="shared" ref="AG239" si="1673">CM$5</f>
        <v>4,33,28,33,6,4,33,28,33,6</v>
      </c>
      <c r="AH239" s="26" t="str">
        <f t="shared" ref="AH239" si="1674">CN$5</f>
        <v>0,7,0,7,1,0,7,0,7,1</v>
      </c>
      <c r="AI239" s="26" t="str">
        <f t="shared" ref="AI239" si="1675">CO$5</f>
        <v>0,0,0,0,1,0,0,0,0,1</v>
      </c>
      <c r="AJ239" s="26" t="str">
        <f t="shared" ref="AJ239" si="1676">CP$5</f>
        <v>0,0,0,0,5,0,0,0,0,5</v>
      </c>
      <c r="AK239" s="26" t="str">
        <f t="shared" ref="AK239" si="1677">CQ$5</f>
        <v>100,1,1000,2,5,200,1,1000,2,5</v>
      </c>
      <c r="AL239" s="26" t="str">
        <f t="shared" ref="AL239" si="1678">CR$5</f>
        <v>5,5,5,5,5,5,5,5,5,5</v>
      </c>
      <c r="AM239" s="7">
        <v>2001</v>
      </c>
      <c r="AO239">
        <f t="shared" ref="AO239" si="1679">AQ239*100+2</f>
        <v>2702</v>
      </c>
      <c r="AP239">
        <v>235</v>
      </c>
      <c r="AQ239">
        <f t="shared" si="1371"/>
        <v>27</v>
      </c>
      <c r="AR239" s="17">
        <v>8</v>
      </c>
      <c r="AS239" s="17">
        <f t="shared" si="1452"/>
        <v>175</v>
      </c>
      <c r="AT239" s="17">
        <v>7</v>
      </c>
      <c r="AU239">
        <f t="shared" si="1372"/>
        <v>24</v>
      </c>
      <c r="AV239">
        <v>150</v>
      </c>
      <c r="AW239">
        <f t="shared" si="1373"/>
        <v>31995.27936</v>
      </c>
      <c r="AX239">
        <f t="shared" si="1502"/>
        <v>175824000.00000003</v>
      </c>
      <c r="AY239">
        <f t="shared" si="1374"/>
        <v>2930.4000000000005</v>
      </c>
      <c r="AZ239">
        <f t="shared" si="1375"/>
        <v>5860.8000000000011</v>
      </c>
      <c r="BA239">
        <f t="shared" si="1376"/>
        <v>39072</v>
      </c>
      <c r="BB239">
        <f t="shared" si="1377"/>
        <v>1465.2000000000003</v>
      </c>
      <c r="BC239">
        <f t="shared" si="1503"/>
        <v>175824000.00000003</v>
      </c>
      <c r="BD239">
        <f t="shared" si="1378"/>
        <v>0.29411764705882359</v>
      </c>
      <c r="BE239" s="27">
        <f t="shared" si="1504"/>
        <v>91969384.953600034</v>
      </c>
      <c r="BF239" s="30">
        <f t="shared" si="1379"/>
        <v>0.36480000000000001</v>
      </c>
      <c r="BG239" s="27"/>
      <c r="BH239" s="27"/>
      <c r="BI239" s="27"/>
      <c r="CA239" s="20">
        <f t="shared" si="1380"/>
        <v>230</v>
      </c>
      <c r="CB239" s="20">
        <f t="shared" si="1381"/>
        <v>23000</v>
      </c>
    </row>
    <row r="240" spans="1:80" x14ac:dyDescent="0.15">
      <c r="A240">
        <v>2703</v>
      </c>
      <c r="B240" s="3" t="s">
        <v>117</v>
      </c>
      <c r="C240" s="4" t="s">
        <v>109</v>
      </c>
      <c r="D240" s="4" t="s">
        <v>110</v>
      </c>
      <c r="E240" s="5">
        <v>1</v>
      </c>
      <c r="F240" s="7" t="s">
        <v>144</v>
      </c>
      <c r="G240" s="5">
        <v>3</v>
      </c>
      <c r="H240" s="7" t="s">
        <v>189</v>
      </c>
      <c r="I240" s="5">
        <v>0</v>
      </c>
      <c r="J240" s="2">
        <v>0</v>
      </c>
      <c r="K240">
        <v>6</v>
      </c>
      <c r="L240">
        <v>1.5</v>
      </c>
      <c r="M240" s="5">
        <v>1.5</v>
      </c>
      <c r="N240" s="5">
        <v>10</v>
      </c>
      <c r="O240" s="5">
        <f t="shared" si="1361"/>
        <v>32860</v>
      </c>
      <c r="P240" s="5">
        <f t="shared" si="1362"/>
        <v>180576000</v>
      </c>
      <c r="Q240" s="5">
        <f t="shared" si="1363"/>
        <v>3009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70031</v>
      </c>
      <c r="X240" s="6" t="s">
        <v>181</v>
      </c>
      <c r="Y240" s="5">
        <v>300</v>
      </c>
      <c r="Z240" s="5">
        <v>1</v>
      </c>
      <c r="AA240" s="5">
        <v>21232189</v>
      </c>
      <c r="AB240" s="16" t="s">
        <v>111</v>
      </c>
      <c r="AC240" s="7" t="s">
        <v>112</v>
      </c>
      <c r="AD240" s="7" t="s">
        <v>112</v>
      </c>
      <c r="AE240" s="7" t="s">
        <v>112</v>
      </c>
      <c r="AF240" s="6" t="s">
        <v>113</v>
      </c>
      <c r="AG240" s="26" t="str">
        <f t="shared" ref="AG240" si="1680">CM$6</f>
        <v>4,28,6,28,6,4,28,6,28,6</v>
      </c>
      <c r="AH240" s="26" t="str">
        <f t="shared" ref="AH240" si="1681">CN$6</f>
        <v>0,0,1,0,1,0,0,1,0,1</v>
      </c>
      <c r="AI240" s="26" t="str">
        <f t="shared" ref="AI240" si="1682">CO$6</f>
        <v>0,0,0,0,1,0,0,0,0,1</v>
      </c>
      <c r="AJ240" s="26" t="str">
        <f t="shared" ref="AJ240" si="1683">CP$6</f>
        <v>0,0,5,0,5,0,0,5,0,5</v>
      </c>
      <c r="AK240" s="26" t="str">
        <f t="shared" ref="AK240" si="1684">CQ$6</f>
        <v>100,1000,5,1500,5,200,1000,5,1500,5</v>
      </c>
      <c r="AL240" s="26" t="str">
        <f t="shared" ref="AL240" si="1685">CR$6</f>
        <v>5,5,5,5,5,5,5,5,5,5</v>
      </c>
      <c r="AM240" s="7">
        <v>2001</v>
      </c>
      <c r="AO240">
        <f t="shared" ref="AO240" si="1686">AQ240*100+3</f>
        <v>2703</v>
      </c>
      <c r="AP240">
        <v>236</v>
      </c>
      <c r="AQ240">
        <f t="shared" si="1371"/>
        <v>27</v>
      </c>
      <c r="AR240" s="17">
        <v>8</v>
      </c>
      <c r="AS240" s="17">
        <f t="shared" si="1452"/>
        <v>180</v>
      </c>
      <c r="AT240" s="17">
        <v>7</v>
      </c>
      <c r="AU240">
        <f t="shared" si="1372"/>
        <v>24</v>
      </c>
      <c r="AV240">
        <v>150</v>
      </c>
      <c r="AW240">
        <f t="shared" si="1373"/>
        <v>32860.016640000002</v>
      </c>
      <c r="AX240">
        <f t="shared" si="1502"/>
        <v>180576000.00000003</v>
      </c>
      <c r="AY240">
        <f t="shared" si="1374"/>
        <v>3009.6000000000004</v>
      </c>
      <c r="AZ240">
        <f t="shared" si="1375"/>
        <v>6019.2000000000007</v>
      </c>
      <c r="BA240">
        <f t="shared" si="1376"/>
        <v>40128</v>
      </c>
      <c r="BB240">
        <f t="shared" si="1377"/>
        <v>1504.8000000000002</v>
      </c>
      <c r="BC240">
        <f t="shared" si="1503"/>
        <v>180576000.00000003</v>
      </c>
      <c r="BD240">
        <f t="shared" si="1378"/>
        <v>0.29411764705882354</v>
      </c>
      <c r="BE240" s="27">
        <f t="shared" si="1504"/>
        <v>97007883.033600032</v>
      </c>
      <c r="BF240" s="30">
        <f t="shared" si="1379"/>
        <v>0.36480000000000001</v>
      </c>
      <c r="BG240" s="27"/>
      <c r="BH240" s="27"/>
      <c r="BI240" s="27"/>
      <c r="CA240" s="20">
        <f t="shared" si="1380"/>
        <v>230</v>
      </c>
      <c r="CB240" s="20">
        <f t="shared" si="1381"/>
        <v>23000</v>
      </c>
    </row>
    <row r="241" spans="1:80" x14ac:dyDescent="0.15">
      <c r="A241">
        <v>2704</v>
      </c>
      <c r="B241" s="3" t="s">
        <v>119</v>
      </c>
      <c r="C241" s="4" t="s">
        <v>109</v>
      </c>
      <c r="D241" s="6" t="s">
        <v>120</v>
      </c>
      <c r="E241" s="5">
        <v>3</v>
      </c>
      <c r="F241" s="7" t="s">
        <v>145</v>
      </c>
      <c r="G241" s="5">
        <v>3</v>
      </c>
      <c r="H241" s="7" t="s">
        <v>190</v>
      </c>
      <c r="I241" s="5">
        <v>0</v>
      </c>
      <c r="J241" s="5">
        <v>0</v>
      </c>
      <c r="K241">
        <v>2</v>
      </c>
      <c r="L241">
        <v>1.5</v>
      </c>
      <c r="M241" s="5">
        <v>1.5</v>
      </c>
      <c r="N241" s="5">
        <v>10</v>
      </c>
      <c r="O241" s="5">
        <f t="shared" si="1361"/>
        <v>33724</v>
      </c>
      <c r="P241" s="5">
        <f t="shared" si="1362"/>
        <v>185328000</v>
      </c>
      <c r="Q241" s="5">
        <f t="shared" si="1363"/>
        <v>3088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70041</v>
      </c>
      <c r="X241" s="6" t="s">
        <v>182</v>
      </c>
      <c r="Y241" s="5">
        <v>300</v>
      </c>
      <c r="Z241" s="5">
        <v>1</v>
      </c>
      <c r="AA241" s="5">
        <v>22579936</v>
      </c>
      <c r="AB241" s="16" t="s">
        <v>111</v>
      </c>
      <c r="AC241" s="7" t="s">
        <v>112</v>
      </c>
      <c r="AD241" s="7" t="s">
        <v>112</v>
      </c>
      <c r="AE241" s="7" t="s">
        <v>112</v>
      </c>
      <c r="AF241" s="6" t="s">
        <v>113</v>
      </c>
      <c r="AG241" s="26" t="str">
        <f t="shared" ref="AG241" si="1687">CM$7</f>
        <v>4,14,28,14,6,4,14,28,14,6</v>
      </c>
      <c r="AH241" s="26" t="str">
        <f t="shared" ref="AH241" si="1688">CN$7</f>
        <v>0,0,0,0,1,0,0,0,0,1</v>
      </c>
      <c r="AI241" s="26" t="str">
        <f t="shared" ref="AI241" si="1689">CO$7</f>
        <v>0,0,0,0,1,0,0,0,0,1</v>
      </c>
      <c r="AJ241" s="26" t="str">
        <f t="shared" ref="AJ241" si="1690">CP$7</f>
        <v>0,0,0,0,5,0,0,0,0,5</v>
      </c>
      <c r="AK241" s="26" t="str">
        <f t="shared" ref="AK241" si="1691">CQ$7</f>
        <v>100,1,1000,2,5,200,1,1000,2,5</v>
      </c>
      <c r="AL241" s="26" t="str">
        <f t="shared" ref="AL241" si="1692">CR$7</f>
        <v>5,5,5,5,5,5,5,5,5,5</v>
      </c>
      <c r="AM241" s="7">
        <v>2001</v>
      </c>
      <c r="AO241">
        <f t="shared" ref="AO241" si="1693">AQ241*100+4</f>
        <v>2704</v>
      </c>
      <c r="AP241">
        <v>237</v>
      </c>
      <c r="AQ241">
        <f t="shared" si="1371"/>
        <v>27</v>
      </c>
      <c r="AR241" s="17">
        <v>8</v>
      </c>
      <c r="AS241" s="17">
        <f t="shared" si="1452"/>
        <v>185</v>
      </c>
      <c r="AT241" s="17">
        <v>7</v>
      </c>
      <c r="AU241">
        <f t="shared" si="1372"/>
        <v>24</v>
      </c>
      <c r="AV241">
        <v>150</v>
      </c>
      <c r="AW241">
        <f t="shared" si="1373"/>
        <v>33724.753919999996</v>
      </c>
      <c r="AX241">
        <f t="shared" si="1502"/>
        <v>185328000.00000003</v>
      </c>
      <c r="AY241">
        <f t="shared" si="1374"/>
        <v>3088.8000000000006</v>
      </c>
      <c r="AZ241">
        <f t="shared" si="1375"/>
        <v>6177.6000000000013</v>
      </c>
      <c r="BA241">
        <f t="shared" si="1376"/>
        <v>41184</v>
      </c>
      <c r="BB241">
        <f t="shared" si="1377"/>
        <v>1544.4000000000003</v>
      </c>
      <c r="BC241">
        <f t="shared" si="1503"/>
        <v>185328000.00000003</v>
      </c>
      <c r="BD241">
        <f t="shared" si="1378"/>
        <v>0.29411764705882354</v>
      </c>
      <c r="BE241" s="27">
        <f t="shared" si="1504"/>
        <v>102180741.06240006</v>
      </c>
      <c r="BF241" s="30">
        <f t="shared" si="1379"/>
        <v>0.36480000000000001</v>
      </c>
      <c r="BG241" s="27"/>
      <c r="BH241" s="27"/>
      <c r="BI241" s="27"/>
      <c r="CA241" s="20">
        <f t="shared" si="1380"/>
        <v>230</v>
      </c>
      <c r="CB241" s="20">
        <f t="shared" si="1381"/>
        <v>23000</v>
      </c>
    </row>
    <row r="242" spans="1:80" x14ac:dyDescent="0.15">
      <c r="A242">
        <v>2705</v>
      </c>
      <c r="B242" s="3" t="s">
        <v>122</v>
      </c>
      <c r="C242" s="4" t="s">
        <v>109</v>
      </c>
      <c r="D242" s="4" t="s">
        <v>110</v>
      </c>
      <c r="E242" s="5">
        <v>2</v>
      </c>
      <c r="F242" s="7" t="s">
        <v>146</v>
      </c>
      <c r="G242" s="5">
        <v>3</v>
      </c>
      <c r="H242" s="7" t="s">
        <v>191</v>
      </c>
      <c r="I242" s="5">
        <v>0</v>
      </c>
      <c r="J242" s="7" t="s">
        <v>148</v>
      </c>
      <c r="K242">
        <v>6</v>
      </c>
      <c r="L242">
        <v>1.5</v>
      </c>
      <c r="M242" s="5">
        <v>1.5</v>
      </c>
      <c r="N242" s="5">
        <v>10</v>
      </c>
      <c r="O242" s="5">
        <f t="shared" si="1361"/>
        <v>34589</v>
      </c>
      <c r="P242" s="5">
        <f t="shared" si="1362"/>
        <v>190080000</v>
      </c>
      <c r="Q242" s="5">
        <f t="shared" si="1363"/>
        <v>3168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70051</v>
      </c>
      <c r="X242" s="6" t="s">
        <v>183</v>
      </c>
      <c r="Y242" s="5">
        <v>300</v>
      </c>
      <c r="Z242" s="5">
        <v>1</v>
      </c>
      <c r="AA242" s="5">
        <v>23969151</v>
      </c>
      <c r="AB242" s="16" t="s">
        <v>111</v>
      </c>
      <c r="AC242" s="7" t="s">
        <v>112</v>
      </c>
      <c r="AD242" s="7" t="s">
        <v>112</v>
      </c>
      <c r="AE242" s="7" t="s">
        <v>112</v>
      </c>
      <c r="AF242" s="6" t="s">
        <v>113</v>
      </c>
      <c r="AG242" s="26" t="str">
        <f t="shared" ref="AG242" si="1694">CM$8</f>
        <v>4,19,28,19,6,4,19,28,19,6</v>
      </c>
      <c r="AH242" s="26" t="str">
        <f t="shared" ref="AH242" si="1695">CN$8</f>
        <v>0,0,0,0,1,0,0,0,0,1</v>
      </c>
      <c r="AI242" s="26" t="str">
        <f t="shared" ref="AI242" si="1696">CO$8</f>
        <v>0,0,0,0,1,0,0,0,0,1</v>
      </c>
      <c r="AJ242" s="26" t="str">
        <f t="shared" ref="AJ242" si="1697">CP$8</f>
        <v>0,0,0,0,5,0,0,0,0,5</v>
      </c>
      <c r="AK242" s="26" t="str">
        <f t="shared" ref="AK242" si="1698">CQ$8</f>
        <v>200,100,1000,200,5,200,100,1000,200,5</v>
      </c>
      <c r="AL242" s="26" t="str">
        <f t="shared" ref="AL242" si="1699">CR$8</f>
        <v>5,5,5,5,5,5,5,5,5,5</v>
      </c>
      <c r="AM242" s="7">
        <v>2001</v>
      </c>
      <c r="AO242">
        <f t="shared" ref="AO242" si="1700">AQ242*100+5</f>
        <v>2705</v>
      </c>
      <c r="AP242">
        <v>238</v>
      </c>
      <c r="AQ242">
        <f t="shared" si="1371"/>
        <v>27</v>
      </c>
      <c r="AR242" s="17">
        <v>8</v>
      </c>
      <c r="AS242" s="17">
        <f t="shared" si="1452"/>
        <v>190</v>
      </c>
      <c r="AT242" s="17">
        <v>7</v>
      </c>
      <c r="AU242">
        <f t="shared" si="1372"/>
        <v>24</v>
      </c>
      <c r="AV242">
        <v>150</v>
      </c>
      <c r="AW242">
        <f t="shared" si="1373"/>
        <v>34589.491199999997</v>
      </c>
      <c r="AX242">
        <f t="shared" si="1502"/>
        <v>190080000.00000003</v>
      </c>
      <c r="AY242">
        <f t="shared" si="1374"/>
        <v>3168.0000000000005</v>
      </c>
      <c r="AZ242">
        <f t="shared" si="1375"/>
        <v>6336.0000000000009</v>
      </c>
      <c r="BA242">
        <f t="shared" si="1376"/>
        <v>42240</v>
      </c>
      <c r="BB242">
        <f t="shared" si="1377"/>
        <v>1584.0000000000002</v>
      </c>
      <c r="BC242">
        <f t="shared" si="1503"/>
        <v>190080000.00000003</v>
      </c>
      <c r="BD242">
        <f t="shared" si="1378"/>
        <v>0.29411764705882348</v>
      </c>
      <c r="BE242" s="27">
        <f t="shared" si="1504"/>
        <v>107487959.04000005</v>
      </c>
      <c r="BF242" s="30">
        <f t="shared" si="1379"/>
        <v>0.36480000000000001</v>
      </c>
      <c r="BG242" s="27"/>
      <c r="BH242" s="27"/>
      <c r="BI242" s="27"/>
      <c r="CA242" s="20">
        <f t="shared" si="1380"/>
        <v>230</v>
      </c>
      <c r="CB242" s="20">
        <f t="shared" si="1381"/>
        <v>23000</v>
      </c>
    </row>
    <row r="243" spans="1:80" x14ac:dyDescent="0.15">
      <c r="A243">
        <v>2706</v>
      </c>
      <c r="B243" s="3" t="s">
        <v>124</v>
      </c>
      <c r="C243" s="4" t="s">
        <v>109</v>
      </c>
      <c r="D243" s="6" t="s">
        <v>120</v>
      </c>
      <c r="E243" s="5">
        <v>1</v>
      </c>
      <c r="F243" s="7" t="s">
        <v>147</v>
      </c>
      <c r="G243" s="5">
        <v>3</v>
      </c>
      <c r="H243" s="7" t="s">
        <v>192</v>
      </c>
      <c r="I243" s="5">
        <v>0</v>
      </c>
      <c r="J243" s="7" t="s">
        <v>149</v>
      </c>
      <c r="K243">
        <v>6</v>
      </c>
      <c r="L243">
        <v>1.5</v>
      </c>
      <c r="M243" s="5">
        <v>1.5</v>
      </c>
      <c r="N243" s="5">
        <v>10</v>
      </c>
      <c r="O243" s="5">
        <f t="shared" si="1361"/>
        <v>35454</v>
      </c>
      <c r="P243" s="5">
        <f t="shared" si="1362"/>
        <v>194832000</v>
      </c>
      <c r="Q243" s="5">
        <f t="shared" si="1363"/>
        <v>3247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70061</v>
      </c>
      <c r="X243" s="6" t="s">
        <v>184</v>
      </c>
      <c r="Y243" s="5">
        <v>300</v>
      </c>
      <c r="Z243" s="5">
        <v>1</v>
      </c>
      <c r="AA243" s="5">
        <v>25399836</v>
      </c>
      <c r="AB243" s="16" t="s">
        <v>111</v>
      </c>
      <c r="AC243" s="7" t="s">
        <v>112</v>
      </c>
      <c r="AD243" s="7" t="s">
        <v>112</v>
      </c>
      <c r="AE243" s="7" t="s">
        <v>112</v>
      </c>
      <c r="AF243" s="6" t="s">
        <v>113</v>
      </c>
      <c r="AG243" s="26" t="str">
        <f t="shared" ref="AG243" si="1701">CM$9</f>
        <v>4,33,28,33,6,4,33,28,33,6</v>
      </c>
      <c r="AH243" s="26" t="str">
        <f t="shared" ref="AH243" si="1702">CN$9</f>
        <v>0,6,0,6,1,0,6,0,6,1</v>
      </c>
      <c r="AI243" s="26" t="str">
        <f t="shared" ref="AI243" si="1703">CO$9</f>
        <v>0,0,0,0,1,0,0,0,0,1</v>
      </c>
      <c r="AJ243" s="26" t="str">
        <f t="shared" ref="AJ243" si="1704">CP$9</f>
        <v>0,0,0,0,5,0,0,0,0,5</v>
      </c>
      <c r="AK243" s="26" t="str">
        <f t="shared" ref="AK243" si="1705">CQ$9</f>
        <v>200,1,1000,2,5,200,1,1000,2,5</v>
      </c>
      <c r="AL243" s="26" t="str">
        <f t="shared" ref="AL243" si="1706">CR$9</f>
        <v>5,5,5,5,5,5,5,5,5,5</v>
      </c>
      <c r="AM243" s="7">
        <v>2001</v>
      </c>
      <c r="AO243">
        <f t="shared" ref="AO243" si="1707">AQ243*100+6</f>
        <v>2706</v>
      </c>
      <c r="AP243">
        <v>239</v>
      </c>
      <c r="AQ243">
        <f t="shared" si="1371"/>
        <v>27</v>
      </c>
      <c r="AR243" s="17">
        <v>8</v>
      </c>
      <c r="AS243" s="17">
        <f t="shared" si="1452"/>
        <v>195</v>
      </c>
      <c r="AT243" s="17">
        <v>7</v>
      </c>
      <c r="AU243">
        <f t="shared" si="1372"/>
        <v>24</v>
      </c>
      <c r="AV243">
        <v>150</v>
      </c>
      <c r="AW243">
        <f t="shared" si="1373"/>
        <v>35454.228479999998</v>
      </c>
      <c r="AX243">
        <f t="shared" si="1502"/>
        <v>194832000.00000003</v>
      </c>
      <c r="AY243">
        <f t="shared" si="1374"/>
        <v>3247.2000000000003</v>
      </c>
      <c r="AZ243">
        <f t="shared" si="1375"/>
        <v>6494.4000000000005</v>
      </c>
      <c r="BA243">
        <f t="shared" si="1376"/>
        <v>43296</v>
      </c>
      <c r="BB243">
        <f t="shared" si="1377"/>
        <v>1623.6000000000001</v>
      </c>
      <c r="BC243">
        <f t="shared" si="1503"/>
        <v>194832000.00000003</v>
      </c>
      <c r="BD243">
        <f t="shared" si="1378"/>
        <v>0.29411764705882354</v>
      </c>
      <c r="BE243" s="27">
        <f t="shared" si="1504"/>
        <v>112929536.96640004</v>
      </c>
      <c r="BF243" s="30">
        <f t="shared" si="1379"/>
        <v>0.36480000000000001</v>
      </c>
      <c r="BG243" s="27"/>
      <c r="BH243" s="27"/>
      <c r="BI243" s="27"/>
      <c r="CA243" s="20">
        <f t="shared" si="1380"/>
        <v>230</v>
      </c>
      <c r="CB243" s="20">
        <f t="shared" si="1381"/>
        <v>23000</v>
      </c>
    </row>
    <row r="244" spans="1:80" x14ac:dyDescent="0.15">
      <c r="A244">
        <v>2707</v>
      </c>
      <c r="B244" s="3" t="s">
        <v>126</v>
      </c>
      <c r="C244" s="4" t="s">
        <v>109</v>
      </c>
      <c r="D244" s="4" t="s">
        <v>110</v>
      </c>
      <c r="E244" s="5">
        <v>2</v>
      </c>
      <c r="F244" s="7" t="s">
        <v>143</v>
      </c>
      <c r="G244" s="5">
        <v>3</v>
      </c>
      <c r="H244" s="7" t="s">
        <v>193</v>
      </c>
      <c r="I244" s="5">
        <v>0</v>
      </c>
      <c r="J244" s="5">
        <v>0</v>
      </c>
      <c r="K244">
        <v>2</v>
      </c>
      <c r="L244">
        <v>1.5</v>
      </c>
      <c r="M244" s="5">
        <v>1.5</v>
      </c>
      <c r="N244" s="5">
        <v>10</v>
      </c>
      <c r="O244" s="5">
        <f t="shared" si="1361"/>
        <v>36318</v>
      </c>
      <c r="P244" s="5">
        <f t="shared" si="1362"/>
        <v>199584000</v>
      </c>
      <c r="Q244" s="5">
        <f t="shared" si="1363"/>
        <v>3326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70071</v>
      </c>
      <c r="X244" s="6" t="s">
        <v>185</v>
      </c>
      <c r="Y244" s="5">
        <v>300</v>
      </c>
      <c r="Z244" s="5">
        <v>1</v>
      </c>
      <c r="AA244" s="5">
        <v>26871990</v>
      </c>
      <c r="AB244" s="16" t="s">
        <v>111</v>
      </c>
      <c r="AC244" s="7" t="s">
        <v>112</v>
      </c>
      <c r="AD244" s="7" t="s">
        <v>112</v>
      </c>
      <c r="AE244" s="7" t="s">
        <v>112</v>
      </c>
      <c r="AF244" s="6" t="s">
        <v>113</v>
      </c>
      <c r="AG244" s="26" t="str">
        <f t="shared" ref="AG244" si="1708">CM$10</f>
        <v>4,14,28,14,6,4,14,28,14,6</v>
      </c>
      <c r="AH244" s="26" t="str">
        <f t="shared" ref="AH244" si="1709">CN$10</f>
        <v>0,0,0,0,1,0,0,0,0,1</v>
      </c>
      <c r="AI244" s="26" t="str">
        <f t="shared" ref="AI244" si="1710">CO$10</f>
        <v>0,0,0,0,1,0,0,0,0,1</v>
      </c>
      <c r="AJ244" s="26" t="str">
        <f t="shared" ref="AJ244" si="1711">CP$10</f>
        <v>0,0,0,0,5,0,0,0,0,5</v>
      </c>
      <c r="AK244" s="26" t="str">
        <f t="shared" ref="AK244" si="1712">CQ$10</f>
        <v>200,1,1000,2,5,200,1,1000,2,5</v>
      </c>
      <c r="AL244" s="26" t="str">
        <f t="shared" ref="AL244" si="1713">CR$10</f>
        <v>5,5,5,5,5,5,5,5,5,5</v>
      </c>
      <c r="AM244" s="7">
        <v>2001</v>
      </c>
      <c r="AO244">
        <f t="shared" ref="AO244" si="1714">AQ244*100+7</f>
        <v>2707</v>
      </c>
      <c r="AP244">
        <v>240</v>
      </c>
      <c r="AQ244">
        <f t="shared" si="1371"/>
        <v>27</v>
      </c>
      <c r="AR244" s="17">
        <v>8</v>
      </c>
      <c r="AS244" s="17">
        <f t="shared" si="1452"/>
        <v>200</v>
      </c>
      <c r="AT244" s="17">
        <v>7</v>
      </c>
      <c r="AU244">
        <f t="shared" si="1372"/>
        <v>24</v>
      </c>
      <c r="AV244">
        <v>150</v>
      </c>
      <c r="AW244">
        <f t="shared" si="1373"/>
        <v>36318.965759999999</v>
      </c>
      <c r="AX244">
        <f t="shared" si="1502"/>
        <v>199584000.00000003</v>
      </c>
      <c r="AY244">
        <f t="shared" si="1374"/>
        <v>3326.4000000000005</v>
      </c>
      <c r="AZ244">
        <f t="shared" si="1375"/>
        <v>6652.8000000000011</v>
      </c>
      <c r="BA244">
        <f t="shared" si="1376"/>
        <v>44352</v>
      </c>
      <c r="BB244">
        <f t="shared" si="1377"/>
        <v>1663.2000000000003</v>
      </c>
      <c r="BC244">
        <f t="shared" si="1503"/>
        <v>199584000.00000003</v>
      </c>
      <c r="BD244">
        <f t="shared" si="1378"/>
        <v>0.29411764705882359</v>
      </c>
      <c r="BE244" s="27">
        <f t="shared" si="1504"/>
        <v>118505474.84160005</v>
      </c>
      <c r="BF244" s="30">
        <f t="shared" si="1379"/>
        <v>0.36480000000000001</v>
      </c>
      <c r="BG244" s="27"/>
      <c r="BH244" s="27"/>
      <c r="BI244" s="27"/>
      <c r="CA244" s="20">
        <f t="shared" si="1380"/>
        <v>230</v>
      </c>
      <c r="CB244" s="20">
        <f t="shared" si="1381"/>
        <v>23000</v>
      </c>
    </row>
    <row r="245" spans="1:80" x14ac:dyDescent="0.15">
      <c r="A245">
        <v>2708</v>
      </c>
      <c r="B245" s="3" t="s">
        <v>128</v>
      </c>
      <c r="C245" s="4" t="s">
        <v>109</v>
      </c>
      <c r="D245" s="4" t="s">
        <v>110</v>
      </c>
      <c r="E245" s="5">
        <v>5</v>
      </c>
      <c r="F245" s="7" t="s">
        <v>129</v>
      </c>
      <c r="G245" s="5">
        <v>2</v>
      </c>
      <c r="H245" s="7" t="s">
        <v>130</v>
      </c>
      <c r="I245" s="5">
        <v>0</v>
      </c>
      <c r="J245" s="5">
        <v>0</v>
      </c>
      <c r="K245">
        <v>2</v>
      </c>
      <c r="L245">
        <v>1.5</v>
      </c>
      <c r="M245" s="5">
        <v>1.5</v>
      </c>
      <c r="N245" s="5">
        <v>10</v>
      </c>
      <c r="O245" s="5">
        <f t="shared" si="1361"/>
        <v>37183</v>
      </c>
      <c r="P245" s="5">
        <f t="shared" si="1362"/>
        <v>204336000</v>
      </c>
      <c r="Q245" s="5">
        <f t="shared" si="1363"/>
        <v>3405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70081</v>
      </c>
      <c r="X245" s="6" t="s">
        <v>186</v>
      </c>
      <c r="Y245" s="5">
        <v>300</v>
      </c>
      <c r="Z245" s="5">
        <v>1</v>
      </c>
      <c r="AA245" s="5">
        <v>28385613</v>
      </c>
      <c r="AB245" s="16" t="s">
        <v>111</v>
      </c>
      <c r="AC245" s="7" t="s">
        <v>112</v>
      </c>
      <c r="AD245" s="7" t="s">
        <v>112</v>
      </c>
      <c r="AE245" s="7" t="s">
        <v>112</v>
      </c>
      <c r="AF245" s="6" t="s">
        <v>113</v>
      </c>
      <c r="AG245" s="26" t="str">
        <f t="shared" ref="AG245" si="1715">CM$11</f>
        <v>4,28,6,28,6,4,28,6,28,6</v>
      </c>
      <c r="AH245" s="26" t="str">
        <f t="shared" ref="AH245" si="1716">CN$11</f>
        <v>0,0,1,0,1,0,0,1,0,1</v>
      </c>
      <c r="AI245" s="26" t="str">
        <f t="shared" ref="AI245" si="1717">CO$11</f>
        <v>0,0,1,0,1,0,0,1,0,1</v>
      </c>
      <c r="AJ245" s="26" t="str">
        <f t="shared" ref="AJ245" si="1718">CP$11</f>
        <v>0,0,5,0,5,0,0,5,0,5</v>
      </c>
      <c r="AK245" s="26" t="str">
        <f t="shared" ref="AK245" si="1719">CQ$11</f>
        <v>100,1000,5,1500,5,200,1000,5,1500,5</v>
      </c>
      <c r="AL245" s="26" t="str">
        <f t="shared" ref="AL245" si="1720">CR$11</f>
        <v>5,5,5,5,5,5,5,5,5,5</v>
      </c>
      <c r="AM245" s="7">
        <v>2001</v>
      </c>
      <c r="AO245">
        <f t="shared" ref="AO245" si="1721">AQ245*100+8</f>
        <v>2708</v>
      </c>
      <c r="AP245">
        <v>241</v>
      </c>
      <c r="AQ245">
        <f t="shared" si="1371"/>
        <v>27</v>
      </c>
      <c r="AR245" s="17">
        <v>8</v>
      </c>
      <c r="AS245" s="17">
        <f t="shared" si="1452"/>
        <v>205</v>
      </c>
      <c r="AT245" s="17">
        <v>7</v>
      </c>
      <c r="AU245">
        <f t="shared" si="1372"/>
        <v>24</v>
      </c>
      <c r="AV245">
        <v>150</v>
      </c>
      <c r="AW245">
        <f t="shared" si="1373"/>
        <v>37183.70304</v>
      </c>
      <c r="AX245">
        <f t="shared" si="1502"/>
        <v>204336000.00000003</v>
      </c>
      <c r="AY245">
        <f t="shared" si="1374"/>
        <v>3405.6000000000004</v>
      </c>
      <c r="AZ245">
        <f t="shared" si="1375"/>
        <v>6811.2000000000007</v>
      </c>
      <c r="BA245">
        <f t="shared" si="1376"/>
        <v>45408</v>
      </c>
      <c r="BB245">
        <f t="shared" si="1377"/>
        <v>1702.8000000000002</v>
      </c>
      <c r="BC245">
        <f t="shared" si="1503"/>
        <v>204336000.00000003</v>
      </c>
      <c r="BD245">
        <f t="shared" si="1378"/>
        <v>0.29411764705882348</v>
      </c>
      <c r="BE245" s="27">
        <f t="shared" si="1504"/>
        <v>124215772.66560005</v>
      </c>
      <c r="BF245" s="30">
        <f t="shared" si="1379"/>
        <v>0.36480000000000001</v>
      </c>
      <c r="BG245" s="27"/>
      <c r="BH245" s="27"/>
      <c r="BI245" s="27"/>
      <c r="CA245" s="20">
        <f t="shared" si="1380"/>
        <v>230</v>
      </c>
      <c r="CB245" s="20">
        <f t="shared" si="1381"/>
        <v>23000</v>
      </c>
    </row>
    <row r="246" spans="1:80" x14ac:dyDescent="0.15">
      <c r="A246">
        <v>2709</v>
      </c>
      <c r="B246" s="3" t="s">
        <v>132</v>
      </c>
      <c r="C246" s="4" t="s">
        <v>109</v>
      </c>
      <c r="D246" s="4" t="s">
        <v>110</v>
      </c>
      <c r="E246" s="5">
        <v>5</v>
      </c>
      <c r="F246" s="7" t="s">
        <v>140</v>
      </c>
      <c r="G246" s="5">
        <v>3</v>
      </c>
      <c r="H246" s="7" t="s">
        <v>140</v>
      </c>
      <c r="I246" s="5">
        <v>0</v>
      </c>
      <c r="J246" s="7">
        <v>0</v>
      </c>
      <c r="K246">
        <v>6</v>
      </c>
      <c r="L246">
        <v>1.5</v>
      </c>
      <c r="M246" s="5">
        <v>1.5</v>
      </c>
      <c r="N246" s="5">
        <v>10</v>
      </c>
      <c r="O246" s="5">
        <f t="shared" si="1361"/>
        <v>38048</v>
      </c>
      <c r="P246" s="5">
        <f t="shared" si="1362"/>
        <v>209088000</v>
      </c>
      <c r="Q246" s="5">
        <f t="shared" si="1363"/>
        <v>3484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70091</v>
      </c>
      <c r="X246" s="6" t="s">
        <v>187</v>
      </c>
      <c r="Y246" s="5">
        <v>300</v>
      </c>
      <c r="Z246" s="5">
        <v>1</v>
      </c>
      <c r="AA246" s="5">
        <v>29940705</v>
      </c>
      <c r="AB246" s="16" t="s">
        <v>111</v>
      </c>
      <c r="AC246" s="7" t="s">
        <v>112</v>
      </c>
      <c r="AD246" s="7" t="s">
        <v>112</v>
      </c>
      <c r="AE246" s="7" t="s">
        <v>112</v>
      </c>
      <c r="AF246" s="6" t="s">
        <v>113</v>
      </c>
      <c r="AG246" s="26" t="str">
        <f t="shared" ref="AG246" si="1722">CM$12</f>
        <v>4,33,28,33,6,4,33,28,33,6</v>
      </c>
      <c r="AH246" s="26" t="str">
        <f t="shared" ref="AH246" si="1723">CN$12</f>
        <v>0,5,0,5,1,0,5,0,5,1</v>
      </c>
      <c r="AI246" s="26" t="str">
        <f t="shared" ref="AI246" si="1724">CO$12</f>
        <v>0,0,0,0,1,0,0,0,0,1</v>
      </c>
      <c r="AJ246" s="26" t="str">
        <f t="shared" ref="AJ246" si="1725">CP$12</f>
        <v>0,0,0,0,5,0,0,0,0,5</v>
      </c>
      <c r="AK246" s="26" t="str">
        <f t="shared" ref="AK246" si="1726">CQ$12</f>
        <v>100,1,1000,2,5,200,1,1000,2,5</v>
      </c>
      <c r="AL246" s="26" t="str">
        <f t="shared" ref="AL246" si="1727">CR$12</f>
        <v>5,5,5,5,5,5,5,5,5,5</v>
      </c>
      <c r="AM246" s="7">
        <v>2001</v>
      </c>
      <c r="AO246">
        <f t="shared" ref="AO246" si="1728">AQ246*100+9</f>
        <v>2709</v>
      </c>
      <c r="AP246">
        <v>242</v>
      </c>
      <c r="AQ246">
        <f t="shared" si="1371"/>
        <v>27</v>
      </c>
      <c r="AR246" s="17">
        <v>8</v>
      </c>
      <c r="AS246" s="17">
        <f t="shared" si="1452"/>
        <v>210</v>
      </c>
      <c r="AT246" s="17">
        <v>7</v>
      </c>
      <c r="AU246">
        <f t="shared" si="1372"/>
        <v>24</v>
      </c>
      <c r="AV246">
        <v>150</v>
      </c>
      <c r="AW246">
        <f t="shared" si="1373"/>
        <v>38048.440319999994</v>
      </c>
      <c r="AX246">
        <f t="shared" si="1502"/>
        <v>209088000.00000003</v>
      </c>
      <c r="AY246">
        <f t="shared" si="1374"/>
        <v>3484.8000000000006</v>
      </c>
      <c r="AZ246">
        <f t="shared" si="1375"/>
        <v>6969.6000000000013</v>
      </c>
      <c r="BA246">
        <f t="shared" si="1376"/>
        <v>46464</v>
      </c>
      <c r="BB246">
        <f t="shared" si="1377"/>
        <v>1742.4000000000003</v>
      </c>
      <c r="BC246">
        <f t="shared" si="1503"/>
        <v>209088000.00000003</v>
      </c>
      <c r="BD246">
        <f t="shared" si="1378"/>
        <v>0.29411764705882354</v>
      </c>
      <c r="BE246" s="27">
        <f t="shared" si="1504"/>
        <v>130060430.43840007</v>
      </c>
      <c r="BF246" s="30">
        <f t="shared" si="1379"/>
        <v>0.36480000000000001</v>
      </c>
      <c r="BG246" s="27"/>
      <c r="BH246" s="27"/>
      <c r="BI246" s="27"/>
      <c r="CA246" s="20">
        <f t="shared" si="1380"/>
        <v>230</v>
      </c>
      <c r="CB246" s="20">
        <f t="shared" si="1381"/>
        <v>23000</v>
      </c>
    </row>
    <row r="247" spans="1:80" x14ac:dyDescent="0.15">
      <c r="A247">
        <v>2801</v>
      </c>
      <c r="B247" s="3" t="s">
        <v>108</v>
      </c>
      <c r="C247" s="4" t="s">
        <v>109</v>
      </c>
      <c r="D247" s="4" t="s">
        <v>110</v>
      </c>
      <c r="E247" s="5">
        <v>3</v>
      </c>
      <c r="F247" s="7" t="s">
        <v>141</v>
      </c>
      <c r="G247" s="5">
        <v>2.5</v>
      </c>
      <c r="H247" s="7" t="s">
        <v>194</v>
      </c>
      <c r="I247" s="5">
        <v>0</v>
      </c>
      <c r="J247" s="5">
        <v>0</v>
      </c>
      <c r="K247">
        <v>2</v>
      </c>
      <c r="L247">
        <v>1.5</v>
      </c>
      <c r="M247" s="5">
        <v>1.5</v>
      </c>
      <c r="N247" s="5">
        <v>10</v>
      </c>
      <c r="O247" s="5">
        <f t="shared" si="1361"/>
        <v>32051</v>
      </c>
      <c r="P247" s="5">
        <f t="shared" si="1362"/>
        <v>175824000</v>
      </c>
      <c r="Q247" s="5">
        <f t="shared" si="1363"/>
        <v>2930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70011</v>
      </c>
      <c r="X247" s="6" t="s">
        <v>179</v>
      </c>
      <c r="Y247" s="5">
        <v>300</v>
      </c>
      <c r="Z247" s="5">
        <v>1</v>
      </c>
      <c r="AA247" s="5">
        <v>31537266</v>
      </c>
      <c r="AB247" s="16" t="s">
        <v>111</v>
      </c>
      <c r="AC247" s="7" t="s">
        <v>112</v>
      </c>
      <c r="AD247" s="7" t="s">
        <v>112</v>
      </c>
      <c r="AE247" s="7" t="s">
        <v>112</v>
      </c>
      <c r="AF247" s="6" t="s">
        <v>113</v>
      </c>
      <c r="AG247" s="26" t="str">
        <f t="shared" ref="AG247" si="1729">CM$4</f>
        <v>4,33,28,33,6,4,33,28,33,6</v>
      </c>
      <c r="AH247" s="26" t="str">
        <f t="shared" ref="AH247" si="1730">CN$4</f>
        <v>0,8,0,8,1,0,8,0,8,1</v>
      </c>
      <c r="AI247" s="26" t="str">
        <f t="shared" ref="AI247" si="1731">CO$4</f>
        <v>0,0,0,0,1,0,0,0,0,1</v>
      </c>
      <c r="AJ247" s="26" t="str">
        <f t="shared" ref="AJ247" si="1732">CP$4</f>
        <v>0,0,0,0,5,0,0,0,0,5</v>
      </c>
      <c r="AK247" s="26" t="str">
        <f t="shared" ref="AK247" si="1733">CQ$4</f>
        <v>100,1,1000,2,5,200,1,1000,2,5</v>
      </c>
      <c r="AL247" s="26" t="str">
        <f t="shared" ref="AL247" si="1734">CR$4</f>
        <v>5,5,5,5,5,5,5,5,5,5</v>
      </c>
      <c r="AM247" s="7">
        <v>2001</v>
      </c>
      <c r="AO247">
        <f t="shared" ref="AO247" si="1735">AQ247*100+1</f>
        <v>2801</v>
      </c>
      <c r="AP247">
        <v>243</v>
      </c>
      <c r="AQ247">
        <f t="shared" si="1371"/>
        <v>28</v>
      </c>
      <c r="AR247" s="17">
        <v>8</v>
      </c>
      <c r="AS247" s="17">
        <f t="shared" si="1452"/>
        <v>175</v>
      </c>
      <c r="AT247" s="17">
        <v>7</v>
      </c>
      <c r="AU247">
        <f t="shared" si="1372"/>
        <v>24</v>
      </c>
      <c r="AV247">
        <v>150</v>
      </c>
      <c r="AW247">
        <f t="shared" si="1373"/>
        <v>32051.54304</v>
      </c>
      <c r="AX247">
        <f t="shared" si="1502"/>
        <v>175824000.00000003</v>
      </c>
      <c r="AY247">
        <f t="shared" si="1374"/>
        <v>2930.4000000000005</v>
      </c>
      <c r="AZ247">
        <f t="shared" si="1375"/>
        <v>5860.8000000000011</v>
      </c>
      <c r="BA247">
        <f t="shared" si="1376"/>
        <v>39072</v>
      </c>
      <c r="BB247">
        <f t="shared" si="1377"/>
        <v>1465.2000000000003</v>
      </c>
      <c r="BC247">
        <f t="shared" si="1503"/>
        <v>175824000.00000003</v>
      </c>
      <c r="BD247">
        <f t="shared" si="1378"/>
        <v>0.29411764705882359</v>
      </c>
      <c r="BE247" s="27">
        <f t="shared" si="1504"/>
        <v>91969384.953600034</v>
      </c>
      <c r="BF247" s="30">
        <f t="shared" si="1379"/>
        <v>0.36719999999999997</v>
      </c>
      <c r="BG247" s="27"/>
      <c r="BH247" s="27"/>
      <c r="BI247" s="27"/>
      <c r="CA247" s="20">
        <f t="shared" si="1380"/>
        <v>235</v>
      </c>
      <c r="CB247" s="20">
        <f t="shared" si="1381"/>
        <v>23500</v>
      </c>
    </row>
    <row r="248" spans="1:80" x14ac:dyDescent="0.15">
      <c r="A248">
        <v>2802</v>
      </c>
      <c r="B248" s="3" t="s">
        <v>115</v>
      </c>
      <c r="C248" s="4" t="s">
        <v>109</v>
      </c>
      <c r="D248" s="6" t="s">
        <v>110</v>
      </c>
      <c r="E248" s="5">
        <v>3</v>
      </c>
      <c r="F248" s="7" t="s">
        <v>142</v>
      </c>
      <c r="G248" s="5">
        <v>3</v>
      </c>
      <c r="H248" s="7" t="s">
        <v>188</v>
      </c>
      <c r="I248" s="5">
        <v>0</v>
      </c>
      <c r="J248" s="5">
        <v>0</v>
      </c>
      <c r="K248">
        <v>2</v>
      </c>
      <c r="L248">
        <v>1.5</v>
      </c>
      <c r="M248" s="5">
        <v>1.5</v>
      </c>
      <c r="N248" s="5">
        <v>10</v>
      </c>
      <c r="O248" s="5">
        <f t="shared" si="1361"/>
        <v>32917</v>
      </c>
      <c r="P248" s="5">
        <f t="shared" si="1362"/>
        <v>180576000</v>
      </c>
      <c r="Q248" s="5">
        <f t="shared" si="1363"/>
        <v>3009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70021</v>
      </c>
      <c r="X248" s="6" t="s">
        <v>180</v>
      </c>
      <c r="Y248" s="5">
        <v>300</v>
      </c>
      <c r="Z248" s="5">
        <v>1</v>
      </c>
      <c r="AA248" s="5">
        <v>21232189</v>
      </c>
      <c r="AB248" s="16" t="s">
        <v>111</v>
      </c>
      <c r="AC248" s="7" t="s">
        <v>112</v>
      </c>
      <c r="AD248" s="7" t="s">
        <v>112</v>
      </c>
      <c r="AE248" s="7" t="s">
        <v>112</v>
      </c>
      <c r="AF248" s="6" t="s">
        <v>113</v>
      </c>
      <c r="AG248" s="26" t="str">
        <f t="shared" ref="AG248" si="1736">CM$5</f>
        <v>4,33,28,33,6,4,33,28,33,6</v>
      </c>
      <c r="AH248" s="26" t="str">
        <f t="shared" ref="AH248" si="1737">CN$5</f>
        <v>0,7,0,7,1,0,7,0,7,1</v>
      </c>
      <c r="AI248" s="26" t="str">
        <f t="shared" ref="AI248" si="1738">CO$5</f>
        <v>0,0,0,0,1,0,0,0,0,1</v>
      </c>
      <c r="AJ248" s="26" t="str">
        <f t="shared" ref="AJ248" si="1739">CP$5</f>
        <v>0,0,0,0,5,0,0,0,0,5</v>
      </c>
      <c r="AK248" s="26" t="str">
        <f t="shared" ref="AK248" si="1740">CQ$5</f>
        <v>100,1,1000,2,5,200,1,1000,2,5</v>
      </c>
      <c r="AL248" s="26" t="str">
        <f t="shared" ref="AL248" si="1741">CR$5</f>
        <v>5,5,5,5,5,5,5,5,5,5</v>
      </c>
      <c r="AM248" s="7">
        <v>2001</v>
      </c>
      <c r="AO248">
        <f t="shared" ref="AO248" si="1742">AQ248*100+2</f>
        <v>2802</v>
      </c>
      <c r="AP248">
        <v>244</v>
      </c>
      <c r="AQ248">
        <f t="shared" si="1371"/>
        <v>28</v>
      </c>
      <c r="AR248" s="17">
        <v>8</v>
      </c>
      <c r="AS248" s="17">
        <f t="shared" si="1452"/>
        <v>180</v>
      </c>
      <c r="AT248" s="17">
        <v>7</v>
      </c>
      <c r="AU248">
        <f t="shared" si="1372"/>
        <v>24</v>
      </c>
      <c r="AV248">
        <v>150</v>
      </c>
      <c r="AW248">
        <f t="shared" si="1373"/>
        <v>32917.80096</v>
      </c>
      <c r="AX248">
        <f t="shared" si="1502"/>
        <v>180576000.00000003</v>
      </c>
      <c r="AY248">
        <f t="shared" si="1374"/>
        <v>3009.6000000000004</v>
      </c>
      <c r="AZ248">
        <f t="shared" si="1375"/>
        <v>6019.2000000000007</v>
      </c>
      <c r="BA248">
        <f t="shared" si="1376"/>
        <v>40128</v>
      </c>
      <c r="BB248">
        <f t="shared" si="1377"/>
        <v>1504.8000000000002</v>
      </c>
      <c r="BC248">
        <f t="shared" si="1503"/>
        <v>180576000.00000003</v>
      </c>
      <c r="BD248">
        <f t="shared" si="1378"/>
        <v>0.29411764705882354</v>
      </c>
      <c r="BE248" s="27">
        <f t="shared" si="1504"/>
        <v>97007883.033600032</v>
      </c>
      <c r="BF248" s="30">
        <f t="shared" si="1379"/>
        <v>0.36719999999999997</v>
      </c>
      <c r="BG248" s="27"/>
      <c r="BH248" s="27"/>
      <c r="BI248" s="27"/>
      <c r="CA248" s="20">
        <f t="shared" si="1380"/>
        <v>235</v>
      </c>
      <c r="CB248" s="20">
        <f t="shared" si="1381"/>
        <v>23500</v>
      </c>
    </row>
    <row r="249" spans="1:80" x14ac:dyDescent="0.15">
      <c r="A249">
        <v>2803</v>
      </c>
      <c r="B249" s="3" t="s">
        <v>117</v>
      </c>
      <c r="C249" s="4" t="s">
        <v>109</v>
      </c>
      <c r="D249" s="4" t="s">
        <v>110</v>
      </c>
      <c r="E249" s="5">
        <v>1</v>
      </c>
      <c r="F249" s="7" t="s">
        <v>144</v>
      </c>
      <c r="G249" s="5">
        <v>3</v>
      </c>
      <c r="H249" s="7" t="s">
        <v>189</v>
      </c>
      <c r="I249" s="5">
        <v>0</v>
      </c>
      <c r="J249" s="2">
        <v>0</v>
      </c>
      <c r="K249">
        <v>6</v>
      </c>
      <c r="L249">
        <v>1.5</v>
      </c>
      <c r="M249" s="5">
        <v>1.5</v>
      </c>
      <c r="N249" s="5">
        <v>10</v>
      </c>
      <c r="O249" s="5">
        <f t="shared" si="1361"/>
        <v>33784</v>
      </c>
      <c r="P249" s="5">
        <f t="shared" si="1362"/>
        <v>185328000</v>
      </c>
      <c r="Q249" s="5">
        <f t="shared" si="1363"/>
        <v>3088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70031</v>
      </c>
      <c r="X249" s="6" t="s">
        <v>181</v>
      </c>
      <c r="Y249" s="5">
        <v>300</v>
      </c>
      <c r="Z249" s="5">
        <v>1</v>
      </c>
      <c r="AA249" s="5">
        <v>22579936</v>
      </c>
      <c r="AB249" s="16" t="s">
        <v>111</v>
      </c>
      <c r="AC249" s="7" t="s">
        <v>112</v>
      </c>
      <c r="AD249" s="7" t="s">
        <v>112</v>
      </c>
      <c r="AE249" s="7" t="s">
        <v>112</v>
      </c>
      <c r="AF249" s="6" t="s">
        <v>113</v>
      </c>
      <c r="AG249" s="26" t="str">
        <f t="shared" ref="AG249" si="1743">CM$6</f>
        <v>4,28,6,28,6,4,28,6,28,6</v>
      </c>
      <c r="AH249" s="26" t="str">
        <f t="shared" ref="AH249" si="1744">CN$6</f>
        <v>0,0,1,0,1,0,0,1,0,1</v>
      </c>
      <c r="AI249" s="26" t="str">
        <f t="shared" ref="AI249" si="1745">CO$6</f>
        <v>0,0,0,0,1,0,0,0,0,1</v>
      </c>
      <c r="AJ249" s="26" t="str">
        <f t="shared" ref="AJ249" si="1746">CP$6</f>
        <v>0,0,5,0,5,0,0,5,0,5</v>
      </c>
      <c r="AK249" s="26" t="str">
        <f t="shared" ref="AK249" si="1747">CQ$6</f>
        <v>100,1000,5,1500,5,200,1000,5,1500,5</v>
      </c>
      <c r="AL249" s="26" t="str">
        <f t="shared" ref="AL249" si="1748">CR$6</f>
        <v>5,5,5,5,5,5,5,5,5,5</v>
      </c>
      <c r="AM249" s="7">
        <v>2001</v>
      </c>
      <c r="AO249">
        <f t="shared" ref="AO249" si="1749">AQ249*100+3</f>
        <v>2803</v>
      </c>
      <c r="AP249">
        <v>245</v>
      </c>
      <c r="AQ249">
        <f t="shared" si="1371"/>
        <v>28</v>
      </c>
      <c r="AR249" s="17">
        <v>8</v>
      </c>
      <c r="AS249" s="17">
        <f t="shared" si="1452"/>
        <v>185</v>
      </c>
      <c r="AT249" s="17">
        <v>7</v>
      </c>
      <c r="AU249">
        <f t="shared" si="1372"/>
        <v>24</v>
      </c>
      <c r="AV249">
        <v>150</v>
      </c>
      <c r="AW249">
        <f t="shared" si="1373"/>
        <v>33784.058879999997</v>
      </c>
      <c r="AX249">
        <f t="shared" si="1502"/>
        <v>185328000.00000003</v>
      </c>
      <c r="AY249">
        <f t="shared" si="1374"/>
        <v>3088.8000000000006</v>
      </c>
      <c r="AZ249">
        <f t="shared" si="1375"/>
        <v>6177.6000000000013</v>
      </c>
      <c r="BA249">
        <f t="shared" si="1376"/>
        <v>41184</v>
      </c>
      <c r="BB249">
        <f t="shared" si="1377"/>
        <v>1544.4000000000003</v>
      </c>
      <c r="BC249">
        <f t="shared" si="1503"/>
        <v>185328000.00000003</v>
      </c>
      <c r="BD249">
        <f t="shared" si="1378"/>
        <v>0.29411764705882354</v>
      </c>
      <c r="BE249" s="27">
        <f t="shared" si="1504"/>
        <v>102180741.06240006</v>
      </c>
      <c r="BF249" s="30">
        <f t="shared" si="1379"/>
        <v>0.36719999999999997</v>
      </c>
      <c r="BG249" s="27"/>
      <c r="BH249" s="27"/>
      <c r="BI249" s="27"/>
      <c r="CA249" s="20">
        <f t="shared" si="1380"/>
        <v>235</v>
      </c>
      <c r="CB249" s="20">
        <f t="shared" si="1381"/>
        <v>23500</v>
      </c>
    </row>
    <row r="250" spans="1:80" x14ac:dyDescent="0.15">
      <c r="A250">
        <v>2804</v>
      </c>
      <c r="B250" s="3" t="s">
        <v>119</v>
      </c>
      <c r="C250" s="4" t="s">
        <v>109</v>
      </c>
      <c r="D250" s="6" t="s">
        <v>120</v>
      </c>
      <c r="E250" s="5">
        <v>3</v>
      </c>
      <c r="F250" s="7" t="s">
        <v>145</v>
      </c>
      <c r="G250" s="5">
        <v>3</v>
      </c>
      <c r="H250" s="7" t="s">
        <v>190</v>
      </c>
      <c r="I250" s="5">
        <v>0</v>
      </c>
      <c r="J250" s="5">
        <v>0</v>
      </c>
      <c r="K250">
        <v>2</v>
      </c>
      <c r="L250">
        <v>1.5</v>
      </c>
      <c r="M250" s="5">
        <v>1.5</v>
      </c>
      <c r="N250" s="5">
        <v>10</v>
      </c>
      <c r="O250" s="5">
        <f t="shared" si="1361"/>
        <v>34650</v>
      </c>
      <c r="P250" s="5">
        <f t="shared" si="1362"/>
        <v>190080000</v>
      </c>
      <c r="Q250" s="5">
        <f t="shared" si="1363"/>
        <v>3168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70041</v>
      </c>
      <c r="X250" s="6" t="s">
        <v>182</v>
      </c>
      <c r="Y250" s="5">
        <v>300</v>
      </c>
      <c r="Z250" s="5">
        <v>1</v>
      </c>
      <c r="AA250" s="5">
        <v>23969151</v>
      </c>
      <c r="AB250" s="16" t="s">
        <v>111</v>
      </c>
      <c r="AC250" s="7" t="s">
        <v>112</v>
      </c>
      <c r="AD250" s="7" t="s">
        <v>112</v>
      </c>
      <c r="AE250" s="7" t="s">
        <v>112</v>
      </c>
      <c r="AF250" s="6" t="s">
        <v>113</v>
      </c>
      <c r="AG250" s="26" t="str">
        <f t="shared" ref="AG250" si="1750">CM$7</f>
        <v>4,14,28,14,6,4,14,28,14,6</v>
      </c>
      <c r="AH250" s="26" t="str">
        <f t="shared" ref="AH250" si="1751">CN$7</f>
        <v>0,0,0,0,1,0,0,0,0,1</v>
      </c>
      <c r="AI250" s="26" t="str">
        <f t="shared" ref="AI250" si="1752">CO$7</f>
        <v>0,0,0,0,1,0,0,0,0,1</v>
      </c>
      <c r="AJ250" s="26" t="str">
        <f t="shared" ref="AJ250" si="1753">CP$7</f>
        <v>0,0,0,0,5,0,0,0,0,5</v>
      </c>
      <c r="AK250" s="26" t="str">
        <f t="shared" ref="AK250" si="1754">CQ$7</f>
        <v>100,1,1000,2,5,200,1,1000,2,5</v>
      </c>
      <c r="AL250" s="26" t="str">
        <f t="shared" ref="AL250" si="1755">CR$7</f>
        <v>5,5,5,5,5,5,5,5,5,5</v>
      </c>
      <c r="AM250" s="7">
        <v>2001</v>
      </c>
      <c r="AO250">
        <f t="shared" ref="AO250" si="1756">AQ250*100+4</f>
        <v>2804</v>
      </c>
      <c r="AP250">
        <v>246</v>
      </c>
      <c r="AQ250">
        <f t="shared" si="1371"/>
        <v>28</v>
      </c>
      <c r="AR250" s="17">
        <v>8</v>
      </c>
      <c r="AS250" s="17">
        <f t="shared" si="1452"/>
        <v>190</v>
      </c>
      <c r="AT250" s="17">
        <v>7</v>
      </c>
      <c r="AU250">
        <f t="shared" si="1372"/>
        <v>24</v>
      </c>
      <c r="AV250">
        <v>150</v>
      </c>
      <c r="AW250">
        <f t="shared" si="1373"/>
        <v>34650.316800000001</v>
      </c>
      <c r="AX250">
        <f t="shared" si="1502"/>
        <v>190080000.00000003</v>
      </c>
      <c r="AY250">
        <f t="shared" si="1374"/>
        <v>3168.0000000000005</v>
      </c>
      <c r="AZ250">
        <f t="shared" si="1375"/>
        <v>6336.0000000000009</v>
      </c>
      <c r="BA250">
        <f t="shared" si="1376"/>
        <v>42240</v>
      </c>
      <c r="BB250">
        <f t="shared" si="1377"/>
        <v>1584.0000000000002</v>
      </c>
      <c r="BC250">
        <f t="shared" si="1503"/>
        <v>190080000.00000003</v>
      </c>
      <c r="BD250">
        <f t="shared" si="1378"/>
        <v>0.29411764705882348</v>
      </c>
      <c r="BE250" s="27">
        <f t="shared" si="1504"/>
        <v>107487959.04000005</v>
      </c>
      <c r="BF250" s="30">
        <f t="shared" si="1379"/>
        <v>0.36719999999999997</v>
      </c>
      <c r="BG250" s="27"/>
      <c r="BH250" s="27"/>
      <c r="BI250" s="27"/>
      <c r="CA250" s="20">
        <f t="shared" si="1380"/>
        <v>235</v>
      </c>
      <c r="CB250" s="20">
        <f t="shared" si="1381"/>
        <v>23500</v>
      </c>
    </row>
    <row r="251" spans="1:80" x14ac:dyDescent="0.15">
      <c r="A251">
        <v>2805</v>
      </c>
      <c r="B251" s="3" t="s">
        <v>122</v>
      </c>
      <c r="C251" s="4" t="s">
        <v>109</v>
      </c>
      <c r="D251" s="4" t="s">
        <v>110</v>
      </c>
      <c r="E251" s="5">
        <v>2</v>
      </c>
      <c r="F251" s="7" t="s">
        <v>146</v>
      </c>
      <c r="G251" s="5">
        <v>3</v>
      </c>
      <c r="H251" s="7" t="s">
        <v>191</v>
      </c>
      <c r="I251" s="5">
        <v>0</v>
      </c>
      <c r="J251" s="7" t="s">
        <v>148</v>
      </c>
      <c r="K251">
        <v>6</v>
      </c>
      <c r="L251">
        <v>1.5</v>
      </c>
      <c r="M251" s="5">
        <v>1.5</v>
      </c>
      <c r="N251" s="5">
        <v>10</v>
      </c>
      <c r="O251" s="5">
        <f t="shared" si="1361"/>
        <v>35516</v>
      </c>
      <c r="P251" s="5">
        <f t="shared" si="1362"/>
        <v>194832000</v>
      </c>
      <c r="Q251" s="5">
        <f t="shared" si="1363"/>
        <v>3247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70051</v>
      </c>
      <c r="X251" s="6" t="s">
        <v>183</v>
      </c>
      <c r="Y251" s="5">
        <v>300</v>
      </c>
      <c r="Z251" s="5">
        <v>1</v>
      </c>
      <c r="AA251" s="5">
        <v>25399836</v>
      </c>
      <c r="AB251" s="16" t="s">
        <v>111</v>
      </c>
      <c r="AC251" s="7" t="s">
        <v>112</v>
      </c>
      <c r="AD251" s="7" t="s">
        <v>112</v>
      </c>
      <c r="AE251" s="7" t="s">
        <v>112</v>
      </c>
      <c r="AF251" s="6" t="s">
        <v>113</v>
      </c>
      <c r="AG251" s="26" t="str">
        <f t="shared" ref="AG251" si="1757">CM$8</f>
        <v>4,19,28,19,6,4,19,28,19,6</v>
      </c>
      <c r="AH251" s="26" t="str">
        <f t="shared" ref="AH251" si="1758">CN$8</f>
        <v>0,0,0,0,1,0,0,0,0,1</v>
      </c>
      <c r="AI251" s="26" t="str">
        <f t="shared" ref="AI251" si="1759">CO$8</f>
        <v>0,0,0,0,1,0,0,0,0,1</v>
      </c>
      <c r="AJ251" s="26" t="str">
        <f t="shared" ref="AJ251" si="1760">CP$8</f>
        <v>0,0,0,0,5,0,0,0,0,5</v>
      </c>
      <c r="AK251" s="26" t="str">
        <f t="shared" ref="AK251" si="1761">CQ$8</f>
        <v>200,100,1000,200,5,200,100,1000,200,5</v>
      </c>
      <c r="AL251" s="26" t="str">
        <f t="shared" ref="AL251" si="1762">CR$8</f>
        <v>5,5,5,5,5,5,5,5,5,5</v>
      </c>
      <c r="AM251" s="7">
        <v>2001</v>
      </c>
      <c r="AO251">
        <f t="shared" ref="AO251" si="1763">AQ251*100+5</f>
        <v>2805</v>
      </c>
      <c r="AP251">
        <v>247</v>
      </c>
      <c r="AQ251">
        <f t="shared" si="1371"/>
        <v>28</v>
      </c>
      <c r="AR251" s="17">
        <v>8</v>
      </c>
      <c r="AS251" s="17">
        <f t="shared" si="1452"/>
        <v>195</v>
      </c>
      <c r="AT251" s="17">
        <v>7</v>
      </c>
      <c r="AU251">
        <f t="shared" si="1372"/>
        <v>24</v>
      </c>
      <c r="AV251">
        <v>150</v>
      </c>
      <c r="AW251">
        <f t="shared" si="1373"/>
        <v>35516.574719999997</v>
      </c>
      <c r="AX251">
        <f t="shared" si="1502"/>
        <v>194832000.00000003</v>
      </c>
      <c r="AY251">
        <f t="shared" si="1374"/>
        <v>3247.2000000000003</v>
      </c>
      <c r="AZ251">
        <f t="shared" si="1375"/>
        <v>6494.4000000000005</v>
      </c>
      <c r="BA251">
        <f t="shared" si="1376"/>
        <v>43296</v>
      </c>
      <c r="BB251">
        <f t="shared" si="1377"/>
        <v>1623.6000000000001</v>
      </c>
      <c r="BC251">
        <f t="shared" si="1503"/>
        <v>194832000.00000003</v>
      </c>
      <c r="BD251">
        <f t="shared" si="1378"/>
        <v>0.29411764705882354</v>
      </c>
      <c r="BE251" s="27">
        <f t="shared" si="1504"/>
        <v>112929536.96640004</v>
      </c>
      <c r="BF251" s="30">
        <f t="shared" si="1379"/>
        <v>0.36719999999999997</v>
      </c>
      <c r="BG251" s="27"/>
      <c r="BH251" s="27"/>
      <c r="BI251" s="27"/>
      <c r="CA251" s="20">
        <f t="shared" si="1380"/>
        <v>235</v>
      </c>
      <c r="CB251" s="20">
        <f t="shared" si="1381"/>
        <v>23500</v>
      </c>
    </row>
    <row r="252" spans="1:80" x14ac:dyDescent="0.15">
      <c r="A252">
        <v>2806</v>
      </c>
      <c r="B252" s="3" t="s">
        <v>124</v>
      </c>
      <c r="C252" s="4" t="s">
        <v>109</v>
      </c>
      <c r="D252" s="6" t="s">
        <v>120</v>
      </c>
      <c r="E252" s="5">
        <v>1</v>
      </c>
      <c r="F252" s="7" t="s">
        <v>147</v>
      </c>
      <c r="G252" s="5">
        <v>3</v>
      </c>
      <c r="H252" s="7" t="s">
        <v>192</v>
      </c>
      <c r="I252" s="5">
        <v>0</v>
      </c>
      <c r="J252" s="7" t="s">
        <v>149</v>
      </c>
      <c r="K252">
        <v>6</v>
      </c>
      <c r="L252">
        <v>1.5</v>
      </c>
      <c r="M252" s="5">
        <v>1.5</v>
      </c>
      <c r="N252" s="5">
        <v>10</v>
      </c>
      <c r="O252" s="5">
        <f t="shared" si="1361"/>
        <v>36382</v>
      </c>
      <c r="P252" s="5">
        <f t="shared" si="1362"/>
        <v>199584000</v>
      </c>
      <c r="Q252" s="5">
        <f t="shared" si="1363"/>
        <v>3326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70061</v>
      </c>
      <c r="X252" s="6" t="s">
        <v>184</v>
      </c>
      <c r="Y252" s="5">
        <v>300</v>
      </c>
      <c r="Z252" s="5">
        <v>1</v>
      </c>
      <c r="AA252" s="5">
        <v>26871990</v>
      </c>
      <c r="AB252" s="16" t="s">
        <v>111</v>
      </c>
      <c r="AC252" s="7" t="s">
        <v>112</v>
      </c>
      <c r="AD252" s="7" t="s">
        <v>112</v>
      </c>
      <c r="AE252" s="7" t="s">
        <v>112</v>
      </c>
      <c r="AF252" s="6" t="s">
        <v>113</v>
      </c>
      <c r="AG252" s="26" t="str">
        <f t="shared" ref="AG252" si="1764">CM$9</f>
        <v>4,33,28,33,6,4,33,28,33,6</v>
      </c>
      <c r="AH252" s="26" t="str">
        <f t="shared" ref="AH252" si="1765">CN$9</f>
        <v>0,6,0,6,1,0,6,0,6,1</v>
      </c>
      <c r="AI252" s="26" t="str">
        <f t="shared" ref="AI252" si="1766">CO$9</f>
        <v>0,0,0,0,1,0,0,0,0,1</v>
      </c>
      <c r="AJ252" s="26" t="str">
        <f t="shared" ref="AJ252" si="1767">CP$9</f>
        <v>0,0,0,0,5,0,0,0,0,5</v>
      </c>
      <c r="AK252" s="26" t="str">
        <f t="shared" ref="AK252" si="1768">CQ$9</f>
        <v>200,1,1000,2,5,200,1,1000,2,5</v>
      </c>
      <c r="AL252" s="26" t="str">
        <f t="shared" ref="AL252" si="1769">CR$9</f>
        <v>5,5,5,5,5,5,5,5,5,5</v>
      </c>
      <c r="AM252" s="7">
        <v>2001</v>
      </c>
      <c r="AO252">
        <f t="shared" ref="AO252" si="1770">AQ252*100+6</f>
        <v>2806</v>
      </c>
      <c r="AP252">
        <v>248</v>
      </c>
      <c r="AQ252">
        <f t="shared" si="1371"/>
        <v>28</v>
      </c>
      <c r="AR252" s="17">
        <v>8</v>
      </c>
      <c r="AS252" s="17">
        <f t="shared" si="1452"/>
        <v>200</v>
      </c>
      <c r="AT252" s="17">
        <v>7</v>
      </c>
      <c r="AU252">
        <f t="shared" si="1372"/>
        <v>24</v>
      </c>
      <c r="AV252">
        <v>150</v>
      </c>
      <c r="AW252">
        <f t="shared" si="1373"/>
        <v>36382.832640000001</v>
      </c>
      <c r="AX252">
        <f t="shared" si="1502"/>
        <v>199584000.00000003</v>
      </c>
      <c r="AY252">
        <f t="shared" si="1374"/>
        <v>3326.4000000000005</v>
      </c>
      <c r="AZ252">
        <f t="shared" si="1375"/>
        <v>6652.8000000000011</v>
      </c>
      <c r="BA252">
        <f t="shared" si="1376"/>
        <v>44352</v>
      </c>
      <c r="BB252">
        <f t="shared" si="1377"/>
        <v>1663.2000000000003</v>
      </c>
      <c r="BC252">
        <f t="shared" si="1503"/>
        <v>199584000.00000003</v>
      </c>
      <c r="BD252">
        <f t="shared" si="1378"/>
        <v>0.29411764705882359</v>
      </c>
      <c r="BE252" s="27">
        <f t="shared" si="1504"/>
        <v>118505474.84160005</v>
      </c>
      <c r="BF252" s="30">
        <f t="shared" si="1379"/>
        <v>0.36719999999999997</v>
      </c>
      <c r="BG252" s="27"/>
      <c r="BH252" s="27"/>
      <c r="BI252" s="27"/>
      <c r="CA252" s="20">
        <f t="shared" si="1380"/>
        <v>235</v>
      </c>
      <c r="CB252" s="20">
        <f t="shared" si="1381"/>
        <v>23500</v>
      </c>
    </row>
    <row r="253" spans="1:80" x14ac:dyDescent="0.15">
      <c r="A253">
        <v>2807</v>
      </c>
      <c r="B253" s="3" t="s">
        <v>126</v>
      </c>
      <c r="C253" s="4" t="s">
        <v>109</v>
      </c>
      <c r="D253" s="4" t="s">
        <v>110</v>
      </c>
      <c r="E253" s="5">
        <v>2</v>
      </c>
      <c r="F253" s="7" t="s">
        <v>143</v>
      </c>
      <c r="G253" s="5">
        <v>3</v>
      </c>
      <c r="H253" s="7" t="s">
        <v>193</v>
      </c>
      <c r="I253" s="5">
        <v>0</v>
      </c>
      <c r="J253" s="5">
        <v>0</v>
      </c>
      <c r="K253">
        <v>2</v>
      </c>
      <c r="L253">
        <v>1.5</v>
      </c>
      <c r="M253" s="5">
        <v>1.5</v>
      </c>
      <c r="N253" s="5">
        <v>10</v>
      </c>
      <c r="O253" s="5">
        <f t="shared" si="1361"/>
        <v>37249</v>
      </c>
      <c r="P253" s="5">
        <f t="shared" si="1362"/>
        <v>204336000</v>
      </c>
      <c r="Q253" s="5">
        <f t="shared" si="1363"/>
        <v>3405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70071</v>
      </c>
      <c r="X253" s="6" t="s">
        <v>185</v>
      </c>
      <c r="Y253" s="5">
        <v>300</v>
      </c>
      <c r="Z253" s="5">
        <v>1</v>
      </c>
      <c r="AA253" s="5">
        <v>28385613</v>
      </c>
      <c r="AB253" s="16" t="s">
        <v>111</v>
      </c>
      <c r="AC253" s="7" t="s">
        <v>112</v>
      </c>
      <c r="AD253" s="7" t="s">
        <v>112</v>
      </c>
      <c r="AE253" s="7" t="s">
        <v>112</v>
      </c>
      <c r="AF253" s="6" t="s">
        <v>113</v>
      </c>
      <c r="AG253" s="26" t="str">
        <f t="shared" ref="AG253" si="1771">CM$10</f>
        <v>4,14,28,14,6,4,14,28,14,6</v>
      </c>
      <c r="AH253" s="26" t="str">
        <f t="shared" ref="AH253" si="1772">CN$10</f>
        <v>0,0,0,0,1,0,0,0,0,1</v>
      </c>
      <c r="AI253" s="26" t="str">
        <f t="shared" ref="AI253" si="1773">CO$10</f>
        <v>0,0,0,0,1,0,0,0,0,1</v>
      </c>
      <c r="AJ253" s="26" t="str">
        <f t="shared" ref="AJ253" si="1774">CP$10</f>
        <v>0,0,0,0,5,0,0,0,0,5</v>
      </c>
      <c r="AK253" s="26" t="str">
        <f t="shared" ref="AK253" si="1775">CQ$10</f>
        <v>200,1,1000,2,5,200,1,1000,2,5</v>
      </c>
      <c r="AL253" s="26" t="str">
        <f t="shared" ref="AL253" si="1776">CR$10</f>
        <v>5,5,5,5,5,5,5,5,5,5</v>
      </c>
      <c r="AM253" s="7">
        <v>2001</v>
      </c>
      <c r="AO253">
        <f t="shared" ref="AO253" si="1777">AQ253*100+7</f>
        <v>2807</v>
      </c>
      <c r="AP253">
        <v>249</v>
      </c>
      <c r="AQ253">
        <f t="shared" si="1371"/>
        <v>28</v>
      </c>
      <c r="AR253" s="17">
        <v>8</v>
      </c>
      <c r="AS253" s="17">
        <f t="shared" si="1452"/>
        <v>205</v>
      </c>
      <c r="AT253" s="17">
        <v>7</v>
      </c>
      <c r="AU253">
        <f t="shared" si="1372"/>
        <v>24</v>
      </c>
      <c r="AV253">
        <v>150</v>
      </c>
      <c r="AW253">
        <f t="shared" si="1373"/>
        <v>37249.090559999997</v>
      </c>
      <c r="AX253">
        <f t="shared" si="1502"/>
        <v>204336000.00000003</v>
      </c>
      <c r="AY253">
        <f t="shared" si="1374"/>
        <v>3405.6000000000004</v>
      </c>
      <c r="AZ253">
        <f t="shared" si="1375"/>
        <v>6811.2000000000007</v>
      </c>
      <c r="BA253">
        <f t="shared" si="1376"/>
        <v>45408</v>
      </c>
      <c r="BB253">
        <f t="shared" si="1377"/>
        <v>1702.8000000000002</v>
      </c>
      <c r="BC253">
        <f t="shared" si="1503"/>
        <v>204336000.00000003</v>
      </c>
      <c r="BD253">
        <f t="shared" si="1378"/>
        <v>0.29411764705882348</v>
      </c>
      <c r="BE253" s="27">
        <f t="shared" si="1504"/>
        <v>124215772.66560005</v>
      </c>
      <c r="BF253" s="30">
        <f t="shared" si="1379"/>
        <v>0.36719999999999997</v>
      </c>
      <c r="BG253" s="27"/>
      <c r="BH253" s="27"/>
      <c r="BI253" s="27"/>
      <c r="CA253" s="20">
        <f t="shared" si="1380"/>
        <v>235</v>
      </c>
      <c r="CB253" s="20">
        <f t="shared" si="1381"/>
        <v>23500</v>
      </c>
    </row>
    <row r="254" spans="1:80" x14ac:dyDescent="0.15">
      <c r="A254">
        <v>2808</v>
      </c>
      <c r="B254" s="3" t="s">
        <v>128</v>
      </c>
      <c r="C254" s="4" t="s">
        <v>109</v>
      </c>
      <c r="D254" s="4" t="s">
        <v>110</v>
      </c>
      <c r="E254" s="5">
        <v>5</v>
      </c>
      <c r="F254" s="7" t="s">
        <v>129</v>
      </c>
      <c r="G254" s="5">
        <v>2</v>
      </c>
      <c r="H254" s="7" t="s">
        <v>130</v>
      </c>
      <c r="I254" s="5">
        <v>0</v>
      </c>
      <c r="J254" s="5">
        <v>0</v>
      </c>
      <c r="K254">
        <v>2</v>
      </c>
      <c r="L254">
        <v>1.5</v>
      </c>
      <c r="M254" s="5">
        <v>1.5</v>
      </c>
      <c r="N254" s="5">
        <v>10</v>
      </c>
      <c r="O254" s="5">
        <f t="shared" si="1361"/>
        <v>38115</v>
      </c>
      <c r="P254" s="5">
        <f t="shared" si="1362"/>
        <v>209088000</v>
      </c>
      <c r="Q254" s="5">
        <f t="shared" si="1363"/>
        <v>3484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70081</v>
      </c>
      <c r="X254" s="6" t="s">
        <v>186</v>
      </c>
      <c r="Y254" s="5">
        <v>300</v>
      </c>
      <c r="Z254" s="5">
        <v>1</v>
      </c>
      <c r="AA254" s="5">
        <v>29940705</v>
      </c>
      <c r="AB254" s="16" t="s">
        <v>111</v>
      </c>
      <c r="AC254" s="7" t="s">
        <v>112</v>
      </c>
      <c r="AD254" s="7" t="s">
        <v>112</v>
      </c>
      <c r="AE254" s="7" t="s">
        <v>112</v>
      </c>
      <c r="AF254" s="6" t="s">
        <v>113</v>
      </c>
      <c r="AG254" s="26" t="str">
        <f t="shared" ref="AG254" si="1778">CM$11</f>
        <v>4,28,6,28,6,4,28,6,28,6</v>
      </c>
      <c r="AH254" s="26" t="str">
        <f t="shared" ref="AH254" si="1779">CN$11</f>
        <v>0,0,1,0,1,0,0,1,0,1</v>
      </c>
      <c r="AI254" s="26" t="str">
        <f t="shared" ref="AI254" si="1780">CO$11</f>
        <v>0,0,1,0,1,0,0,1,0,1</v>
      </c>
      <c r="AJ254" s="26" t="str">
        <f t="shared" ref="AJ254" si="1781">CP$11</f>
        <v>0,0,5,0,5,0,0,5,0,5</v>
      </c>
      <c r="AK254" s="26" t="str">
        <f t="shared" ref="AK254" si="1782">CQ$11</f>
        <v>100,1000,5,1500,5,200,1000,5,1500,5</v>
      </c>
      <c r="AL254" s="26" t="str">
        <f t="shared" ref="AL254" si="1783">CR$11</f>
        <v>5,5,5,5,5,5,5,5,5,5</v>
      </c>
      <c r="AM254" s="7">
        <v>2001</v>
      </c>
      <c r="AO254">
        <f t="shared" ref="AO254" si="1784">AQ254*100+8</f>
        <v>2808</v>
      </c>
      <c r="AP254">
        <v>250</v>
      </c>
      <c r="AQ254">
        <f t="shared" si="1371"/>
        <v>28</v>
      </c>
      <c r="AR254" s="17">
        <v>8</v>
      </c>
      <c r="AS254" s="17">
        <f t="shared" si="1452"/>
        <v>210</v>
      </c>
      <c r="AT254" s="17">
        <v>7</v>
      </c>
      <c r="AU254">
        <f t="shared" si="1372"/>
        <v>24</v>
      </c>
      <c r="AV254">
        <v>150</v>
      </c>
      <c r="AW254">
        <f t="shared" si="1373"/>
        <v>38115.348479999993</v>
      </c>
      <c r="AX254">
        <f t="shared" si="1502"/>
        <v>209088000.00000003</v>
      </c>
      <c r="AY254">
        <f t="shared" si="1374"/>
        <v>3484.8000000000006</v>
      </c>
      <c r="AZ254">
        <f t="shared" si="1375"/>
        <v>6969.6000000000013</v>
      </c>
      <c r="BA254">
        <f t="shared" si="1376"/>
        <v>46464</v>
      </c>
      <c r="BB254">
        <f t="shared" si="1377"/>
        <v>1742.4000000000003</v>
      </c>
      <c r="BC254">
        <f t="shared" si="1503"/>
        <v>209088000.00000003</v>
      </c>
      <c r="BD254">
        <f t="shared" si="1378"/>
        <v>0.29411764705882354</v>
      </c>
      <c r="BE254" s="27">
        <f t="shared" si="1504"/>
        <v>130060430.43840007</v>
      </c>
      <c r="BF254" s="30">
        <f t="shared" si="1379"/>
        <v>0.36719999999999997</v>
      </c>
      <c r="BG254" s="27"/>
      <c r="BH254" s="27"/>
      <c r="BI254" s="27"/>
      <c r="CA254" s="20">
        <f t="shared" si="1380"/>
        <v>235</v>
      </c>
      <c r="CB254" s="20">
        <f t="shared" si="1381"/>
        <v>23500</v>
      </c>
    </row>
    <row r="255" spans="1:80" x14ac:dyDescent="0.15">
      <c r="A255">
        <v>2809</v>
      </c>
      <c r="B255" s="3" t="s">
        <v>132</v>
      </c>
      <c r="C255" s="4" t="s">
        <v>109</v>
      </c>
      <c r="D255" s="4" t="s">
        <v>110</v>
      </c>
      <c r="E255" s="5">
        <v>5</v>
      </c>
      <c r="F255" s="7" t="s">
        <v>140</v>
      </c>
      <c r="G255" s="5">
        <v>3</v>
      </c>
      <c r="H255" s="7" t="s">
        <v>140</v>
      </c>
      <c r="I255" s="5">
        <v>0</v>
      </c>
      <c r="J255" s="7">
        <v>0</v>
      </c>
      <c r="K255">
        <v>6</v>
      </c>
      <c r="L255">
        <v>1.5</v>
      </c>
      <c r="M255" s="5">
        <v>1.5</v>
      </c>
      <c r="N255" s="5">
        <v>10</v>
      </c>
      <c r="O255" s="5">
        <f t="shared" si="1361"/>
        <v>38981</v>
      </c>
      <c r="P255" s="5">
        <f t="shared" si="1362"/>
        <v>213840000</v>
      </c>
      <c r="Q255" s="5">
        <f t="shared" si="1363"/>
        <v>3564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70091</v>
      </c>
      <c r="X255" s="6" t="s">
        <v>187</v>
      </c>
      <c r="Y255" s="5">
        <v>300</v>
      </c>
      <c r="Z255" s="5">
        <v>1</v>
      </c>
      <c r="AA255" s="5">
        <v>31537266</v>
      </c>
      <c r="AB255" s="16" t="s">
        <v>111</v>
      </c>
      <c r="AC255" s="7" t="s">
        <v>112</v>
      </c>
      <c r="AD255" s="7" t="s">
        <v>112</v>
      </c>
      <c r="AE255" s="7" t="s">
        <v>112</v>
      </c>
      <c r="AF255" s="6" t="s">
        <v>113</v>
      </c>
      <c r="AG255" s="26" t="str">
        <f t="shared" ref="AG255" si="1785">CM$12</f>
        <v>4,33,28,33,6,4,33,28,33,6</v>
      </c>
      <c r="AH255" s="26" t="str">
        <f t="shared" ref="AH255" si="1786">CN$12</f>
        <v>0,5,0,5,1,0,5,0,5,1</v>
      </c>
      <c r="AI255" s="26" t="str">
        <f t="shared" ref="AI255" si="1787">CO$12</f>
        <v>0,0,0,0,1,0,0,0,0,1</v>
      </c>
      <c r="AJ255" s="26" t="str">
        <f t="shared" ref="AJ255" si="1788">CP$12</f>
        <v>0,0,0,0,5,0,0,0,0,5</v>
      </c>
      <c r="AK255" s="26" t="str">
        <f t="shared" ref="AK255" si="1789">CQ$12</f>
        <v>100,1,1000,2,5,200,1,1000,2,5</v>
      </c>
      <c r="AL255" s="26" t="str">
        <f t="shared" ref="AL255" si="1790">CR$12</f>
        <v>5,5,5,5,5,5,5,5,5,5</v>
      </c>
      <c r="AM255" s="7">
        <v>2001</v>
      </c>
      <c r="AO255">
        <f t="shared" ref="AO255" si="1791">AQ255*100+9</f>
        <v>2809</v>
      </c>
      <c r="AP255">
        <v>251</v>
      </c>
      <c r="AQ255">
        <f t="shared" si="1371"/>
        <v>28</v>
      </c>
      <c r="AR255" s="17">
        <v>8</v>
      </c>
      <c r="AS255" s="17">
        <f t="shared" si="1452"/>
        <v>215</v>
      </c>
      <c r="AT255" s="17">
        <v>7</v>
      </c>
      <c r="AU255">
        <f t="shared" si="1372"/>
        <v>24</v>
      </c>
      <c r="AV255">
        <v>150</v>
      </c>
      <c r="AW255">
        <f t="shared" si="1373"/>
        <v>38981.606400000004</v>
      </c>
      <c r="AX255">
        <f t="shared" si="1502"/>
        <v>213840000.00000003</v>
      </c>
      <c r="AY255">
        <f t="shared" si="1374"/>
        <v>3564.0000000000005</v>
      </c>
      <c r="AZ255">
        <f t="shared" si="1375"/>
        <v>7128.0000000000009</v>
      </c>
      <c r="BA255">
        <f t="shared" si="1376"/>
        <v>47520.000000000007</v>
      </c>
      <c r="BB255">
        <f t="shared" si="1377"/>
        <v>1782.0000000000002</v>
      </c>
      <c r="BC255">
        <f t="shared" si="1503"/>
        <v>213840000.00000003</v>
      </c>
      <c r="BD255">
        <f t="shared" si="1378"/>
        <v>0.29411764705882354</v>
      </c>
      <c r="BE255" s="27">
        <f t="shared" si="1504"/>
        <v>136039448.16000006</v>
      </c>
      <c r="BF255" s="30">
        <f t="shared" si="1379"/>
        <v>0.36719999999999997</v>
      </c>
      <c r="BG255" s="27"/>
      <c r="BH255" s="27"/>
      <c r="BI255" s="27"/>
      <c r="CA255" s="20">
        <f t="shared" si="1380"/>
        <v>235</v>
      </c>
      <c r="CB255" s="20">
        <f t="shared" si="1381"/>
        <v>23500</v>
      </c>
    </row>
    <row r="256" spans="1:80" x14ac:dyDescent="0.15">
      <c r="A256">
        <v>2901</v>
      </c>
      <c r="B256" s="3" t="s">
        <v>108</v>
      </c>
      <c r="C256" s="4" t="s">
        <v>109</v>
      </c>
      <c r="D256" s="4" t="s">
        <v>110</v>
      </c>
      <c r="E256" s="5">
        <v>3</v>
      </c>
      <c r="F256" s="7" t="s">
        <v>141</v>
      </c>
      <c r="G256" s="5">
        <v>2.5</v>
      </c>
      <c r="H256" s="7" t="s">
        <v>194</v>
      </c>
      <c r="I256" s="5">
        <v>0</v>
      </c>
      <c r="J256" s="5">
        <v>0</v>
      </c>
      <c r="K256">
        <v>2</v>
      </c>
      <c r="L256">
        <v>1.5</v>
      </c>
      <c r="M256" s="5">
        <v>1.5</v>
      </c>
      <c r="N256" s="5">
        <v>10</v>
      </c>
      <c r="O256" s="5">
        <f t="shared" si="1361"/>
        <v>32975</v>
      </c>
      <c r="P256" s="5">
        <f t="shared" si="1362"/>
        <v>180576000</v>
      </c>
      <c r="Q256" s="5">
        <f t="shared" si="1363"/>
        <v>3009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70011</v>
      </c>
      <c r="X256" s="6" t="s">
        <v>179</v>
      </c>
      <c r="Y256" s="5">
        <v>300</v>
      </c>
      <c r="Z256" s="5">
        <v>1</v>
      </c>
      <c r="AA256" s="5">
        <v>33175296</v>
      </c>
      <c r="AB256" s="16" t="s">
        <v>111</v>
      </c>
      <c r="AC256" s="7" t="s">
        <v>112</v>
      </c>
      <c r="AD256" s="7" t="s">
        <v>112</v>
      </c>
      <c r="AE256" s="7" t="s">
        <v>112</v>
      </c>
      <c r="AF256" s="6" t="s">
        <v>113</v>
      </c>
      <c r="AG256" s="26" t="str">
        <f t="shared" ref="AG256" si="1792">CM$4</f>
        <v>4,33,28,33,6,4,33,28,33,6</v>
      </c>
      <c r="AH256" s="26" t="str">
        <f t="shared" ref="AH256" si="1793">CN$4</f>
        <v>0,8,0,8,1,0,8,0,8,1</v>
      </c>
      <c r="AI256" s="26" t="str">
        <f t="shared" ref="AI256" si="1794">CO$4</f>
        <v>0,0,0,0,1,0,0,0,0,1</v>
      </c>
      <c r="AJ256" s="26" t="str">
        <f t="shared" ref="AJ256" si="1795">CP$4</f>
        <v>0,0,0,0,5,0,0,0,0,5</v>
      </c>
      <c r="AK256" s="26" t="str">
        <f t="shared" ref="AK256" si="1796">CQ$4</f>
        <v>100,1,1000,2,5,200,1,1000,2,5</v>
      </c>
      <c r="AL256" s="26" t="str">
        <f t="shared" ref="AL256" si="1797">CR$4</f>
        <v>5,5,5,5,5,5,5,5,5,5</v>
      </c>
      <c r="AM256" s="7">
        <v>2001</v>
      </c>
      <c r="AO256">
        <f t="shared" ref="AO256" si="1798">AQ256*100+1</f>
        <v>2901</v>
      </c>
      <c r="AP256">
        <v>252</v>
      </c>
      <c r="AQ256">
        <f t="shared" si="1371"/>
        <v>29</v>
      </c>
      <c r="AR256" s="17">
        <v>8</v>
      </c>
      <c r="AS256" s="17">
        <f t="shared" si="1452"/>
        <v>180</v>
      </c>
      <c r="AT256" s="17">
        <v>7</v>
      </c>
      <c r="AU256">
        <f t="shared" si="1372"/>
        <v>24</v>
      </c>
      <c r="AV256">
        <v>150</v>
      </c>
      <c r="AW256">
        <f t="shared" si="1373"/>
        <v>32975.585279999999</v>
      </c>
      <c r="AX256">
        <f t="shared" si="1502"/>
        <v>180576000.00000003</v>
      </c>
      <c r="AY256">
        <f t="shared" si="1374"/>
        <v>3009.6000000000004</v>
      </c>
      <c r="AZ256">
        <f t="shared" si="1375"/>
        <v>6019.2000000000007</v>
      </c>
      <c r="BA256">
        <f t="shared" si="1376"/>
        <v>40128</v>
      </c>
      <c r="BB256">
        <f t="shared" si="1377"/>
        <v>1504.8000000000002</v>
      </c>
      <c r="BC256">
        <f t="shared" si="1503"/>
        <v>180576000.00000003</v>
      </c>
      <c r="BD256">
        <f t="shared" si="1378"/>
        <v>0.29411764705882354</v>
      </c>
      <c r="BE256" s="27">
        <f t="shared" si="1504"/>
        <v>97007883.033600032</v>
      </c>
      <c r="BF256" s="30">
        <f t="shared" si="1379"/>
        <v>0.36959999999999998</v>
      </c>
      <c r="BG256" s="27"/>
      <c r="BH256" s="27"/>
      <c r="BI256" s="27"/>
      <c r="CA256" s="20">
        <f t="shared" si="1380"/>
        <v>240</v>
      </c>
      <c r="CB256" s="20">
        <f t="shared" si="1381"/>
        <v>24000</v>
      </c>
    </row>
    <row r="257" spans="1:80" x14ac:dyDescent="0.15">
      <c r="A257">
        <v>2902</v>
      </c>
      <c r="B257" s="3" t="s">
        <v>115</v>
      </c>
      <c r="C257" s="4" t="s">
        <v>109</v>
      </c>
      <c r="D257" s="6" t="s">
        <v>110</v>
      </c>
      <c r="E257" s="5">
        <v>3</v>
      </c>
      <c r="F257" s="7" t="s">
        <v>142</v>
      </c>
      <c r="G257" s="5">
        <v>3</v>
      </c>
      <c r="H257" s="7" t="s">
        <v>188</v>
      </c>
      <c r="I257" s="5">
        <v>0</v>
      </c>
      <c r="J257" s="5">
        <v>0</v>
      </c>
      <c r="K257">
        <v>2</v>
      </c>
      <c r="L257">
        <v>1.5</v>
      </c>
      <c r="M257" s="5">
        <v>1.5</v>
      </c>
      <c r="N257" s="5">
        <v>10</v>
      </c>
      <c r="O257" s="5">
        <f t="shared" si="1361"/>
        <v>33843</v>
      </c>
      <c r="P257" s="5">
        <f t="shared" si="1362"/>
        <v>185328000</v>
      </c>
      <c r="Q257" s="5">
        <f t="shared" si="1363"/>
        <v>3088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70021</v>
      </c>
      <c r="X257" s="6" t="s">
        <v>180</v>
      </c>
      <c r="Y257" s="5">
        <v>300</v>
      </c>
      <c r="Z257" s="5">
        <v>1</v>
      </c>
      <c r="AA257" s="5">
        <v>22579936</v>
      </c>
      <c r="AB257" s="16" t="s">
        <v>111</v>
      </c>
      <c r="AC257" s="7" t="s">
        <v>112</v>
      </c>
      <c r="AD257" s="7" t="s">
        <v>112</v>
      </c>
      <c r="AE257" s="7" t="s">
        <v>112</v>
      </c>
      <c r="AF257" s="6" t="s">
        <v>113</v>
      </c>
      <c r="AG257" s="26" t="str">
        <f t="shared" ref="AG257" si="1799">CM$5</f>
        <v>4,33,28,33,6,4,33,28,33,6</v>
      </c>
      <c r="AH257" s="26" t="str">
        <f t="shared" ref="AH257" si="1800">CN$5</f>
        <v>0,7,0,7,1,0,7,0,7,1</v>
      </c>
      <c r="AI257" s="26" t="str">
        <f t="shared" ref="AI257" si="1801">CO$5</f>
        <v>0,0,0,0,1,0,0,0,0,1</v>
      </c>
      <c r="AJ257" s="26" t="str">
        <f t="shared" ref="AJ257" si="1802">CP$5</f>
        <v>0,0,0,0,5,0,0,0,0,5</v>
      </c>
      <c r="AK257" s="26" t="str">
        <f t="shared" ref="AK257" si="1803">CQ$5</f>
        <v>100,1,1000,2,5,200,1,1000,2,5</v>
      </c>
      <c r="AL257" s="26" t="str">
        <f t="shared" ref="AL257" si="1804">CR$5</f>
        <v>5,5,5,5,5,5,5,5,5,5</v>
      </c>
      <c r="AM257" s="7">
        <v>2001</v>
      </c>
      <c r="AO257">
        <f t="shared" ref="AO257" si="1805">AQ257*100+2</f>
        <v>2902</v>
      </c>
      <c r="AP257">
        <v>253</v>
      </c>
      <c r="AQ257">
        <f t="shared" si="1371"/>
        <v>29</v>
      </c>
      <c r="AR257" s="17">
        <v>8</v>
      </c>
      <c r="AS257" s="17">
        <f t="shared" si="1452"/>
        <v>185</v>
      </c>
      <c r="AT257" s="17">
        <v>7</v>
      </c>
      <c r="AU257">
        <f t="shared" si="1372"/>
        <v>24</v>
      </c>
      <c r="AV257">
        <v>150</v>
      </c>
      <c r="AW257">
        <f t="shared" si="1373"/>
        <v>33843.363839999998</v>
      </c>
      <c r="AX257">
        <f t="shared" si="1502"/>
        <v>185328000.00000003</v>
      </c>
      <c r="AY257">
        <f t="shared" si="1374"/>
        <v>3088.8000000000006</v>
      </c>
      <c r="AZ257">
        <f t="shared" si="1375"/>
        <v>6177.6000000000013</v>
      </c>
      <c r="BA257">
        <f t="shared" si="1376"/>
        <v>41184</v>
      </c>
      <c r="BB257">
        <f t="shared" si="1377"/>
        <v>1544.4000000000003</v>
      </c>
      <c r="BC257">
        <f t="shared" si="1503"/>
        <v>185328000.00000003</v>
      </c>
      <c r="BD257">
        <f t="shared" si="1378"/>
        <v>0.29411764705882354</v>
      </c>
      <c r="BE257" s="27">
        <f t="shared" si="1504"/>
        <v>102180741.06240006</v>
      </c>
      <c r="BF257" s="30">
        <f t="shared" si="1379"/>
        <v>0.36959999999999998</v>
      </c>
      <c r="BG257" s="27"/>
      <c r="BH257" s="27"/>
      <c r="BI257" s="27"/>
      <c r="CA257" s="20">
        <f t="shared" si="1380"/>
        <v>240</v>
      </c>
      <c r="CB257" s="20">
        <f t="shared" si="1381"/>
        <v>24000</v>
      </c>
    </row>
    <row r="258" spans="1:80" x14ac:dyDescent="0.15">
      <c r="A258">
        <v>2903</v>
      </c>
      <c r="B258" s="3" t="s">
        <v>117</v>
      </c>
      <c r="C258" s="4" t="s">
        <v>109</v>
      </c>
      <c r="D258" s="4" t="s">
        <v>110</v>
      </c>
      <c r="E258" s="5">
        <v>1</v>
      </c>
      <c r="F258" s="7" t="s">
        <v>144</v>
      </c>
      <c r="G258" s="5">
        <v>3</v>
      </c>
      <c r="H258" s="7" t="s">
        <v>189</v>
      </c>
      <c r="I258" s="5">
        <v>0</v>
      </c>
      <c r="J258" s="2">
        <v>0</v>
      </c>
      <c r="K258">
        <v>6</v>
      </c>
      <c r="L258">
        <v>1.5</v>
      </c>
      <c r="M258" s="5">
        <v>1.5</v>
      </c>
      <c r="N258" s="5">
        <v>10</v>
      </c>
      <c r="O258" s="5">
        <f t="shared" si="1361"/>
        <v>34711</v>
      </c>
      <c r="P258" s="5">
        <f t="shared" si="1362"/>
        <v>190080000</v>
      </c>
      <c r="Q258" s="5">
        <f t="shared" si="1363"/>
        <v>3168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70031</v>
      </c>
      <c r="X258" s="6" t="s">
        <v>181</v>
      </c>
      <c r="Y258" s="5">
        <v>300</v>
      </c>
      <c r="Z258" s="5">
        <v>1</v>
      </c>
      <c r="AA258" s="5">
        <v>23969151</v>
      </c>
      <c r="AB258" s="16" t="s">
        <v>111</v>
      </c>
      <c r="AC258" s="7" t="s">
        <v>112</v>
      </c>
      <c r="AD258" s="7" t="s">
        <v>112</v>
      </c>
      <c r="AE258" s="7" t="s">
        <v>112</v>
      </c>
      <c r="AF258" s="6" t="s">
        <v>113</v>
      </c>
      <c r="AG258" s="26" t="str">
        <f t="shared" ref="AG258" si="1806">CM$6</f>
        <v>4,28,6,28,6,4,28,6,28,6</v>
      </c>
      <c r="AH258" s="26" t="str">
        <f t="shared" ref="AH258" si="1807">CN$6</f>
        <v>0,0,1,0,1,0,0,1,0,1</v>
      </c>
      <c r="AI258" s="26" t="str">
        <f t="shared" ref="AI258" si="1808">CO$6</f>
        <v>0,0,0,0,1,0,0,0,0,1</v>
      </c>
      <c r="AJ258" s="26" t="str">
        <f t="shared" ref="AJ258" si="1809">CP$6</f>
        <v>0,0,5,0,5,0,0,5,0,5</v>
      </c>
      <c r="AK258" s="26" t="str">
        <f t="shared" ref="AK258" si="1810">CQ$6</f>
        <v>100,1000,5,1500,5,200,1000,5,1500,5</v>
      </c>
      <c r="AL258" s="26" t="str">
        <f t="shared" ref="AL258" si="1811">CR$6</f>
        <v>5,5,5,5,5,5,5,5,5,5</v>
      </c>
      <c r="AM258" s="7">
        <v>2001</v>
      </c>
      <c r="AO258">
        <f t="shared" ref="AO258" si="1812">AQ258*100+3</f>
        <v>2903</v>
      </c>
      <c r="AP258">
        <v>254</v>
      </c>
      <c r="AQ258">
        <f t="shared" si="1371"/>
        <v>29</v>
      </c>
      <c r="AR258" s="17">
        <v>8</v>
      </c>
      <c r="AS258" s="17">
        <f t="shared" si="1452"/>
        <v>190</v>
      </c>
      <c r="AT258" s="17">
        <v>7</v>
      </c>
      <c r="AU258">
        <f t="shared" si="1372"/>
        <v>24</v>
      </c>
      <c r="AV258">
        <v>150</v>
      </c>
      <c r="AW258">
        <f t="shared" si="1373"/>
        <v>34711.142399999997</v>
      </c>
      <c r="AX258">
        <f t="shared" si="1502"/>
        <v>190080000.00000003</v>
      </c>
      <c r="AY258">
        <f t="shared" si="1374"/>
        <v>3168.0000000000005</v>
      </c>
      <c r="AZ258">
        <f t="shared" si="1375"/>
        <v>6336.0000000000009</v>
      </c>
      <c r="BA258">
        <f t="shared" si="1376"/>
        <v>42240</v>
      </c>
      <c r="BB258">
        <f t="shared" si="1377"/>
        <v>1584.0000000000002</v>
      </c>
      <c r="BC258">
        <f t="shared" si="1503"/>
        <v>190080000.00000003</v>
      </c>
      <c r="BD258">
        <f t="shared" si="1378"/>
        <v>0.29411764705882348</v>
      </c>
      <c r="BE258" s="27">
        <f t="shared" si="1504"/>
        <v>107487959.04000005</v>
      </c>
      <c r="BF258" s="30">
        <f t="shared" si="1379"/>
        <v>0.36959999999999998</v>
      </c>
      <c r="BG258" s="27"/>
      <c r="BH258" s="27"/>
      <c r="BI258" s="27"/>
      <c r="CA258" s="20">
        <f t="shared" si="1380"/>
        <v>240</v>
      </c>
      <c r="CB258" s="20">
        <f t="shared" si="1381"/>
        <v>24000</v>
      </c>
    </row>
    <row r="259" spans="1:80" x14ac:dyDescent="0.15">
      <c r="A259">
        <v>2904</v>
      </c>
      <c r="B259" s="3" t="s">
        <v>119</v>
      </c>
      <c r="C259" s="4" t="s">
        <v>109</v>
      </c>
      <c r="D259" s="6" t="s">
        <v>120</v>
      </c>
      <c r="E259" s="5">
        <v>3</v>
      </c>
      <c r="F259" s="7" t="s">
        <v>145</v>
      </c>
      <c r="G259" s="5">
        <v>3</v>
      </c>
      <c r="H259" s="7" t="s">
        <v>190</v>
      </c>
      <c r="I259" s="5">
        <v>0</v>
      </c>
      <c r="J259" s="5">
        <v>0</v>
      </c>
      <c r="K259">
        <v>2</v>
      </c>
      <c r="L259">
        <v>1.5</v>
      </c>
      <c r="M259" s="5">
        <v>1.5</v>
      </c>
      <c r="N259" s="5">
        <v>10</v>
      </c>
      <c r="O259" s="5">
        <f t="shared" si="1361"/>
        <v>35578</v>
      </c>
      <c r="P259" s="5">
        <f t="shared" si="1362"/>
        <v>194832000</v>
      </c>
      <c r="Q259" s="5">
        <f t="shared" si="1363"/>
        <v>3247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70041</v>
      </c>
      <c r="X259" s="6" t="s">
        <v>182</v>
      </c>
      <c r="Y259" s="5">
        <v>300</v>
      </c>
      <c r="Z259" s="5">
        <v>1</v>
      </c>
      <c r="AA259" s="5">
        <v>25399836</v>
      </c>
      <c r="AB259" s="16" t="s">
        <v>111</v>
      </c>
      <c r="AC259" s="7" t="s">
        <v>112</v>
      </c>
      <c r="AD259" s="7" t="s">
        <v>112</v>
      </c>
      <c r="AE259" s="7" t="s">
        <v>112</v>
      </c>
      <c r="AF259" s="6" t="s">
        <v>113</v>
      </c>
      <c r="AG259" s="26" t="str">
        <f t="shared" ref="AG259" si="1813">CM$7</f>
        <v>4,14,28,14,6,4,14,28,14,6</v>
      </c>
      <c r="AH259" s="26" t="str">
        <f t="shared" ref="AH259" si="1814">CN$7</f>
        <v>0,0,0,0,1,0,0,0,0,1</v>
      </c>
      <c r="AI259" s="26" t="str">
        <f t="shared" ref="AI259" si="1815">CO$7</f>
        <v>0,0,0,0,1,0,0,0,0,1</v>
      </c>
      <c r="AJ259" s="26" t="str">
        <f t="shared" ref="AJ259" si="1816">CP$7</f>
        <v>0,0,0,0,5,0,0,0,0,5</v>
      </c>
      <c r="AK259" s="26" t="str">
        <f t="shared" ref="AK259" si="1817">CQ$7</f>
        <v>100,1,1000,2,5,200,1,1000,2,5</v>
      </c>
      <c r="AL259" s="26" t="str">
        <f t="shared" ref="AL259" si="1818">CR$7</f>
        <v>5,5,5,5,5,5,5,5,5,5</v>
      </c>
      <c r="AM259" s="7">
        <v>2001</v>
      </c>
      <c r="AO259">
        <f t="shared" ref="AO259" si="1819">AQ259*100+4</f>
        <v>2904</v>
      </c>
      <c r="AP259">
        <v>255</v>
      </c>
      <c r="AQ259">
        <f t="shared" si="1371"/>
        <v>29</v>
      </c>
      <c r="AR259" s="17">
        <v>8</v>
      </c>
      <c r="AS259" s="17">
        <f t="shared" si="1452"/>
        <v>195</v>
      </c>
      <c r="AT259" s="17">
        <v>7</v>
      </c>
      <c r="AU259">
        <f t="shared" si="1372"/>
        <v>24</v>
      </c>
      <c r="AV259">
        <v>150</v>
      </c>
      <c r="AW259">
        <f t="shared" si="1373"/>
        <v>35578.920959999996</v>
      </c>
      <c r="AX259">
        <f t="shared" si="1502"/>
        <v>194832000.00000003</v>
      </c>
      <c r="AY259">
        <f t="shared" si="1374"/>
        <v>3247.2000000000003</v>
      </c>
      <c r="AZ259">
        <f t="shared" si="1375"/>
        <v>6494.4000000000005</v>
      </c>
      <c r="BA259">
        <f t="shared" si="1376"/>
        <v>43296</v>
      </c>
      <c r="BB259">
        <f t="shared" si="1377"/>
        <v>1623.6000000000001</v>
      </c>
      <c r="BC259">
        <f t="shared" si="1503"/>
        <v>194832000.00000003</v>
      </c>
      <c r="BD259">
        <f t="shared" si="1378"/>
        <v>0.29411764705882354</v>
      </c>
      <c r="BE259" s="27">
        <f t="shared" si="1504"/>
        <v>112929536.96640004</v>
      </c>
      <c r="BF259" s="30">
        <f t="shared" si="1379"/>
        <v>0.36959999999999998</v>
      </c>
      <c r="BG259" s="27"/>
      <c r="BH259" s="27"/>
      <c r="BI259" s="27"/>
      <c r="CA259" s="20">
        <f t="shared" si="1380"/>
        <v>240</v>
      </c>
      <c r="CB259" s="20">
        <f t="shared" si="1381"/>
        <v>24000</v>
      </c>
    </row>
    <row r="260" spans="1:80" x14ac:dyDescent="0.15">
      <c r="A260">
        <v>2905</v>
      </c>
      <c r="B260" s="3" t="s">
        <v>122</v>
      </c>
      <c r="C260" s="4" t="s">
        <v>109</v>
      </c>
      <c r="D260" s="4" t="s">
        <v>110</v>
      </c>
      <c r="E260" s="5">
        <v>2</v>
      </c>
      <c r="F260" s="7" t="s">
        <v>146</v>
      </c>
      <c r="G260" s="5">
        <v>3</v>
      </c>
      <c r="H260" s="7" t="s">
        <v>191</v>
      </c>
      <c r="I260" s="5">
        <v>0</v>
      </c>
      <c r="J260" s="7" t="s">
        <v>148</v>
      </c>
      <c r="K260">
        <v>6</v>
      </c>
      <c r="L260">
        <v>1.5</v>
      </c>
      <c r="M260" s="5">
        <v>1.5</v>
      </c>
      <c r="N260" s="5">
        <v>10</v>
      </c>
      <c r="O260" s="5">
        <f t="shared" si="1361"/>
        <v>36446</v>
      </c>
      <c r="P260" s="5">
        <f t="shared" si="1362"/>
        <v>199584000</v>
      </c>
      <c r="Q260" s="5">
        <f t="shared" si="1363"/>
        <v>3326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70051</v>
      </c>
      <c r="X260" s="6" t="s">
        <v>183</v>
      </c>
      <c r="Y260" s="5">
        <v>300</v>
      </c>
      <c r="Z260" s="5">
        <v>1</v>
      </c>
      <c r="AA260" s="5">
        <v>26871990</v>
      </c>
      <c r="AB260" s="16" t="s">
        <v>111</v>
      </c>
      <c r="AC260" s="7" t="s">
        <v>112</v>
      </c>
      <c r="AD260" s="7" t="s">
        <v>112</v>
      </c>
      <c r="AE260" s="7" t="s">
        <v>112</v>
      </c>
      <c r="AF260" s="6" t="s">
        <v>113</v>
      </c>
      <c r="AG260" s="26" t="str">
        <f t="shared" ref="AG260" si="1820">CM$8</f>
        <v>4,19,28,19,6,4,19,28,19,6</v>
      </c>
      <c r="AH260" s="26" t="str">
        <f t="shared" ref="AH260" si="1821">CN$8</f>
        <v>0,0,0,0,1,0,0,0,0,1</v>
      </c>
      <c r="AI260" s="26" t="str">
        <f t="shared" ref="AI260" si="1822">CO$8</f>
        <v>0,0,0,0,1,0,0,0,0,1</v>
      </c>
      <c r="AJ260" s="26" t="str">
        <f t="shared" ref="AJ260" si="1823">CP$8</f>
        <v>0,0,0,0,5,0,0,0,0,5</v>
      </c>
      <c r="AK260" s="26" t="str">
        <f t="shared" ref="AK260" si="1824">CQ$8</f>
        <v>200,100,1000,200,5,200,100,1000,200,5</v>
      </c>
      <c r="AL260" s="26" t="str">
        <f t="shared" ref="AL260" si="1825">CR$8</f>
        <v>5,5,5,5,5,5,5,5,5,5</v>
      </c>
      <c r="AM260" s="7">
        <v>2001</v>
      </c>
      <c r="AO260">
        <f t="shared" ref="AO260" si="1826">AQ260*100+5</f>
        <v>2905</v>
      </c>
      <c r="AP260">
        <v>256</v>
      </c>
      <c r="AQ260">
        <f t="shared" si="1371"/>
        <v>29</v>
      </c>
      <c r="AR260" s="17">
        <v>8</v>
      </c>
      <c r="AS260" s="17">
        <f t="shared" si="1452"/>
        <v>200</v>
      </c>
      <c r="AT260" s="17">
        <v>7</v>
      </c>
      <c r="AU260">
        <f t="shared" si="1372"/>
        <v>24</v>
      </c>
      <c r="AV260">
        <v>150</v>
      </c>
      <c r="AW260">
        <f t="shared" si="1373"/>
        <v>36446.699520000002</v>
      </c>
      <c r="AX260">
        <f t="shared" si="1502"/>
        <v>199584000.00000003</v>
      </c>
      <c r="AY260">
        <f t="shared" si="1374"/>
        <v>3326.4000000000005</v>
      </c>
      <c r="AZ260">
        <f t="shared" si="1375"/>
        <v>6652.8000000000011</v>
      </c>
      <c r="BA260">
        <f t="shared" si="1376"/>
        <v>44352</v>
      </c>
      <c r="BB260">
        <f t="shared" si="1377"/>
        <v>1663.2000000000003</v>
      </c>
      <c r="BC260">
        <f t="shared" si="1503"/>
        <v>199584000.00000003</v>
      </c>
      <c r="BD260">
        <f t="shared" si="1378"/>
        <v>0.29411764705882359</v>
      </c>
      <c r="BE260" s="27">
        <f t="shared" si="1504"/>
        <v>118505474.84160005</v>
      </c>
      <c r="BF260" s="30">
        <f t="shared" si="1379"/>
        <v>0.36959999999999998</v>
      </c>
      <c r="BG260" s="27"/>
      <c r="BH260" s="27"/>
      <c r="BI260" s="27"/>
      <c r="CA260" s="20">
        <f t="shared" si="1380"/>
        <v>240</v>
      </c>
      <c r="CB260" s="20">
        <f t="shared" si="1381"/>
        <v>24000</v>
      </c>
    </row>
    <row r="261" spans="1:80" x14ac:dyDescent="0.15">
      <c r="A261">
        <v>2906</v>
      </c>
      <c r="B261" s="3" t="s">
        <v>124</v>
      </c>
      <c r="C261" s="4" t="s">
        <v>109</v>
      </c>
      <c r="D261" s="6" t="s">
        <v>120</v>
      </c>
      <c r="E261" s="5">
        <v>1</v>
      </c>
      <c r="F261" s="7" t="s">
        <v>147</v>
      </c>
      <c r="G261" s="5">
        <v>3</v>
      </c>
      <c r="H261" s="7" t="s">
        <v>192</v>
      </c>
      <c r="I261" s="5">
        <v>0</v>
      </c>
      <c r="J261" s="7" t="s">
        <v>149</v>
      </c>
      <c r="K261">
        <v>6</v>
      </c>
      <c r="L261">
        <v>1.5</v>
      </c>
      <c r="M261" s="5">
        <v>1.5</v>
      </c>
      <c r="N261" s="5">
        <v>10</v>
      </c>
      <c r="O261" s="5">
        <f t="shared" ref="O261:O324" si="1827">FLOOR(AW261,1)</f>
        <v>37314</v>
      </c>
      <c r="P261" s="5">
        <f t="shared" ref="P261:P324" si="1828">FLOOR(BC261,1)</f>
        <v>204336000</v>
      </c>
      <c r="Q261" s="5">
        <f t="shared" ref="Q261:Q324" si="1829">FLOOR(AY261,1)</f>
        <v>3405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70061</v>
      </c>
      <c r="X261" s="6" t="s">
        <v>184</v>
      </c>
      <c r="Y261" s="5">
        <v>300</v>
      </c>
      <c r="Z261" s="5">
        <v>1</v>
      </c>
      <c r="AA261" s="5">
        <v>28385613</v>
      </c>
      <c r="AB261" s="16" t="s">
        <v>111</v>
      </c>
      <c r="AC261" s="7" t="s">
        <v>112</v>
      </c>
      <c r="AD261" s="7" t="s">
        <v>112</v>
      </c>
      <c r="AE261" s="7" t="s">
        <v>112</v>
      </c>
      <c r="AF261" s="6" t="s">
        <v>113</v>
      </c>
      <c r="AG261" s="26" t="str">
        <f t="shared" ref="AG261" si="1830">CM$9</f>
        <v>4,33,28,33,6,4,33,28,33,6</v>
      </c>
      <c r="AH261" s="26" t="str">
        <f t="shared" ref="AH261" si="1831">CN$9</f>
        <v>0,6,0,6,1,0,6,0,6,1</v>
      </c>
      <c r="AI261" s="26" t="str">
        <f t="shared" ref="AI261" si="1832">CO$9</f>
        <v>0,0,0,0,1,0,0,0,0,1</v>
      </c>
      <c r="AJ261" s="26" t="str">
        <f t="shared" ref="AJ261" si="1833">CP$9</f>
        <v>0,0,0,0,5,0,0,0,0,5</v>
      </c>
      <c r="AK261" s="26" t="str">
        <f t="shared" ref="AK261" si="1834">CQ$9</f>
        <v>200,1,1000,2,5,200,1,1000,2,5</v>
      </c>
      <c r="AL261" s="26" t="str">
        <f t="shared" ref="AL261" si="1835">CR$9</f>
        <v>5,5,5,5,5,5,5,5,5,5</v>
      </c>
      <c r="AM261" s="7">
        <v>2001</v>
      </c>
      <c r="AO261">
        <f t="shared" ref="AO261" si="1836">AQ261*100+6</f>
        <v>2906</v>
      </c>
      <c r="AP261">
        <v>257</v>
      </c>
      <c r="AQ261">
        <f t="shared" ref="AQ261:AQ324" si="1837">FLOOR(AP261/9+1,1)</f>
        <v>29</v>
      </c>
      <c r="AR261" s="17">
        <v>8</v>
      </c>
      <c r="AS261" s="17">
        <f t="shared" si="1452"/>
        <v>205</v>
      </c>
      <c r="AT261" s="17">
        <v>7</v>
      </c>
      <c r="AU261">
        <f t="shared" ref="AU261:AU324" si="1838">20+FLOOR(AQ261/10,1)*2</f>
        <v>24</v>
      </c>
      <c r="AV261">
        <v>150</v>
      </c>
      <c r="AW261">
        <f t="shared" ref="AW261:AW324" si="1839">BA261*0.6*(1+BF261)</f>
        <v>37314.478079999993</v>
      </c>
      <c r="AX261">
        <f t="shared" si="1502"/>
        <v>204336000.00000003</v>
      </c>
      <c r="AY261">
        <f t="shared" ref="AY261:AY324" si="1840">BB261*2</f>
        <v>3405.6000000000004</v>
      </c>
      <c r="AZ261">
        <f t="shared" ref="AZ261:AZ324" si="1841">(INDEX($BO$2:$BO$15,MATCH($AR261,$BK$2:$BK$15,0))+INDEX($BP$2:$BP$15,MATCH($AR261,$BK$2:$BK$15,0))*$AS261)*(1+INDEX($BZ$2:$BZ$15,MATCH($AT261,$BX$2:$BX$15,0)))</f>
        <v>6811.2000000000007</v>
      </c>
      <c r="BA261">
        <f t="shared" ref="BA261:BA324" si="1842">INDEX($BQ$2:$BQ$15,MATCH($AR261,$BK$2:$BK$15,0))+INDEX($BR$2:$BR$15,MATCH($AR261,$BK$2:$BK$15,0))*$AS261</f>
        <v>45408</v>
      </c>
      <c r="BB261">
        <f t="shared" ref="BB261:BB324" si="1843">(INDEX($BS$2:$BS$15,MATCH($AR261,$BK$2:$BK$15,0))+INDEX($BT$2:$BT$15,MATCH($AR261,$BK$2:$BK$15,0))*$AS261)*(1+INDEX($BZ$2:$BZ$15,MATCH($AT261,$BX$2:$BX$15,0)))</f>
        <v>1702.8000000000002</v>
      </c>
      <c r="BC261">
        <f t="shared" si="1503"/>
        <v>204336000.00000003</v>
      </c>
      <c r="BD261">
        <f t="shared" ref="BD261:BD324" si="1844">1/(1+AZ261*3/(5*BB261))</f>
        <v>0.29411764705882348</v>
      </c>
      <c r="BE261" s="27">
        <f t="shared" si="1504"/>
        <v>124215772.66560005</v>
      </c>
      <c r="BF261" s="30">
        <f t="shared" ref="BF261:BF324" si="1845">0.3+AQ261*0.0024</f>
        <v>0.36959999999999998</v>
      </c>
      <c r="BG261" s="27"/>
      <c r="BH261" s="27"/>
      <c r="BI261" s="27"/>
      <c r="CA261" s="20">
        <f t="shared" ref="CA261:CA324" si="1846">$CA$2+(AQ261-1)*5</f>
        <v>240</v>
      </c>
      <c r="CB261" s="20">
        <f t="shared" ref="CB261:CB324" si="1847">$CB$2+(AQ261-1)*500</f>
        <v>24000</v>
      </c>
    </row>
    <row r="262" spans="1:80" x14ac:dyDescent="0.15">
      <c r="A262">
        <v>2907</v>
      </c>
      <c r="B262" s="3" t="s">
        <v>126</v>
      </c>
      <c r="C262" s="4" t="s">
        <v>109</v>
      </c>
      <c r="D262" s="4" t="s">
        <v>110</v>
      </c>
      <c r="E262" s="5">
        <v>2</v>
      </c>
      <c r="F262" s="7" t="s">
        <v>143</v>
      </c>
      <c r="G262" s="5">
        <v>3</v>
      </c>
      <c r="H262" s="7" t="s">
        <v>193</v>
      </c>
      <c r="I262" s="5">
        <v>0</v>
      </c>
      <c r="J262" s="5">
        <v>0</v>
      </c>
      <c r="K262">
        <v>2</v>
      </c>
      <c r="L262">
        <v>1.5</v>
      </c>
      <c r="M262" s="5">
        <v>1.5</v>
      </c>
      <c r="N262" s="5">
        <v>10</v>
      </c>
      <c r="O262" s="5">
        <f t="shared" si="1827"/>
        <v>38182</v>
      </c>
      <c r="P262" s="5">
        <f t="shared" si="1828"/>
        <v>209088000</v>
      </c>
      <c r="Q262" s="5">
        <f t="shared" si="1829"/>
        <v>3484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70071</v>
      </c>
      <c r="X262" s="6" t="s">
        <v>185</v>
      </c>
      <c r="Y262" s="5">
        <v>300</v>
      </c>
      <c r="Z262" s="5">
        <v>1</v>
      </c>
      <c r="AA262" s="5">
        <v>29940705</v>
      </c>
      <c r="AB262" s="16" t="s">
        <v>111</v>
      </c>
      <c r="AC262" s="7" t="s">
        <v>112</v>
      </c>
      <c r="AD262" s="7" t="s">
        <v>112</v>
      </c>
      <c r="AE262" s="7" t="s">
        <v>112</v>
      </c>
      <c r="AF262" s="6" t="s">
        <v>113</v>
      </c>
      <c r="AG262" s="26" t="str">
        <f t="shared" ref="AG262" si="1848">CM$10</f>
        <v>4,14,28,14,6,4,14,28,14,6</v>
      </c>
      <c r="AH262" s="26" t="str">
        <f t="shared" ref="AH262" si="1849">CN$10</f>
        <v>0,0,0,0,1,0,0,0,0,1</v>
      </c>
      <c r="AI262" s="26" t="str">
        <f t="shared" ref="AI262" si="1850">CO$10</f>
        <v>0,0,0,0,1,0,0,0,0,1</v>
      </c>
      <c r="AJ262" s="26" t="str">
        <f t="shared" ref="AJ262" si="1851">CP$10</f>
        <v>0,0,0,0,5,0,0,0,0,5</v>
      </c>
      <c r="AK262" s="26" t="str">
        <f t="shared" ref="AK262" si="1852">CQ$10</f>
        <v>200,1,1000,2,5,200,1,1000,2,5</v>
      </c>
      <c r="AL262" s="26" t="str">
        <f t="shared" ref="AL262" si="1853">CR$10</f>
        <v>5,5,5,5,5,5,5,5,5,5</v>
      </c>
      <c r="AM262" s="7">
        <v>2001</v>
      </c>
      <c r="AO262">
        <f t="shared" ref="AO262" si="1854">AQ262*100+7</f>
        <v>2907</v>
      </c>
      <c r="AP262">
        <v>258</v>
      </c>
      <c r="AQ262">
        <f t="shared" si="1837"/>
        <v>29</v>
      </c>
      <c r="AR262" s="17">
        <v>8</v>
      </c>
      <c r="AS262" s="17">
        <f t="shared" si="1452"/>
        <v>210</v>
      </c>
      <c r="AT262" s="17">
        <v>7</v>
      </c>
      <c r="AU262">
        <f t="shared" si="1838"/>
        <v>24</v>
      </c>
      <c r="AV262">
        <v>150</v>
      </c>
      <c r="AW262">
        <f t="shared" si="1839"/>
        <v>38182.256639999992</v>
      </c>
      <c r="AX262">
        <f t="shared" si="1502"/>
        <v>209088000.00000003</v>
      </c>
      <c r="AY262">
        <f t="shared" si="1840"/>
        <v>3484.8000000000006</v>
      </c>
      <c r="AZ262">
        <f t="shared" si="1841"/>
        <v>6969.6000000000013</v>
      </c>
      <c r="BA262">
        <f t="shared" si="1842"/>
        <v>46464</v>
      </c>
      <c r="BB262">
        <f t="shared" si="1843"/>
        <v>1742.4000000000003</v>
      </c>
      <c r="BC262">
        <f t="shared" si="1503"/>
        <v>209088000.00000003</v>
      </c>
      <c r="BD262">
        <f t="shared" si="1844"/>
        <v>0.29411764705882354</v>
      </c>
      <c r="BE262" s="27">
        <f t="shared" si="1504"/>
        <v>130060430.43840007</v>
      </c>
      <c r="BF262" s="30">
        <f t="shared" si="1845"/>
        <v>0.36959999999999998</v>
      </c>
      <c r="BG262" s="27"/>
      <c r="BH262" s="27"/>
      <c r="BI262" s="27"/>
      <c r="CA262" s="20">
        <f t="shared" si="1846"/>
        <v>240</v>
      </c>
      <c r="CB262" s="20">
        <f t="shared" si="1847"/>
        <v>24000</v>
      </c>
    </row>
    <row r="263" spans="1:80" x14ac:dyDescent="0.15">
      <c r="A263">
        <v>2908</v>
      </c>
      <c r="B263" s="3" t="s">
        <v>128</v>
      </c>
      <c r="C263" s="4" t="s">
        <v>109</v>
      </c>
      <c r="D263" s="4" t="s">
        <v>110</v>
      </c>
      <c r="E263" s="5">
        <v>5</v>
      </c>
      <c r="F263" s="7" t="s">
        <v>129</v>
      </c>
      <c r="G263" s="5">
        <v>2</v>
      </c>
      <c r="H263" s="7" t="s">
        <v>130</v>
      </c>
      <c r="I263" s="5">
        <v>0</v>
      </c>
      <c r="J263" s="5">
        <v>0</v>
      </c>
      <c r="K263">
        <v>2</v>
      </c>
      <c r="L263">
        <v>1.5</v>
      </c>
      <c r="M263" s="5">
        <v>1.5</v>
      </c>
      <c r="N263" s="5">
        <v>10</v>
      </c>
      <c r="O263" s="5">
        <f t="shared" si="1827"/>
        <v>39050</v>
      </c>
      <c r="P263" s="5">
        <f t="shared" si="1828"/>
        <v>213840000</v>
      </c>
      <c r="Q263" s="5">
        <f t="shared" si="1829"/>
        <v>3564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70081</v>
      </c>
      <c r="X263" s="6" t="s">
        <v>186</v>
      </c>
      <c r="Y263" s="5">
        <v>300</v>
      </c>
      <c r="Z263" s="5">
        <v>1</v>
      </c>
      <c r="AA263" s="5">
        <v>31537266</v>
      </c>
      <c r="AB263" s="16" t="s">
        <v>111</v>
      </c>
      <c r="AC263" s="7" t="s">
        <v>112</v>
      </c>
      <c r="AD263" s="7" t="s">
        <v>112</v>
      </c>
      <c r="AE263" s="7" t="s">
        <v>112</v>
      </c>
      <c r="AF263" s="6" t="s">
        <v>113</v>
      </c>
      <c r="AG263" s="26" t="str">
        <f t="shared" ref="AG263" si="1855">CM$11</f>
        <v>4,28,6,28,6,4,28,6,28,6</v>
      </c>
      <c r="AH263" s="26" t="str">
        <f t="shared" ref="AH263" si="1856">CN$11</f>
        <v>0,0,1,0,1,0,0,1,0,1</v>
      </c>
      <c r="AI263" s="26" t="str">
        <f t="shared" ref="AI263" si="1857">CO$11</f>
        <v>0,0,1,0,1,0,0,1,0,1</v>
      </c>
      <c r="AJ263" s="26" t="str">
        <f t="shared" ref="AJ263" si="1858">CP$11</f>
        <v>0,0,5,0,5,0,0,5,0,5</v>
      </c>
      <c r="AK263" s="26" t="str">
        <f t="shared" ref="AK263" si="1859">CQ$11</f>
        <v>100,1000,5,1500,5,200,1000,5,1500,5</v>
      </c>
      <c r="AL263" s="26" t="str">
        <f t="shared" ref="AL263" si="1860">CR$11</f>
        <v>5,5,5,5,5,5,5,5,5,5</v>
      </c>
      <c r="AM263" s="7">
        <v>2001</v>
      </c>
      <c r="AO263">
        <f t="shared" ref="AO263" si="1861">AQ263*100+8</f>
        <v>2908</v>
      </c>
      <c r="AP263">
        <v>259</v>
      </c>
      <c r="AQ263">
        <f t="shared" si="1837"/>
        <v>29</v>
      </c>
      <c r="AR263" s="17">
        <v>8</v>
      </c>
      <c r="AS263" s="17">
        <f t="shared" si="1452"/>
        <v>215</v>
      </c>
      <c r="AT263" s="17">
        <v>7</v>
      </c>
      <c r="AU263">
        <f t="shared" si="1838"/>
        <v>24</v>
      </c>
      <c r="AV263">
        <v>150</v>
      </c>
      <c r="AW263">
        <f t="shared" si="1839"/>
        <v>39050.035200000006</v>
      </c>
      <c r="AX263">
        <f t="shared" si="1502"/>
        <v>213840000.00000003</v>
      </c>
      <c r="AY263">
        <f t="shared" si="1840"/>
        <v>3564.0000000000005</v>
      </c>
      <c r="AZ263">
        <f t="shared" si="1841"/>
        <v>7128.0000000000009</v>
      </c>
      <c r="BA263">
        <f t="shared" si="1842"/>
        <v>47520.000000000007</v>
      </c>
      <c r="BB263">
        <f t="shared" si="1843"/>
        <v>1782.0000000000002</v>
      </c>
      <c r="BC263">
        <f t="shared" si="1503"/>
        <v>213840000.00000003</v>
      </c>
      <c r="BD263">
        <f t="shared" si="1844"/>
        <v>0.29411764705882354</v>
      </c>
      <c r="BE263" s="27">
        <f t="shared" si="1504"/>
        <v>136039448.16000006</v>
      </c>
      <c r="BF263" s="30">
        <f t="shared" si="1845"/>
        <v>0.36959999999999998</v>
      </c>
      <c r="BG263" s="27"/>
      <c r="BH263" s="27"/>
      <c r="BI263" s="27"/>
      <c r="CA263" s="20">
        <f t="shared" si="1846"/>
        <v>240</v>
      </c>
      <c r="CB263" s="20">
        <f t="shared" si="1847"/>
        <v>24000</v>
      </c>
    </row>
    <row r="264" spans="1:80" x14ac:dyDescent="0.15">
      <c r="A264">
        <v>2909</v>
      </c>
      <c r="B264" s="3" t="s">
        <v>132</v>
      </c>
      <c r="C264" s="4" t="s">
        <v>109</v>
      </c>
      <c r="D264" s="4" t="s">
        <v>110</v>
      </c>
      <c r="E264" s="5">
        <v>5</v>
      </c>
      <c r="F264" s="7" t="s">
        <v>140</v>
      </c>
      <c r="G264" s="5">
        <v>3</v>
      </c>
      <c r="H264" s="7" t="s">
        <v>140</v>
      </c>
      <c r="I264" s="5">
        <v>0</v>
      </c>
      <c r="J264" s="7">
        <v>0</v>
      </c>
      <c r="K264">
        <v>6</v>
      </c>
      <c r="L264">
        <v>1.5</v>
      </c>
      <c r="M264" s="5">
        <v>1.5</v>
      </c>
      <c r="N264" s="5">
        <v>10</v>
      </c>
      <c r="O264" s="5">
        <f t="shared" si="1827"/>
        <v>39917</v>
      </c>
      <c r="P264" s="5">
        <f t="shared" si="1828"/>
        <v>218592000</v>
      </c>
      <c r="Q264" s="5">
        <f t="shared" si="1829"/>
        <v>3643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70091</v>
      </c>
      <c r="X264" s="6" t="s">
        <v>187</v>
      </c>
      <c r="Y264" s="5">
        <v>300</v>
      </c>
      <c r="Z264" s="5">
        <v>1</v>
      </c>
      <c r="AA264" s="5">
        <v>33175296</v>
      </c>
      <c r="AB264" s="16" t="s">
        <v>111</v>
      </c>
      <c r="AC264" s="7" t="s">
        <v>112</v>
      </c>
      <c r="AD264" s="7" t="s">
        <v>112</v>
      </c>
      <c r="AE264" s="7" t="s">
        <v>112</v>
      </c>
      <c r="AF264" s="6" t="s">
        <v>113</v>
      </c>
      <c r="AG264" s="26" t="str">
        <f t="shared" ref="AG264" si="1862">CM$12</f>
        <v>4,33,28,33,6,4,33,28,33,6</v>
      </c>
      <c r="AH264" s="26" t="str">
        <f t="shared" ref="AH264" si="1863">CN$12</f>
        <v>0,5,0,5,1,0,5,0,5,1</v>
      </c>
      <c r="AI264" s="26" t="str">
        <f t="shared" ref="AI264" si="1864">CO$12</f>
        <v>0,0,0,0,1,0,0,0,0,1</v>
      </c>
      <c r="AJ264" s="26" t="str">
        <f t="shared" ref="AJ264" si="1865">CP$12</f>
        <v>0,0,0,0,5,0,0,0,0,5</v>
      </c>
      <c r="AK264" s="26" t="str">
        <f t="shared" ref="AK264" si="1866">CQ$12</f>
        <v>100,1,1000,2,5,200,1,1000,2,5</v>
      </c>
      <c r="AL264" s="26" t="str">
        <f t="shared" ref="AL264" si="1867">CR$12</f>
        <v>5,5,5,5,5,5,5,5,5,5</v>
      </c>
      <c r="AM264" s="7">
        <v>2001</v>
      </c>
      <c r="AO264">
        <f t="shared" ref="AO264" si="1868">AQ264*100+9</f>
        <v>2909</v>
      </c>
      <c r="AP264">
        <v>260</v>
      </c>
      <c r="AQ264">
        <f t="shared" si="1837"/>
        <v>29</v>
      </c>
      <c r="AR264" s="17">
        <v>8</v>
      </c>
      <c r="AS264" s="17">
        <f t="shared" si="1452"/>
        <v>220</v>
      </c>
      <c r="AT264" s="17">
        <v>7</v>
      </c>
      <c r="AU264">
        <f t="shared" si="1838"/>
        <v>24</v>
      </c>
      <c r="AV264">
        <v>150</v>
      </c>
      <c r="AW264">
        <f t="shared" si="1839"/>
        <v>39917.813759999997</v>
      </c>
      <c r="AX264">
        <f t="shared" si="1502"/>
        <v>218592000.00000003</v>
      </c>
      <c r="AY264">
        <f t="shared" si="1840"/>
        <v>3643.2000000000003</v>
      </c>
      <c r="AZ264">
        <f t="shared" si="1841"/>
        <v>7286.4000000000005</v>
      </c>
      <c r="BA264">
        <f t="shared" si="1842"/>
        <v>48576.000000000007</v>
      </c>
      <c r="BB264">
        <f t="shared" si="1843"/>
        <v>1821.6000000000001</v>
      </c>
      <c r="BC264">
        <f t="shared" si="1503"/>
        <v>218592000.00000003</v>
      </c>
      <c r="BD264">
        <f t="shared" si="1844"/>
        <v>0.29411764705882354</v>
      </c>
      <c r="BE264" s="27">
        <f t="shared" si="1504"/>
        <v>142152825.83040008</v>
      </c>
      <c r="BF264" s="30">
        <f t="shared" si="1845"/>
        <v>0.36959999999999998</v>
      </c>
      <c r="BG264" s="27"/>
      <c r="BH264" s="27"/>
      <c r="BI264" s="27"/>
      <c r="CA264" s="20">
        <f t="shared" si="1846"/>
        <v>240</v>
      </c>
      <c r="CB264" s="20">
        <f t="shared" si="1847"/>
        <v>24000</v>
      </c>
    </row>
    <row r="265" spans="1:80" x14ac:dyDescent="0.15">
      <c r="A265">
        <v>3001</v>
      </c>
      <c r="B265" s="3" t="s">
        <v>108</v>
      </c>
      <c r="C265" s="4" t="s">
        <v>109</v>
      </c>
      <c r="D265" s="4" t="s">
        <v>110</v>
      </c>
      <c r="E265" s="5">
        <v>3</v>
      </c>
      <c r="F265" s="7" t="s">
        <v>141</v>
      </c>
      <c r="G265" s="5">
        <v>2.5</v>
      </c>
      <c r="H265" s="7" t="s">
        <v>194</v>
      </c>
      <c r="I265" s="5">
        <v>0</v>
      </c>
      <c r="J265" s="5">
        <v>0</v>
      </c>
      <c r="K265">
        <v>2</v>
      </c>
      <c r="L265">
        <v>1.5</v>
      </c>
      <c r="M265" s="5">
        <v>1.5</v>
      </c>
      <c r="N265" s="5">
        <v>10</v>
      </c>
      <c r="O265" s="5">
        <f t="shared" si="1827"/>
        <v>33902</v>
      </c>
      <c r="P265" s="5">
        <f t="shared" si="1828"/>
        <v>185328000</v>
      </c>
      <c r="Q265" s="5">
        <f t="shared" si="1829"/>
        <v>3088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70011</v>
      </c>
      <c r="X265" s="6" t="s">
        <v>179</v>
      </c>
      <c r="Y265" s="5">
        <v>300</v>
      </c>
      <c r="Z265" s="5">
        <v>1</v>
      </c>
      <c r="AA265" s="5">
        <v>34854795</v>
      </c>
      <c r="AB265" s="16" t="s">
        <v>111</v>
      </c>
      <c r="AC265" s="7" t="s">
        <v>112</v>
      </c>
      <c r="AD265" s="7" t="s">
        <v>112</v>
      </c>
      <c r="AE265" s="7" t="s">
        <v>112</v>
      </c>
      <c r="AF265" s="6" t="s">
        <v>113</v>
      </c>
      <c r="AG265" s="26" t="str">
        <f t="shared" ref="AG265" si="1869">CM$4</f>
        <v>4,33,28,33,6,4,33,28,33,6</v>
      </c>
      <c r="AH265" s="26" t="str">
        <f t="shared" ref="AH265" si="1870">CN$4</f>
        <v>0,8,0,8,1,0,8,0,8,1</v>
      </c>
      <c r="AI265" s="26" t="str">
        <f t="shared" ref="AI265" si="1871">CO$4</f>
        <v>0,0,0,0,1,0,0,0,0,1</v>
      </c>
      <c r="AJ265" s="26" t="str">
        <f t="shared" ref="AJ265" si="1872">CP$4</f>
        <v>0,0,0,0,5,0,0,0,0,5</v>
      </c>
      <c r="AK265" s="26" t="str">
        <f t="shared" ref="AK265" si="1873">CQ$4</f>
        <v>100,1,1000,2,5,200,1,1000,2,5</v>
      </c>
      <c r="AL265" s="26" t="str">
        <f t="shared" ref="AL265" si="1874">CR$4</f>
        <v>5,5,5,5,5,5,5,5,5,5</v>
      </c>
      <c r="AM265" s="7">
        <v>2001</v>
      </c>
      <c r="AO265">
        <f t="shared" ref="AO265" si="1875">AQ265*100+1</f>
        <v>3001</v>
      </c>
      <c r="AP265">
        <v>261</v>
      </c>
      <c r="AQ265">
        <f t="shared" si="1837"/>
        <v>30</v>
      </c>
      <c r="AR265" s="17">
        <v>8</v>
      </c>
      <c r="AS265" s="17">
        <f t="shared" si="1452"/>
        <v>185</v>
      </c>
      <c r="AT265" s="17">
        <v>7</v>
      </c>
      <c r="AU265">
        <f t="shared" si="1838"/>
        <v>26</v>
      </c>
      <c r="AV265">
        <v>150</v>
      </c>
      <c r="AW265">
        <f t="shared" si="1839"/>
        <v>33902.668799999992</v>
      </c>
      <c r="AX265">
        <f t="shared" si="1502"/>
        <v>185328000.00000003</v>
      </c>
      <c r="AY265">
        <f t="shared" si="1840"/>
        <v>3088.8000000000006</v>
      </c>
      <c r="AZ265">
        <f t="shared" si="1841"/>
        <v>6177.6000000000013</v>
      </c>
      <c r="BA265">
        <f t="shared" si="1842"/>
        <v>41184</v>
      </c>
      <c r="BB265">
        <f t="shared" si="1843"/>
        <v>1544.4000000000003</v>
      </c>
      <c r="BC265">
        <f t="shared" si="1503"/>
        <v>185328000.00000003</v>
      </c>
      <c r="BD265">
        <f t="shared" si="1844"/>
        <v>0.29411764705882354</v>
      </c>
      <c r="BE265" s="27">
        <f t="shared" si="1504"/>
        <v>102180741.06240006</v>
      </c>
      <c r="BF265" s="30">
        <f t="shared" si="1845"/>
        <v>0.372</v>
      </c>
      <c r="BG265" s="27"/>
      <c r="BH265" s="27"/>
      <c r="BI265" s="27"/>
      <c r="CA265" s="20">
        <f t="shared" si="1846"/>
        <v>245</v>
      </c>
      <c r="CB265" s="20">
        <f t="shared" si="1847"/>
        <v>24500</v>
      </c>
    </row>
    <row r="266" spans="1:80" x14ac:dyDescent="0.15">
      <c r="A266">
        <v>3002</v>
      </c>
      <c r="B266" s="3" t="s">
        <v>115</v>
      </c>
      <c r="C266" s="4" t="s">
        <v>109</v>
      </c>
      <c r="D266" s="6" t="s">
        <v>110</v>
      </c>
      <c r="E266" s="5">
        <v>3</v>
      </c>
      <c r="F266" s="7" t="s">
        <v>142</v>
      </c>
      <c r="G266" s="5">
        <v>3</v>
      </c>
      <c r="H266" s="7" t="s">
        <v>188</v>
      </c>
      <c r="I266" s="5">
        <v>0</v>
      </c>
      <c r="J266" s="5">
        <v>0</v>
      </c>
      <c r="K266">
        <v>2</v>
      </c>
      <c r="L266">
        <v>1.5</v>
      </c>
      <c r="M266" s="5">
        <v>1.5</v>
      </c>
      <c r="N266" s="5">
        <v>10</v>
      </c>
      <c r="O266" s="5">
        <f t="shared" si="1827"/>
        <v>34771</v>
      </c>
      <c r="P266" s="5">
        <f t="shared" si="1828"/>
        <v>190080000</v>
      </c>
      <c r="Q266" s="5">
        <f t="shared" si="1829"/>
        <v>3168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70021</v>
      </c>
      <c r="X266" s="6" t="s">
        <v>180</v>
      </c>
      <c r="Y266" s="5">
        <v>300</v>
      </c>
      <c r="Z266" s="5">
        <v>1</v>
      </c>
      <c r="AA266" s="5">
        <v>23969151</v>
      </c>
      <c r="AB266" s="16" t="s">
        <v>111</v>
      </c>
      <c r="AC266" s="7" t="s">
        <v>112</v>
      </c>
      <c r="AD266" s="7" t="s">
        <v>112</v>
      </c>
      <c r="AE266" s="7" t="s">
        <v>112</v>
      </c>
      <c r="AF266" s="6" t="s">
        <v>113</v>
      </c>
      <c r="AG266" s="26" t="str">
        <f t="shared" ref="AG266" si="1876">CM$5</f>
        <v>4,33,28,33,6,4,33,28,33,6</v>
      </c>
      <c r="AH266" s="26" t="str">
        <f t="shared" ref="AH266" si="1877">CN$5</f>
        <v>0,7,0,7,1,0,7,0,7,1</v>
      </c>
      <c r="AI266" s="26" t="str">
        <f t="shared" ref="AI266" si="1878">CO$5</f>
        <v>0,0,0,0,1,0,0,0,0,1</v>
      </c>
      <c r="AJ266" s="26" t="str">
        <f t="shared" ref="AJ266" si="1879">CP$5</f>
        <v>0,0,0,0,5,0,0,0,0,5</v>
      </c>
      <c r="AK266" s="26" t="str">
        <f t="shared" ref="AK266" si="1880">CQ$5</f>
        <v>100,1,1000,2,5,200,1,1000,2,5</v>
      </c>
      <c r="AL266" s="26" t="str">
        <f t="shared" ref="AL266" si="1881">CR$5</f>
        <v>5,5,5,5,5,5,5,5,5,5</v>
      </c>
      <c r="AM266" s="7">
        <v>2001</v>
      </c>
      <c r="AO266">
        <f t="shared" ref="AO266" si="1882">AQ266*100+2</f>
        <v>3002</v>
      </c>
      <c r="AP266">
        <v>262</v>
      </c>
      <c r="AQ266">
        <f t="shared" si="1837"/>
        <v>30</v>
      </c>
      <c r="AR266" s="17">
        <v>8</v>
      </c>
      <c r="AS266" s="17">
        <f t="shared" si="1452"/>
        <v>190</v>
      </c>
      <c r="AT266" s="17">
        <v>7</v>
      </c>
      <c r="AU266">
        <f t="shared" si="1838"/>
        <v>26</v>
      </c>
      <c r="AV266">
        <v>150</v>
      </c>
      <c r="AW266">
        <f t="shared" si="1839"/>
        <v>34771.967999999993</v>
      </c>
      <c r="AX266">
        <f t="shared" si="1502"/>
        <v>190080000.00000003</v>
      </c>
      <c r="AY266">
        <f t="shared" si="1840"/>
        <v>3168.0000000000005</v>
      </c>
      <c r="AZ266">
        <f t="shared" si="1841"/>
        <v>6336.0000000000009</v>
      </c>
      <c r="BA266">
        <f t="shared" si="1842"/>
        <v>42240</v>
      </c>
      <c r="BB266">
        <f t="shared" si="1843"/>
        <v>1584.0000000000002</v>
      </c>
      <c r="BC266">
        <f t="shared" si="1503"/>
        <v>190080000.00000003</v>
      </c>
      <c r="BD266">
        <f t="shared" si="1844"/>
        <v>0.29411764705882348</v>
      </c>
      <c r="BE266" s="27">
        <f t="shared" si="1504"/>
        <v>107487959.04000005</v>
      </c>
      <c r="BF266" s="30">
        <f t="shared" si="1845"/>
        <v>0.372</v>
      </c>
      <c r="BG266" s="27"/>
      <c r="BH266" s="27"/>
      <c r="BI266" s="27"/>
      <c r="CA266" s="20">
        <f t="shared" si="1846"/>
        <v>245</v>
      </c>
      <c r="CB266" s="20">
        <f t="shared" si="1847"/>
        <v>24500</v>
      </c>
    </row>
    <row r="267" spans="1:80" x14ac:dyDescent="0.15">
      <c r="A267">
        <v>3003</v>
      </c>
      <c r="B267" s="3" t="s">
        <v>117</v>
      </c>
      <c r="C267" s="4" t="s">
        <v>109</v>
      </c>
      <c r="D267" s="4" t="s">
        <v>110</v>
      </c>
      <c r="E267" s="5">
        <v>1</v>
      </c>
      <c r="F267" s="7" t="s">
        <v>144</v>
      </c>
      <c r="G267" s="5">
        <v>3</v>
      </c>
      <c r="H267" s="7" t="s">
        <v>189</v>
      </c>
      <c r="I267" s="5">
        <v>0</v>
      </c>
      <c r="J267" s="2">
        <v>0</v>
      </c>
      <c r="K267">
        <v>6</v>
      </c>
      <c r="L267">
        <v>1.5</v>
      </c>
      <c r="M267" s="5">
        <v>1.5</v>
      </c>
      <c r="N267" s="5">
        <v>10</v>
      </c>
      <c r="O267" s="5">
        <f t="shared" si="1827"/>
        <v>35641</v>
      </c>
      <c r="P267" s="5">
        <f t="shared" si="1828"/>
        <v>194832000</v>
      </c>
      <c r="Q267" s="5">
        <f t="shared" si="1829"/>
        <v>3247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70031</v>
      </c>
      <c r="X267" s="6" t="s">
        <v>181</v>
      </c>
      <c r="Y267" s="5">
        <v>300</v>
      </c>
      <c r="Z267" s="5">
        <v>1</v>
      </c>
      <c r="AA267" s="5">
        <v>25399836</v>
      </c>
      <c r="AB267" s="16" t="s">
        <v>111</v>
      </c>
      <c r="AC267" s="7" t="s">
        <v>112</v>
      </c>
      <c r="AD267" s="7" t="s">
        <v>112</v>
      </c>
      <c r="AE267" s="7" t="s">
        <v>112</v>
      </c>
      <c r="AF267" s="6" t="s">
        <v>113</v>
      </c>
      <c r="AG267" s="26" t="str">
        <f t="shared" ref="AG267" si="1883">CM$6</f>
        <v>4,28,6,28,6,4,28,6,28,6</v>
      </c>
      <c r="AH267" s="26" t="str">
        <f t="shared" ref="AH267" si="1884">CN$6</f>
        <v>0,0,1,0,1,0,0,1,0,1</v>
      </c>
      <c r="AI267" s="26" t="str">
        <f t="shared" ref="AI267" si="1885">CO$6</f>
        <v>0,0,0,0,1,0,0,0,0,1</v>
      </c>
      <c r="AJ267" s="26" t="str">
        <f t="shared" ref="AJ267" si="1886">CP$6</f>
        <v>0,0,5,0,5,0,0,5,0,5</v>
      </c>
      <c r="AK267" s="26" t="str">
        <f t="shared" ref="AK267" si="1887">CQ$6</f>
        <v>100,1000,5,1500,5,200,1000,5,1500,5</v>
      </c>
      <c r="AL267" s="26" t="str">
        <f t="shared" ref="AL267" si="1888">CR$6</f>
        <v>5,5,5,5,5,5,5,5,5,5</v>
      </c>
      <c r="AM267" s="7">
        <v>2001</v>
      </c>
      <c r="AO267">
        <f t="shared" ref="AO267" si="1889">AQ267*100+3</f>
        <v>3003</v>
      </c>
      <c r="AP267">
        <v>263</v>
      </c>
      <c r="AQ267">
        <f t="shared" si="1837"/>
        <v>30</v>
      </c>
      <c r="AR267" s="17">
        <v>8</v>
      </c>
      <c r="AS267" s="17">
        <f t="shared" si="1452"/>
        <v>195</v>
      </c>
      <c r="AT267" s="17">
        <v>7</v>
      </c>
      <c r="AU267">
        <f t="shared" si="1838"/>
        <v>26</v>
      </c>
      <c r="AV267">
        <v>150</v>
      </c>
      <c r="AW267">
        <f t="shared" si="1839"/>
        <v>35641.267199999995</v>
      </c>
      <c r="AX267">
        <f t="shared" si="1502"/>
        <v>194832000.00000003</v>
      </c>
      <c r="AY267">
        <f t="shared" si="1840"/>
        <v>3247.2000000000003</v>
      </c>
      <c r="AZ267">
        <f t="shared" si="1841"/>
        <v>6494.4000000000005</v>
      </c>
      <c r="BA267">
        <f t="shared" si="1842"/>
        <v>43296</v>
      </c>
      <c r="BB267">
        <f t="shared" si="1843"/>
        <v>1623.6000000000001</v>
      </c>
      <c r="BC267">
        <f t="shared" si="1503"/>
        <v>194832000.00000003</v>
      </c>
      <c r="BD267">
        <f t="shared" si="1844"/>
        <v>0.29411764705882354</v>
      </c>
      <c r="BE267" s="27">
        <f t="shared" si="1504"/>
        <v>112929536.96640004</v>
      </c>
      <c r="BF267" s="30">
        <f t="shared" si="1845"/>
        <v>0.372</v>
      </c>
      <c r="BG267" s="27"/>
      <c r="BH267" s="27"/>
      <c r="BI267" s="27"/>
      <c r="CA267" s="20">
        <f t="shared" si="1846"/>
        <v>245</v>
      </c>
      <c r="CB267" s="20">
        <f t="shared" si="1847"/>
        <v>24500</v>
      </c>
    </row>
    <row r="268" spans="1:80" x14ac:dyDescent="0.15">
      <c r="A268">
        <v>3004</v>
      </c>
      <c r="B268" s="3" t="s">
        <v>119</v>
      </c>
      <c r="C268" s="4" t="s">
        <v>109</v>
      </c>
      <c r="D268" s="6" t="s">
        <v>120</v>
      </c>
      <c r="E268" s="5">
        <v>3</v>
      </c>
      <c r="F268" s="7" t="s">
        <v>145</v>
      </c>
      <c r="G268" s="5">
        <v>3</v>
      </c>
      <c r="H268" s="7" t="s">
        <v>190</v>
      </c>
      <c r="I268" s="5">
        <v>0</v>
      </c>
      <c r="J268" s="5">
        <v>0</v>
      </c>
      <c r="K268">
        <v>2</v>
      </c>
      <c r="L268">
        <v>1.5</v>
      </c>
      <c r="M268" s="5">
        <v>1.5</v>
      </c>
      <c r="N268" s="5">
        <v>10</v>
      </c>
      <c r="O268" s="5">
        <f t="shared" si="1827"/>
        <v>36510</v>
      </c>
      <c r="P268" s="5">
        <f t="shared" si="1828"/>
        <v>199584000</v>
      </c>
      <c r="Q268" s="5">
        <f t="shared" si="1829"/>
        <v>3326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70041</v>
      </c>
      <c r="X268" s="6" t="s">
        <v>182</v>
      </c>
      <c r="Y268" s="5">
        <v>300</v>
      </c>
      <c r="Z268" s="5">
        <v>1</v>
      </c>
      <c r="AA268" s="5">
        <v>26871990</v>
      </c>
      <c r="AB268" s="16" t="s">
        <v>111</v>
      </c>
      <c r="AC268" s="7" t="s">
        <v>112</v>
      </c>
      <c r="AD268" s="7" t="s">
        <v>112</v>
      </c>
      <c r="AE268" s="7" t="s">
        <v>112</v>
      </c>
      <c r="AF268" s="6" t="s">
        <v>113</v>
      </c>
      <c r="AG268" s="26" t="str">
        <f t="shared" ref="AG268" si="1890">CM$7</f>
        <v>4,14,28,14,6,4,14,28,14,6</v>
      </c>
      <c r="AH268" s="26" t="str">
        <f t="shared" ref="AH268" si="1891">CN$7</f>
        <v>0,0,0,0,1,0,0,0,0,1</v>
      </c>
      <c r="AI268" s="26" t="str">
        <f t="shared" ref="AI268" si="1892">CO$7</f>
        <v>0,0,0,0,1,0,0,0,0,1</v>
      </c>
      <c r="AJ268" s="26" t="str">
        <f t="shared" ref="AJ268" si="1893">CP$7</f>
        <v>0,0,0,0,5,0,0,0,0,5</v>
      </c>
      <c r="AK268" s="26" t="str">
        <f t="shared" ref="AK268" si="1894">CQ$7</f>
        <v>100,1,1000,2,5,200,1,1000,2,5</v>
      </c>
      <c r="AL268" s="26" t="str">
        <f t="shared" ref="AL268" si="1895">CR$7</f>
        <v>5,5,5,5,5,5,5,5,5,5</v>
      </c>
      <c r="AM268" s="7">
        <v>2001</v>
      </c>
      <c r="AO268">
        <f t="shared" ref="AO268" si="1896">AQ268*100+4</f>
        <v>3004</v>
      </c>
      <c r="AP268">
        <v>264</v>
      </c>
      <c r="AQ268">
        <f t="shared" si="1837"/>
        <v>30</v>
      </c>
      <c r="AR268" s="17">
        <v>8</v>
      </c>
      <c r="AS268" s="17">
        <f t="shared" si="1452"/>
        <v>200</v>
      </c>
      <c r="AT268" s="17">
        <v>7</v>
      </c>
      <c r="AU268">
        <f t="shared" si="1838"/>
        <v>26</v>
      </c>
      <c r="AV268">
        <v>150</v>
      </c>
      <c r="AW268">
        <f t="shared" si="1839"/>
        <v>36510.566399999996</v>
      </c>
      <c r="AX268">
        <f t="shared" si="1502"/>
        <v>199584000.00000003</v>
      </c>
      <c r="AY268">
        <f t="shared" si="1840"/>
        <v>3326.4000000000005</v>
      </c>
      <c r="AZ268">
        <f t="shared" si="1841"/>
        <v>6652.8000000000011</v>
      </c>
      <c r="BA268">
        <f t="shared" si="1842"/>
        <v>44352</v>
      </c>
      <c r="BB268">
        <f t="shared" si="1843"/>
        <v>1663.2000000000003</v>
      </c>
      <c r="BC268">
        <f t="shared" si="1503"/>
        <v>199584000.00000003</v>
      </c>
      <c r="BD268">
        <f t="shared" si="1844"/>
        <v>0.29411764705882359</v>
      </c>
      <c r="BE268" s="27">
        <f t="shared" si="1504"/>
        <v>118505474.84160005</v>
      </c>
      <c r="BF268" s="30">
        <f t="shared" si="1845"/>
        <v>0.372</v>
      </c>
      <c r="BG268" s="27"/>
      <c r="BH268" s="27"/>
      <c r="BI268" s="27"/>
      <c r="CA268" s="20">
        <f t="shared" si="1846"/>
        <v>245</v>
      </c>
      <c r="CB268" s="20">
        <f t="shared" si="1847"/>
        <v>24500</v>
      </c>
    </row>
    <row r="269" spans="1:80" x14ac:dyDescent="0.15">
      <c r="A269">
        <v>3005</v>
      </c>
      <c r="B269" s="3" t="s">
        <v>122</v>
      </c>
      <c r="C269" s="4" t="s">
        <v>109</v>
      </c>
      <c r="D269" s="4" t="s">
        <v>110</v>
      </c>
      <c r="E269" s="5">
        <v>2</v>
      </c>
      <c r="F269" s="7" t="s">
        <v>146</v>
      </c>
      <c r="G269" s="5">
        <v>3</v>
      </c>
      <c r="H269" s="7" t="s">
        <v>191</v>
      </c>
      <c r="I269" s="5">
        <v>0</v>
      </c>
      <c r="J269" s="7" t="s">
        <v>148</v>
      </c>
      <c r="K269">
        <v>6</v>
      </c>
      <c r="L269">
        <v>1.5</v>
      </c>
      <c r="M269" s="5">
        <v>1.5</v>
      </c>
      <c r="N269" s="5">
        <v>10</v>
      </c>
      <c r="O269" s="5">
        <f t="shared" si="1827"/>
        <v>37379</v>
      </c>
      <c r="P269" s="5">
        <f t="shared" si="1828"/>
        <v>204336000</v>
      </c>
      <c r="Q269" s="5">
        <f t="shared" si="1829"/>
        <v>3405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70051</v>
      </c>
      <c r="X269" s="6" t="s">
        <v>183</v>
      </c>
      <c r="Y269" s="5">
        <v>300</v>
      </c>
      <c r="Z269" s="5">
        <v>1</v>
      </c>
      <c r="AA269" s="5">
        <v>28385613</v>
      </c>
      <c r="AB269" s="16" t="s">
        <v>111</v>
      </c>
      <c r="AC269" s="7" t="s">
        <v>112</v>
      </c>
      <c r="AD269" s="7" t="s">
        <v>112</v>
      </c>
      <c r="AE269" s="7" t="s">
        <v>112</v>
      </c>
      <c r="AF269" s="6" t="s">
        <v>113</v>
      </c>
      <c r="AG269" s="26" t="str">
        <f t="shared" ref="AG269" si="1897">CM$8</f>
        <v>4,19,28,19,6,4,19,28,19,6</v>
      </c>
      <c r="AH269" s="26" t="str">
        <f t="shared" ref="AH269" si="1898">CN$8</f>
        <v>0,0,0,0,1,0,0,0,0,1</v>
      </c>
      <c r="AI269" s="26" t="str">
        <f t="shared" ref="AI269" si="1899">CO$8</f>
        <v>0,0,0,0,1,0,0,0,0,1</v>
      </c>
      <c r="AJ269" s="26" t="str">
        <f t="shared" ref="AJ269" si="1900">CP$8</f>
        <v>0,0,0,0,5,0,0,0,0,5</v>
      </c>
      <c r="AK269" s="26" t="str">
        <f t="shared" ref="AK269" si="1901">CQ$8</f>
        <v>200,100,1000,200,5,200,100,1000,200,5</v>
      </c>
      <c r="AL269" s="26" t="str">
        <f t="shared" ref="AL269" si="1902">CR$8</f>
        <v>5,5,5,5,5,5,5,5,5,5</v>
      </c>
      <c r="AM269" s="7">
        <v>2001</v>
      </c>
      <c r="AO269">
        <f t="shared" ref="AO269" si="1903">AQ269*100+5</f>
        <v>3005</v>
      </c>
      <c r="AP269">
        <v>265</v>
      </c>
      <c r="AQ269">
        <f t="shared" si="1837"/>
        <v>30</v>
      </c>
      <c r="AR269" s="17">
        <v>8</v>
      </c>
      <c r="AS269" s="17">
        <f t="shared" si="1452"/>
        <v>205</v>
      </c>
      <c r="AT269" s="17">
        <v>7</v>
      </c>
      <c r="AU269">
        <f t="shared" si="1838"/>
        <v>26</v>
      </c>
      <c r="AV269">
        <v>150</v>
      </c>
      <c r="AW269">
        <f t="shared" si="1839"/>
        <v>37379.865599999997</v>
      </c>
      <c r="AX269">
        <f t="shared" si="1502"/>
        <v>204336000.00000003</v>
      </c>
      <c r="AY269">
        <f t="shared" si="1840"/>
        <v>3405.6000000000004</v>
      </c>
      <c r="AZ269">
        <f t="shared" si="1841"/>
        <v>6811.2000000000007</v>
      </c>
      <c r="BA269">
        <f t="shared" si="1842"/>
        <v>45408</v>
      </c>
      <c r="BB269">
        <f t="shared" si="1843"/>
        <v>1702.8000000000002</v>
      </c>
      <c r="BC269">
        <f t="shared" si="1503"/>
        <v>204336000.00000003</v>
      </c>
      <c r="BD269">
        <f t="shared" si="1844"/>
        <v>0.29411764705882348</v>
      </c>
      <c r="BE269" s="27">
        <f t="shared" si="1504"/>
        <v>124215772.66560005</v>
      </c>
      <c r="BF269" s="30">
        <f t="shared" si="1845"/>
        <v>0.372</v>
      </c>
      <c r="BG269" s="27"/>
      <c r="BH269" s="27"/>
      <c r="BI269" s="27"/>
      <c r="CA269" s="20">
        <f t="shared" si="1846"/>
        <v>245</v>
      </c>
      <c r="CB269" s="20">
        <f t="shared" si="1847"/>
        <v>24500</v>
      </c>
    </row>
    <row r="270" spans="1:80" x14ac:dyDescent="0.15">
      <c r="A270">
        <v>3006</v>
      </c>
      <c r="B270" s="3" t="s">
        <v>124</v>
      </c>
      <c r="C270" s="4" t="s">
        <v>109</v>
      </c>
      <c r="D270" s="6" t="s">
        <v>120</v>
      </c>
      <c r="E270" s="5">
        <v>1</v>
      </c>
      <c r="F270" s="7" t="s">
        <v>147</v>
      </c>
      <c r="G270" s="5">
        <v>3</v>
      </c>
      <c r="H270" s="7" t="s">
        <v>192</v>
      </c>
      <c r="I270" s="5">
        <v>0</v>
      </c>
      <c r="J270" s="7" t="s">
        <v>149</v>
      </c>
      <c r="K270">
        <v>6</v>
      </c>
      <c r="L270">
        <v>1.5</v>
      </c>
      <c r="M270" s="5">
        <v>1.5</v>
      </c>
      <c r="N270" s="5">
        <v>10</v>
      </c>
      <c r="O270" s="5">
        <f t="shared" si="1827"/>
        <v>38249</v>
      </c>
      <c r="P270" s="5">
        <f t="shared" si="1828"/>
        <v>209088000</v>
      </c>
      <c r="Q270" s="5">
        <f t="shared" si="1829"/>
        <v>3484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70061</v>
      </c>
      <c r="X270" s="6" t="s">
        <v>184</v>
      </c>
      <c r="Y270" s="5">
        <v>300</v>
      </c>
      <c r="Z270" s="5">
        <v>1</v>
      </c>
      <c r="AA270" s="5">
        <v>29940705</v>
      </c>
      <c r="AB270" s="16" t="s">
        <v>111</v>
      </c>
      <c r="AC270" s="7" t="s">
        <v>112</v>
      </c>
      <c r="AD270" s="7" t="s">
        <v>112</v>
      </c>
      <c r="AE270" s="7" t="s">
        <v>112</v>
      </c>
      <c r="AF270" s="6" t="s">
        <v>113</v>
      </c>
      <c r="AG270" s="26" t="str">
        <f t="shared" ref="AG270" si="1904">CM$9</f>
        <v>4,33,28,33,6,4,33,28,33,6</v>
      </c>
      <c r="AH270" s="26" t="str">
        <f t="shared" ref="AH270" si="1905">CN$9</f>
        <v>0,6,0,6,1,0,6,0,6,1</v>
      </c>
      <c r="AI270" s="26" t="str">
        <f t="shared" ref="AI270" si="1906">CO$9</f>
        <v>0,0,0,0,1,0,0,0,0,1</v>
      </c>
      <c r="AJ270" s="26" t="str">
        <f t="shared" ref="AJ270" si="1907">CP$9</f>
        <v>0,0,0,0,5,0,0,0,0,5</v>
      </c>
      <c r="AK270" s="26" t="str">
        <f t="shared" ref="AK270" si="1908">CQ$9</f>
        <v>200,1,1000,2,5,200,1,1000,2,5</v>
      </c>
      <c r="AL270" s="26" t="str">
        <f t="shared" ref="AL270" si="1909">CR$9</f>
        <v>5,5,5,5,5,5,5,5,5,5</v>
      </c>
      <c r="AM270" s="7">
        <v>2001</v>
      </c>
      <c r="AO270">
        <f t="shared" ref="AO270" si="1910">AQ270*100+6</f>
        <v>3006</v>
      </c>
      <c r="AP270">
        <v>266</v>
      </c>
      <c r="AQ270">
        <f t="shared" si="1837"/>
        <v>30</v>
      </c>
      <c r="AR270" s="17">
        <v>8</v>
      </c>
      <c r="AS270" s="17">
        <f t="shared" si="1452"/>
        <v>210</v>
      </c>
      <c r="AT270" s="17">
        <v>7</v>
      </c>
      <c r="AU270">
        <f t="shared" si="1838"/>
        <v>26</v>
      </c>
      <c r="AV270">
        <v>150</v>
      </c>
      <c r="AW270">
        <f t="shared" si="1839"/>
        <v>38249.164799999991</v>
      </c>
      <c r="AX270">
        <f t="shared" si="1502"/>
        <v>209088000.00000003</v>
      </c>
      <c r="AY270">
        <f t="shared" si="1840"/>
        <v>3484.8000000000006</v>
      </c>
      <c r="AZ270">
        <f t="shared" si="1841"/>
        <v>6969.6000000000013</v>
      </c>
      <c r="BA270">
        <f t="shared" si="1842"/>
        <v>46464</v>
      </c>
      <c r="BB270">
        <f t="shared" si="1843"/>
        <v>1742.4000000000003</v>
      </c>
      <c r="BC270">
        <f t="shared" si="1503"/>
        <v>209088000.00000003</v>
      </c>
      <c r="BD270">
        <f t="shared" si="1844"/>
        <v>0.29411764705882354</v>
      </c>
      <c r="BE270" s="27">
        <f t="shared" si="1504"/>
        <v>130060430.43840007</v>
      </c>
      <c r="BF270" s="30">
        <f t="shared" si="1845"/>
        <v>0.372</v>
      </c>
      <c r="BG270" s="27"/>
      <c r="BH270" s="27"/>
      <c r="BI270" s="27"/>
      <c r="CA270" s="20">
        <f t="shared" si="1846"/>
        <v>245</v>
      </c>
      <c r="CB270" s="20">
        <f t="shared" si="1847"/>
        <v>24500</v>
      </c>
    </row>
    <row r="271" spans="1:80" x14ac:dyDescent="0.15">
      <c r="A271">
        <v>3007</v>
      </c>
      <c r="B271" s="3" t="s">
        <v>126</v>
      </c>
      <c r="C271" s="4" t="s">
        <v>109</v>
      </c>
      <c r="D271" s="4" t="s">
        <v>110</v>
      </c>
      <c r="E271" s="5">
        <v>2</v>
      </c>
      <c r="F271" s="7" t="s">
        <v>143</v>
      </c>
      <c r="G271" s="5">
        <v>3</v>
      </c>
      <c r="H271" s="7" t="s">
        <v>193</v>
      </c>
      <c r="I271" s="5">
        <v>0</v>
      </c>
      <c r="J271" s="5">
        <v>0</v>
      </c>
      <c r="K271">
        <v>2</v>
      </c>
      <c r="L271">
        <v>1.5</v>
      </c>
      <c r="M271" s="5">
        <v>1.5</v>
      </c>
      <c r="N271" s="5">
        <v>10</v>
      </c>
      <c r="O271" s="5">
        <f t="shared" si="1827"/>
        <v>39118</v>
      </c>
      <c r="P271" s="5">
        <f t="shared" si="1828"/>
        <v>213840000</v>
      </c>
      <c r="Q271" s="5">
        <f t="shared" si="1829"/>
        <v>3564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70071</v>
      </c>
      <c r="X271" s="6" t="s">
        <v>185</v>
      </c>
      <c r="Y271" s="5">
        <v>300</v>
      </c>
      <c r="Z271" s="5">
        <v>1</v>
      </c>
      <c r="AA271" s="5">
        <v>31537266</v>
      </c>
      <c r="AB271" s="16" t="s">
        <v>111</v>
      </c>
      <c r="AC271" s="7" t="s">
        <v>112</v>
      </c>
      <c r="AD271" s="7" t="s">
        <v>112</v>
      </c>
      <c r="AE271" s="7" t="s">
        <v>112</v>
      </c>
      <c r="AF271" s="6" t="s">
        <v>113</v>
      </c>
      <c r="AG271" s="26" t="str">
        <f t="shared" ref="AG271" si="1911">CM$10</f>
        <v>4,14,28,14,6,4,14,28,14,6</v>
      </c>
      <c r="AH271" s="26" t="str">
        <f t="shared" ref="AH271" si="1912">CN$10</f>
        <v>0,0,0,0,1,0,0,0,0,1</v>
      </c>
      <c r="AI271" s="26" t="str">
        <f t="shared" ref="AI271" si="1913">CO$10</f>
        <v>0,0,0,0,1,0,0,0,0,1</v>
      </c>
      <c r="AJ271" s="26" t="str">
        <f t="shared" ref="AJ271" si="1914">CP$10</f>
        <v>0,0,0,0,5,0,0,0,0,5</v>
      </c>
      <c r="AK271" s="26" t="str">
        <f t="shared" ref="AK271" si="1915">CQ$10</f>
        <v>200,1,1000,2,5,200,1,1000,2,5</v>
      </c>
      <c r="AL271" s="26" t="str">
        <f t="shared" ref="AL271" si="1916">CR$10</f>
        <v>5,5,5,5,5,5,5,5,5,5</v>
      </c>
      <c r="AM271" s="7">
        <v>2001</v>
      </c>
      <c r="AO271">
        <f t="shared" ref="AO271" si="1917">AQ271*100+7</f>
        <v>3007</v>
      </c>
      <c r="AP271">
        <v>267</v>
      </c>
      <c r="AQ271">
        <f t="shared" si="1837"/>
        <v>30</v>
      </c>
      <c r="AR271" s="17">
        <v>8</v>
      </c>
      <c r="AS271" s="17">
        <f t="shared" ref="AS271:AS334" si="1918">AS262+5</f>
        <v>215</v>
      </c>
      <c r="AT271" s="17">
        <v>7</v>
      </c>
      <c r="AU271">
        <f t="shared" si="1838"/>
        <v>26</v>
      </c>
      <c r="AV271">
        <v>150</v>
      </c>
      <c r="AW271">
        <f t="shared" si="1839"/>
        <v>39118.464</v>
      </c>
      <c r="AX271">
        <f t="shared" si="1502"/>
        <v>213840000.00000003</v>
      </c>
      <c r="AY271">
        <f t="shared" si="1840"/>
        <v>3564.0000000000005</v>
      </c>
      <c r="AZ271">
        <f t="shared" si="1841"/>
        <v>7128.0000000000009</v>
      </c>
      <c r="BA271">
        <f t="shared" si="1842"/>
        <v>47520.000000000007</v>
      </c>
      <c r="BB271">
        <f t="shared" si="1843"/>
        <v>1782.0000000000002</v>
      </c>
      <c r="BC271">
        <f t="shared" si="1503"/>
        <v>213840000.00000003</v>
      </c>
      <c r="BD271">
        <f t="shared" si="1844"/>
        <v>0.29411764705882354</v>
      </c>
      <c r="BE271" s="27">
        <f t="shared" si="1504"/>
        <v>136039448.16000006</v>
      </c>
      <c r="BF271" s="30">
        <f t="shared" si="1845"/>
        <v>0.372</v>
      </c>
      <c r="BG271" s="27"/>
      <c r="BH271" s="27"/>
      <c r="BI271" s="27"/>
      <c r="CA271" s="20">
        <f t="shared" si="1846"/>
        <v>245</v>
      </c>
      <c r="CB271" s="20">
        <f t="shared" si="1847"/>
        <v>24500</v>
      </c>
    </row>
    <row r="272" spans="1:80" x14ac:dyDescent="0.15">
      <c r="A272">
        <v>3008</v>
      </c>
      <c r="B272" s="3" t="s">
        <v>128</v>
      </c>
      <c r="C272" s="4" t="s">
        <v>109</v>
      </c>
      <c r="D272" s="4" t="s">
        <v>110</v>
      </c>
      <c r="E272" s="5">
        <v>5</v>
      </c>
      <c r="F272" s="7" t="s">
        <v>129</v>
      </c>
      <c r="G272" s="5">
        <v>2</v>
      </c>
      <c r="H272" s="7" t="s">
        <v>130</v>
      </c>
      <c r="I272" s="5">
        <v>0</v>
      </c>
      <c r="J272" s="5">
        <v>0</v>
      </c>
      <c r="K272">
        <v>2</v>
      </c>
      <c r="L272">
        <v>1.5</v>
      </c>
      <c r="M272" s="5">
        <v>1.5</v>
      </c>
      <c r="N272" s="5">
        <v>10</v>
      </c>
      <c r="O272" s="5">
        <f t="shared" si="1827"/>
        <v>39987</v>
      </c>
      <c r="P272" s="5">
        <f t="shared" si="1828"/>
        <v>218592000</v>
      </c>
      <c r="Q272" s="5">
        <f t="shared" si="1829"/>
        <v>3643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70081</v>
      </c>
      <c r="X272" s="6" t="s">
        <v>186</v>
      </c>
      <c r="Y272" s="5">
        <v>300</v>
      </c>
      <c r="Z272" s="5">
        <v>1</v>
      </c>
      <c r="AA272" s="5">
        <v>33175296</v>
      </c>
      <c r="AB272" s="16" t="s">
        <v>111</v>
      </c>
      <c r="AC272" s="7" t="s">
        <v>112</v>
      </c>
      <c r="AD272" s="7" t="s">
        <v>112</v>
      </c>
      <c r="AE272" s="7" t="s">
        <v>112</v>
      </c>
      <c r="AF272" s="6" t="s">
        <v>113</v>
      </c>
      <c r="AG272" s="26" t="str">
        <f t="shared" ref="AG272" si="1919">CM$11</f>
        <v>4,28,6,28,6,4,28,6,28,6</v>
      </c>
      <c r="AH272" s="26" t="str">
        <f t="shared" ref="AH272" si="1920">CN$11</f>
        <v>0,0,1,0,1,0,0,1,0,1</v>
      </c>
      <c r="AI272" s="26" t="str">
        <f t="shared" ref="AI272" si="1921">CO$11</f>
        <v>0,0,1,0,1,0,0,1,0,1</v>
      </c>
      <c r="AJ272" s="26" t="str">
        <f t="shared" ref="AJ272" si="1922">CP$11</f>
        <v>0,0,5,0,5,0,0,5,0,5</v>
      </c>
      <c r="AK272" s="26" t="str">
        <f t="shared" ref="AK272" si="1923">CQ$11</f>
        <v>100,1000,5,1500,5,200,1000,5,1500,5</v>
      </c>
      <c r="AL272" s="26" t="str">
        <f t="shared" ref="AL272" si="1924">CR$11</f>
        <v>5,5,5,5,5,5,5,5,5,5</v>
      </c>
      <c r="AM272" s="7">
        <v>2001</v>
      </c>
      <c r="AO272">
        <f t="shared" ref="AO272" si="1925">AQ272*100+8</f>
        <v>3008</v>
      </c>
      <c r="AP272">
        <v>268</v>
      </c>
      <c r="AQ272">
        <f t="shared" si="1837"/>
        <v>30</v>
      </c>
      <c r="AR272" s="17">
        <v>8</v>
      </c>
      <c r="AS272" s="17">
        <f t="shared" si="1918"/>
        <v>220</v>
      </c>
      <c r="AT272" s="17">
        <v>7</v>
      </c>
      <c r="AU272">
        <f t="shared" si="1838"/>
        <v>26</v>
      </c>
      <c r="AV272">
        <v>150</v>
      </c>
      <c r="AW272">
        <f t="shared" si="1839"/>
        <v>39987.763200000001</v>
      </c>
      <c r="AX272">
        <f t="shared" si="1502"/>
        <v>218592000.00000003</v>
      </c>
      <c r="AY272">
        <f t="shared" si="1840"/>
        <v>3643.2000000000003</v>
      </c>
      <c r="AZ272">
        <f t="shared" si="1841"/>
        <v>7286.4000000000005</v>
      </c>
      <c r="BA272">
        <f t="shared" si="1842"/>
        <v>48576.000000000007</v>
      </c>
      <c r="BB272">
        <f t="shared" si="1843"/>
        <v>1821.6000000000001</v>
      </c>
      <c r="BC272">
        <f t="shared" si="1503"/>
        <v>218592000.00000003</v>
      </c>
      <c r="BD272">
        <f t="shared" si="1844"/>
        <v>0.29411764705882354</v>
      </c>
      <c r="BE272" s="27">
        <f t="shared" si="1504"/>
        <v>142152825.83040008</v>
      </c>
      <c r="BF272" s="30">
        <f t="shared" si="1845"/>
        <v>0.372</v>
      </c>
      <c r="BG272" s="27"/>
      <c r="BH272" s="27"/>
      <c r="BI272" s="27"/>
      <c r="CA272" s="20">
        <f t="shared" si="1846"/>
        <v>245</v>
      </c>
      <c r="CB272" s="20">
        <f t="shared" si="1847"/>
        <v>24500</v>
      </c>
    </row>
    <row r="273" spans="1:80" x14ac:dyDescent="0.15">
      <c r="A273">
        <v>3009</v>
      </c>
      <c r="B273" s="3" t="s">
        <v>132</v>
      </c>
      <c r="C273" s="4" t="s">
        <v>109</v>
      </c>
      <c r="D273" s="4" t="s">
        <v>110</v>
      </c>
      <c r="E273" s="5">
        <v>5</v>
      </c>
      <c r="F273" s="7" t="s">
        <v>140</v>
      </c>
      <c r="G273" s="5">
        <v>3</v>
      </c>
      <c r="H273" s="7" t="s">
        <v>140</v>
      </c>
      <c r="I273" s="5">
        <v>0</v>
      </c>
      <c r="J273" s="7">
        <v>0</v>
      </c>
      <c r="K273">
        <v>6</v>
      </c>
      <c r="L273">
        <v>1.5</v>
      </c>
      <c r="M273" s="5">
        <v>1.5</v>
      </c>
      <c r="N273" s="5">
        <v>10</v>
      </c>
      <c r="O273" s="5">
        <f t="shared" si="1827"/>
        <v>40857</v>
      </c>
      <c r="P273" s="5">
        <f t="shared" si="1828"/>
        <v>223344000</v>
      </c>
      <c r="Q273" s="5">
        <f t="shared" si="1829"/>
        <v>3722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70091</v>
      </c>
      <c r="X273" s="6" t="s">
        <v>187</v>
      </c>
      <c r="Y273" s="5">
        <v>300</v>
      </c>
      <c r="Z273" s="5">
        <v>1</v>
      </c>
      <c r="AA273" s="5">
        <v>34854795</v>
      </c>
      <c r="AB273" s="16" t="s">
        <v>111</v>
      </c>
      <c r="AC273" s="7" t="s">
        <v>112</v>
      </c>
      <c r="AD273" s="7" t="s">
        <v>112</v>
      </c>
      <c r="AE273" s="7" t="s">
        <v>112</v>
      </c>
      <c r="AF273" s="6" t="s">
        <v>113</v>
      </c>
      <c r="AG273" s="26" t="str">
        <f t="shared" ref="AG273" si="1926">CM$12</f>
        <v>4,33,28,33,6,4,33,28,33,6</v>
      </c>
      <c r="AH273" s="26" t="str">
        <f t="shared" ref="AH273" si="1927">CN$12</f>
        <v>0,5,0,5,1,0,5,0,5,1</v>
      </c>
      <c r="AI273" s="26" t="str">
        <f t="shared" ref="AI273" si="1928">CO$12</f>
        <v>0,0,0,0,1,0,0,0,0,1</v>
      </c>
      <c r="AJ273" s="26" t="str">
        <f t="shared" ref="AJ273" si="1929">CP$12</f>
        <v>0,0,0,0,5,0,0,0,0,5</v>
      </c>
      <c r="AK273" s="26" t="str">
        <f t="shared" ref="AK273" si="1930">CQ$12</f>
        <v>100,1,1000,2,5,200,1,1000,2,5</v>
      </c>
      <c r="AL273" s="26" t="str">
        <f t="shared" ref="AL273" si="1931">CR$12</f>
        <v>5,5,5,5,5,5,5,5,5,5</v>
      </c>
      <c r="AM273" s="7">
        <v>2001</v>
      </c>
      <c r="AO273">
        <f t="shared" ref="AO273" si="1932">AQ273*100+9</f>
        <v>3009</v>
      </c>
      <c r="AP273">
        <v>269</v>
      </c>
      <c r="AQ273">
        <f t="shared" si="1837"/>
        <v>30</v>
      </c>
      <c r="AR273" s="17">
        <v>8</v>
      </c>
      <c r="AS273" s="17">
        <f t="shared" si="1918"/>
        <v>225</v>
      </c>
      <c r="AT273" s="17">
        <v>7</v>
      </c>
      <c r="AU273">
        <f t="shared" si="1838"/>
        <v>26</v>
      </c>
      <c r="AV273">
        <v>150</v>
      </c>
      <c r="AW273">
        <f t="shared" si="1839"/>
        <v>40857.062400000003</v>
      </c>
      <c r="AX273">
        <f t="shared" si="1502"/>
        <v>223344000</v>
      </c>
      <c r="AY273">
        <f t="shared" si="1840"/>
        <v>3722.4</v>
      </c>
      <c r="AZ273">
        <f t="shared" si="1841"/>
        <v>7444.8</v>
      </c>
      <c r="BA273">
        <f t="shared" si="1842"/>
        <v>49632.000000000007</v>
      </c>
      <c r="BB273">
        <f t="shared" si="1843"/>
        <v>1861.2</v>
      </c>
      <c r="BC273">
        <f t="shared" si="1503"/>
        <v>223344000</v>
      </c>
      <c r="BD273">
        <f t="shared" si="1844"/>
        <v>0.29411764705882348</v>
      </c>
      <c r="BE273" s="27">
        <f t="shared" si="1504"/>
        <v>148400563.44960001</v>
      </c>
      <c r="BF273" s="30">
        <f t="shared" si="1845"/>
        <v>0.372</v>
      </c>
      <c r="BG273" s="27"/>
      <c r="BH273" s="27"/>
      <c r="BI273" s="27"/>
      <c r="CA273" s="20">
        <f t="shared" si="1846"/>
        <v>245</v>
      </c>
      <c r="CB273" s="20">
        <f t="shared" si="1847"/>
        <v>24500</v>
      </c>
    </row>
    <row r="274" spans="1:80" x14ac:dyDescent="0.15">
      <c r="A274">
        <v>3101</v>
      </c>
      <c r="B274" s="3" t="s">
        <v>108</v>
      </c>
      <c r="C274" s="4" t="s">
        <v>109</v>
      </c>
      <c r="D274" s="4" t="s">
        <v>110</v>
      </c>
      <c r="E274" s="5">
        <v>3</v>
      </c>
      <c r="F274" s="7" t="s">
        <v>141</v>
      </c>
      <c r="G274" s="5">
        <v>2.5</v>
      </c>
      <c r="H274" s="7" t="s">
        <v>194</v>
      </c>
      <c r="I274" s="5">
        <v>0</v>
      </c>
      <c r="J274" s="5">
        <v>0</v>
      </c>
      <c r="K274">
        <v>2</v>
      </c>
      <c r="L274">
        <v>1.5</v>
      </c>
      <c r="M274" s="5">
        <v>1.5</v>
      </c>
      <c r="N274" s="5">
        <v>10</v>
      </c>
      <c r="O274" s="5">
        <f t="shared" si="1827"/>
        <v>34832</v>
      </c>
      <c r="P274" s="5">
        <f t="shared" si="1828"/>
        <v>190080000</v>
      </c>
      <c r="Q274" s="5">
        <f t="shared" si="1829"/>
        <v>3168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70011</v>
      </c>
      <c r="X274" s="6" t="s">
        <v>179</v>
      </c>
      <c r="Y274" s="5">
        <v>300</v>
      </c>
      <c r="Z274" s="5">
        <v>1</v>
      </c>
      <c r="AA274" s="5">
        <v>36575764</v>
      </c>
      <c r="AB274" s="16" t="s">
        <v>111</v>
      </c>
      <c r="AC274" s="7" t="s">
        <v>112</v>
      </c>
      <c r="AD274" s="7" t="s">
        <v>112</v>
      </c>
      <c r="AE274" s="7" t="s">
        <v>112</v>
      </c>
      <c r="AF274" s="6" t="s">
        <v>113</v>
      </c>
      <c r="AG274" s="26" t="str">
        <f t="shared" ref="AG274" si="1933">CM$4</f>
        <v>4,33,28,33,6,4,33,28,33,6</v>
      </c>
      <c r="AH274" s="26" t="str">
        <f t="shared" ref="AH274" si="1934">CN$4</f>
        <v>0,8,0,8,1,0,8,0,8,1</v>
      </c>
      <c r="AI274" s="26" t="str">
        <f t="shared" ref="AI274" si="1935">CO$4</f>
        <v>0,0,0,0,1,0,0,0,0,1</v>
      </c>
      <c r="AJ274" s="26" t="str">
        <f t="shared" ref="AJ274" si="1936">CP$4</f>
        <v>0,0,0,0,5,0,0,0,0,5</v>
      </c>
      <c r="AK274" s="26" t="str">
        <f t="shared" ref="AK274" si="1937">CQ$4</f>
        <v>100,1,1000,2,5,200,1,1000,2,5</v>
      </c>
      <c r="AL274" s="26" t="str">
        <f t="shared" ref="AL274" si="1938">CR$4</f>
        <v>5,5,5,5,5,5,5,5,5,5</v>
      </c>
      <c r="AM274" s="7">
        <v>2001</v>
      </c>
      <c r="AO274">
        <f t="shared" ref="AO274" si="1939">AQ274*100+1</f>
        <v>3101</v>
      </c>
      <c r="AP274">
        <v>270</v>
      </c>
      <c r="AQ274">
        <f t="shared" si="1837"/>
        <v>31</v>
      </c>
      <c r="AR274" s="17">
        <v>8</v>
      </c>
      <c r="AS274" s="17">
        <f t="shared" si="1918"/>
        <v>190</v>
      </c>
      <c r="AT274" s="17">
        <v>7</v>
      </c>
      <c r="AU274">
        <f t="shared" si="1838"/>
        <v>26</v>
      </c>
      <c r="AV274">
        <v>150</v>
      </c>
      <c r="AW274">
        <f t="shared" si="1839"/>
        <v>34832.793600000005</v>
      </c>
      <c r="AX274">
        <f t="shared" si="1502"/>
        <v>190080000.00000003</v>
      </c>
      <c r="AY274">
        <f t="shared" si="1840"/>
        <v>3168.0000000000005</v>
      </c>
      <c r="AZ274">
        <f t="shared" si="1841"/>
        <v>6336.0000000000009</v>
      </c>
      <c r="BA274">
        <f t="shared" si="1842"/>
        <v>42240</v>
      </c>
      <c r="BB274">
        <f t="shared" si="1843"/>
        <v>1584.0000000000002</v>
      </c>
      <c r="BC274">
        <f t="shared" si="1503"/>
        <v>190080000.00000003</v>
      </c>
      <c r="BD274">
        <f t="shared" si="1844"/>
        <v>0.29411764705882348</v>
      </c>
      <c r="BE274" s="27">
        <f t="shared" si="1504"/>
        <v>107487959.04000005</v>
      </c>
      <c r="BF274" s="30">
        <f t="shared" si="1845"/>
        <v>0.37439999999999996</v>
      </c>
      <c r="BG274" s="27"/>
      <c r="BH274" s="27"/>
      <c r="BI274" s="27"/>
      <c r="CA274" s="20">
        <f t="shared" si="1846"/>
        <v>250</v>
      </c>
      <c r="CB274" s="20">
        <f t="shared" si="1847"/>
        <v>25000</v>
      </c>
    </row>
    <row r="275" spans="1:80" x14ac:dyDescent="0.15">
      <c r="A275">
        <v>3102</v>
      </c>
      <c r="B275" s="3" t="s">
        <v>115</v>
      </c>
      <c r="C275" s="4" t="s">
        <v>109</v>
      </c>
      <c r="D275" s="6" t="s">
        <v>110</v>
      </c>
      <c r="E275" s="5">
        <v>3</v>
      </c>
      <c r="F275" s="7" t="s">
        <v>142</v>
      </c>
      <c r="G275" s="5">
        <v>3</v>
      </c>
      <c r="H275" s="7" t="s">
        <v>188</v>
      </c>
      <c r="I275" s="5">
        <v>0</v>
      </c>
      <c r="J275" s="5">
        <v>0</v>
      </c>
      <c r="K275">
        <v>2</v>
      </c>
      <c r="L275">
        <v>1.5</v>
      </c>
      <c r="M275" s="5">
        <v>1.5</v>
      </c>
      <c r="N275" s="5">
        <v>10</v>
      </c>
      <c r="O275" s="5">
        <f t="shared" si="1827"/>
        <v>35703</v>
      </c>
      <c r="P275" s="5">
        <f t="shared" si="1828"/>
        <v>194832000</v>
      </c>
      <c r="Q275" s="5">
        <f t="shared" si="1829"/>
        <v>3247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70021</v>
      </c>
      <c r="X275" s="6" t="s">
        <v>180</v>
      </c>
      <c r="Y275" s="5">
        <v>300</v>
      </c>
      <c r="Z275" s="5">
        <v>1</v>
      </c>
      <c r="AA275" s="5">
        <v>25399836</v>
      </c>
      <c r="AB275" s="16" t="s">
        <v>111</v>
      </c>
      <c r="AC275" s="7" t="s">
        <v>112</v>
      </c>
      <c r="AD275" s="7" t="s">
        <v>112</v>
      </c>
      <c r="AE275" s="7" t="s">
        <v>112</v>
      </c>
      <c r="AF275" s="6" t="s">
        <v>113</v>
      </c>
      <c r="AG275" s="26" t="str">
        <f t="shared" ref="AG275" si="1940">CM$5</f>
        <v>4,33,28,33,6,4,33,28,33,6</v>
      </c>
      <c r="AH275" s="26" t="str">
        <f t="shared" ref="AH275" si="1941">CN$5</f>
        <v>0,7,0,7,1,0,7,0,7,1</v>
      </c>
      <c r="AI275" s="26" t="str">
        <f t="shared" ref="AI275" si="1942">CO$5</f>
        <v>0,0,0,0,1,0,0,0,0,1</v>
      </c>
      <c r="AJ275" s="26" t="str">
        <f t="shared" ref="AJ275" si="1943">CP$5</f>
        <v>0,0,0,0,5,0,0,0,0,5</v>
      </c>
      <c r="AK275" s="26" t="str">
        <f t="shared" ref="AK275" si="1944">CQ$5</f>
        <v>100,1,1000,2,5,200,1,1000,2,5</v>
      </c>
      <c r="AL275" s="26" t="str">
        <f t="shared" ref="AL275" si="1945">CR$5</f>
        <v>5,5,5,5,5,5,5,5,5,5</v>
      </c>
      <c r="AM275" s="7">
        <v>2001</v>
      </c>
      <c r="AO275">
        <f t="shared" ref="AO275" si="1946">AQ275*100+2</f>
        <v>3102</v>
      </c>
      <c r="AP275">
        <v>271</v>
      </c>
      <c r="AQ275">
        <f t="shared" si="1837"/>
        <v>31</v>
      </c>
      <c r="AR275" s="17">
        <v>8</v>
      </c>
      <c r="AS275" s="17">
        <f t="shared" si="1918"/>
        <v>195</v>
      </c>
      <c r="AT275" s="17">
        <v>7</v>
      </c>
      <c r="AU275">
        <f t="shared" si="1838"/>
        <v>26</v>
      </c>
      <c r="AV275">
        <v>150</v>
      </c>
      <c r="AW275">
        <f t="shared" si="1839"/>
        <v>35703.613440000001</v>
      </c>
      <c r="AX275">
        <f t="shared" si="1502"/>
        <v>194832000.00000003</v>
      </c>
      <c r="AY275">
        <f t="shared" si="1840"/>
        <v>3247.2000000000003</v>
      </c>
      <c r="AZ275">
        <f t="shared" si="1841"/>
        <v>6494.4000000000005</v>
      </c>
      <c r="BA275">
        <f t="shared" si="1842"/>
        <v>43296</v>
      </c>
      <c r="BB275">
        <f t="shared" si="1843"/>
        <v>1623.6000000000001</v>
      </c>
      <c r="BC275">
        <f t="shared" si="1503"/>
        <v>194832000.00000003</v>
      </c>
      <c r="BD275">
        <f t="shared" si="1844"/>
        <v>0.29411764705882354</v>
      </c>
      <c r="BE275" s="27">
        <f t="shared" si="1504"/>
        <v>112929536.96640004</v>
      </c>
      <c r="BF275" s="30">
        <f t="shared" si="1845"/>
        <v>0.37439999999999996</v>
      </c>
      <c r="BG275" s="27"/>
      <c r="BH275" s="27"/>
      <c r="BI275" s="27"/>
      <c r="CA275" s="20">
        <f t="shared" si="1846"/>
        <v>250</v>
      </c>
      <c r="CB275" s="20">
        <f t="shared" si="1847"/>
        <v>25000</v>
      </c>
    </row>
    <row r="276" spans="1:80" x14ac:dyDescent="0.15">
      <c r="A276">
        <v>3103</v>
      </c>
      <c r="B276" s="3" t="s">
        <v>117</v>
      </c>
      <c r="C276" s="4" t="s">
        <v>109</v>
      </c>
      <c r="D276" s="4" t="s">
        <v>110</v>
      </c>
      <c r="E276" s="5">
        <v>1</v>
      </c>
      <c r="F276" s="7" t="s">
        <v>144</v>
      </c>
      <c r="G276" s="5">
        <v>3</v>
      </c>
      <c r="H276" s="7" t="s">
        <v>189</v>
      </c>
      <c r="I276" s="5">
        <v>0</v>
      </c>
      <c r="J276" s="2">
        <v>0</v>
      </c>
      <c r="K276">
        <v>6</v>
      </c>
      <c r="L276">
        <v>1.5</v>
      </c>
      <c r="M276" s="5">
        <v>1.5</v>
      </c>
      <c r="N276" s="5">
        <v>10</v>
      </c>
      <c r="O276" s="5">
        <f t="shared" si="1827"/>
        <v>36574</v>
      </c>
      <c r="P276" s="5">
        <f t="shared" si="1828"/>
        <v>199584000</v>
      </c>
      <c r="Q276" s="5">
        <f t="shared" si="1829"/>
        <v>3326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70031</v>
      </c>
      <c r="X276" s="6" t="s">
        <v>181</v>
      </c>
      <c r="Y276" s="5">
        <v>300</v>
      </c>
      <c r="Z276" s="5">
        <v>1</v>
      </c>
      <c r="AA276" s="5">
        <v>26871990</v>
      </c>
      <c r="AB276" s="16" t="s">
        <v>111</v>
      </c>
      <c r="AC276" s="7" t="s">
        <v>112</v>
      </c>
      <c r="AD276" s="7" t="s">
        <v>112</v>
      </c>
      <c r="AE276" s="7" t="s">
        <v>112</v>
      </c>
      <c r="AF276" s="6" t="s">
        <v>113</v>
      </c>
      <c r="AG276" s="26" t="str">
        <f t="shared" ref="AG276" si="1947">CM$6</f>
        <v>4,28,6,28,6,4,28,6,28,6</v>
      </c>
      <c r="AH276" s="26" t="str">
        <f t="shared" ref="AH276" si="1948">CN$6</f>
        <v>0,0,1,0,1,0,0,1,0,1</v>
      </c>
      <c r="AI276" s="26" t="str">
        <f t="shared" ref="AI276" si="1949">CO$6</f>
        <v>0,0,0,0,1,0,0,0,0,1</v>
      </c>
      <c r="AJ276" s="26" t="str">
        <f t="shared" ref="AJ276" si="1950">CP$6</f>
        <v>0,0,5,0,5,0,0,5,0,5</v>
      </c>
      <c r="AK276" s="26" t="str">
        <f t="shared" ref="AK276" si="1951">CQ$6</f>
        <v>100,1000,5,1500,5,200,1000,5,1500,5</v>
      </c>
      <c r="AL276" s="26" t="str">
        <f t="shared" ref="AL276" si="1952">CR$6</f>
        <v>5,5,5,5,5,5,5,5,5,5</v>
      </c>
      <c r="AM276" s="7">
        <v>2001</v>
      </c>
      <c r="AO276">
        <f t="shared" ref="AO276" si="1953">AQ276*100+3</f>
        <v>3103</v>
      </c>
      <c r="AP276">
        <v>272</v>
      </c>
      <c r="AQ276">
        <f t="shared" si="1837"/>
        <v>31</v>
      </c>
      <c r="AR276" s="17">
        <v>8</v>
      </c>
      <c r="AS276" s="17">
        <f t="shared" si="1918"/>
        <v>200</v>
      </c>
      <c r="AT276" s="17">
        <v>7</v>
      </c>
      <c r="AU276">
        <f t="shared" si="1838"/>
        <v>26</v>
      </c>
      <c r="AV276">
        <v>150</v>
      </c>
      <c r="AW276">
        <f t="shared" si="1839"/>
        <v>36574.433280000005</v>
      </c>
      <c r="AX276">
        <f t="shared" si="1502"/>
        <v>199584000.00000003</v>
      </c>
      <c r="AY276">
        <f t="shared" si="1840"/>
        <v>3326.4000000000005</v>
      </c>
      <c r="AZ276">
        <f t="shared" si="1841"/>
        <v>6652.8000000000011</v>
      </c>
      <c r="BA276">
        <f t="shared" si="1842"/>
        <v>44352</v>
      </c>
      <c r="BB276">
        <f t="shared" si="1843"/>
        <v>1663.2000000000003</v>
      </c>
      <c r="BC276">
        <f t="shared" si="1503"/>
        <v>199584000.00000003</v>
      </c>
      <c r="BD276">
        <f t="shared" si="1844"/>
        <v>0.29411764705882359</v>
      </c>
      <c r="BE276" s="27">
        <f t="shared" si="1504"/>
        <v>118505474.84160005</v>
      </c>
      <c r="BF276" s="30">
        <f t="shared" si="1845"/>
        <v>0.37439999999999996</v>
      </c>
      <c r="BG276" s="27"/>
      <c r="BH276" s="27"/>
      <c r="BI276" s="27"/>
      <c r="CA276" s="20">
        <f t="shared" si="1846"/>
        <v>250</v>
      </c>
      <c r="CB276" s="20">
        <f t="shared" si="1847"/>
        <v>25000</v>
      </c>
    </row>
    <row r="277" spans="1:80" x14ac:dyDescent="0.15">
      <c r="A277">
        <v>3104</v>
      </c>
      <c r="B277" s="3" t="s">
        <v>119</v>
      </c>
      <c r="C277" s="4" t="s">
        <v>109</v>
      </c>
      <c r="D277" s="6" t="s">
        <v>120</v>
      </c>
      <c r="E277" s="5">
        <v>3</v>
      </c>
      <c r="F277" s="7" t="s">
        <v>145</v>
      </c>
      <c r="G277" s="5">
        <v>3</v>
      </c>
      <c r="H277" s="7" t="s">
        <v>190</v>
      </c>
      <c r="I277" s="5">
        <v>0</v>
      </c>
      <c r="J277" s="5">
        <v>0</v>
      </c>
      <c r="K277">
        <v>2</v>
      </c>
      <c r="L277">
        <v>1.5</v>
      </c>
      <c r="M277" s="5">
        <v>1.5</v>
      </c>
      <c r="N277" s="5">
        <v>10</v>
      </c>
      <c r="O277" s="5">
        <f t="shared" si="1827"/>
        <v>37445</v>
      </c>
      <c r="P277" s="5">
        <f t="shared" si="1828"/>
        <v>204336000</v>
      </c>
      <c r="Q277" s="5">
        <f t="shared" si="1829"/>
        <v>3405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70041</v>
      </c>
      <c r="X277" s="6" t="s">
        <v>182</v>
      </c>
      <c r="Y277" s="5">
        <v>300</v>
      </c>
      <c r="Z277" s="5">
        <v>1</v>
      </c>
      <c r="AA277" s="5">
        <v>28385613</v>
      </c>
      <c r="AB277" s="16" t="s">
        <v>111</v>
      </c>
      <c r="AC277" s="7" t="s">
        <v>112</v>
      </c>
      <c r="AD277" s="7" t="s">
        <v>112</v>
      </c>
      <c r="AE277" s="7" t="s">
        <v>112</v>
      </c>
      <c r="AF277" s="6" t="s">
        <v>113</v>
      </c>
      <c r="AG277" s="26" t="str">
        <f t="shared" ref="AG277" si="1954">CM$7</f>
        <v>4,14,28,14,6,4,14,28,14,6</v>
      </c>
      <c r="AH277" s="26" t="str">
        <f t="shared" ref="AH277" si="1955">CN$7</f>
        <v>0,0,0,0,1,0,0,0,0,1</v>
      </c>
      <c r="AI277" s="26" t="str">
        <f t="shared" ref="AI277" si="1956">CO$7</f>
        <v>0,0,0,0,1,0,0,0,0,1</v>
      </c>
      <c r="AJ277" s="26" t="str">
        <f t="shared" ref="AJ277" si="1957">CP$7</f>
        <v>0,0,0,0,5,0,0,0,0,5</v>
      </c>
      <c r="AK277" s="26" t="str">
        <f t="shared" ref="AK277" si="1958">CQ$7</f>
        <v>100,1,1000,2,5,200,1,1000,2,5</v>
      </c>
      <c r="AL277" s="26" t="str">
        <f t="shared" ref="AL277" si="1959">CR$7</f>
        <v>5,5,5,5,5,5,5,5,5,5</v>
      </c>
      <c r="AM277" s="7">
        <v>2001</v>
      </c>
      <c r="AO277">
        <f t="shared" ref="AO277" si="1960">AQ277*100+4</f>
        <v>3104</v>
      </c>
      <c r="AP277">
        <v>273</v>
      </c>
      <c r="AQ277">
        <f t="shared" si="1837"/>
        <v>31</v>
      </c>
      <c r="AR277" s="17">
        <v>8</v>
      </c>
      <c r="AS277" s="17">
        <f t="shared" si="1918"/>
        <v>205</v>
      </c>
      <c r="AT277" s="17">
        <v>7</v>
      </c>
      <c r="AU277">
        <f t="shared" si="1838"/>
        <v>26</v>
      </c>
      <c r="AV277">
        <v>150</v>
      </c>
      <c r="AW277">
        <f t="shared" si="1839"/>
        <v>37445.253120000001</v>
      </c>
      <c r="AX277">
        <f t="shared" si="1502"/>
        <v>204336000.00000003</v>
      </c>
      <c r="AY277">
        <f t="shared" si="1840"/>
        <v>3405.6000000000004</v>
      </c>
      <c r="AZ277">
        <f t="shared" si="1841"/>
        <v>6811.2000000000007</v>
      </c>
      <c r="BA277">
        <f t="shared" si="1842"/>
        <v>45408</v>
      </c>
      <c r="BB277">
        <f t="shared" si="1843"/>
        <v>1702.8000000000002</v>
      </c>
      <c r="BC277">
        <f t="shared" si="1503"/>
        <v>204336000.00000003</v>
      </c>
      <c r="BD277">
        <f t="shared" si="1844"/>
        <v>0.29411764705882348</v>
      </c>
      <c r="BE277" s="27">
        <f t="shared" si="1504"/>
        <v>124215772.66560005</v>
      </c>
      <c r="BF277" s="30">
        <f t="shared" si="1845"/>
        <v>0.37439999999999996</v>
      </c>
      <c r="BG277" s="27"/>
      <c r="BH277" s="27"/>
      <c r="BI277" s="27"/>
      <c r="CA277" s="20">
        <f t="shared" si="1846"/>
        <v>250</v>
      </c>
      <c r="CB277" s="20">
        <f t="shared" si="1847"/>
        <v>25000</v>
      </c>
    </row>
    <row r="278" spans="1:80" x14ac:dyDescent="0.15">
      <c r="A278">
        <v>3105</v>
      </c>
      <c r="B278" s="3" t="s">
        <v>122</v>
      </c>
      <c r="C278" s="4" t="s">
        <v>109</v>
      </c>
      <c r="D278" s="4" t="s">
        <v>110</v>
      </c>
      <c r="E278" s="5">
        <v>2</v>
      </c>
      <c r="F278" s="7" t="s">
        <v>146</v>
      </c>
      <c r="G278" s="5">
        <v>3</v>
      </c>
      <c r="H278" s="7" t="s">
        <v>191</v>
      </c>
      <c r="I278" s="5">
        <v>0</v>
      </c>
      <c r="J278" s="7" t="s">
        <v>148</v>
      </c>
      <c r="K278">
        <v>6</v>
      </c>
      <c r="L278">
        <v>1.5</v>
      </c>
      <c r="M278" s="5">
        <v>1.5</v>
      </c>
      <c r="N278" s="5">
        <v>10</v>
      </c>
      <c r="O278" s="5">
        <f t="shared" si="1827"/>
        <v>38316</v>
      </c>
      <c r="P278" s="5">
        <f t="shared" si="1828"/>
        <v>209088000</v>
      </c>
      <c r="Q278" s="5">
        <f t="shared" si="1829"/>
        <v>3484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70051</v>
      </c>
      <c r="X278" s="6" t="s">
        <v>183</v>
      </c>
      <c r="Y278" s="5">
        <v>300</v>
      </c>
      <c r="Z278" s="5">
        <v>1</v>
      </c>
      <c r="AA278" s="5">
        <v>29940705</v>
      </c>
      <c r="AB278" s="16" t="s">
        <v>111</v>
      </c>
      <c r="AC278" s="7" t="s">
        <v>112</v>
      </c>
      <c r="AD278" s="7" t="s">
        <v>112</v>
      </c>
      <c r="AE278" s="7" t="s">
        <v>112</v>
      </c>
      <c r="AF278" s="6" t="s">
        <v>113</v>
      </c>
      <c r="AG278" s="26" t="str">
        <f t="shared" ref="AG278" si="1961">CM$8</f>
        <v>4,19,28,19,6,4,19,28,19,6</v>
      </c>
      <c r="AH278" s="26" t="str">
        <f t="shared" ref="AH278" si="1962">CN$8</f>
        <v>0,0,0,0,1,0,0,0,0,1</v>
      </c>
      <c r="AI278" s="26" t="str">
        <f t="shared" ref="AI278" si="1963">CO$8</f>
        <v>0,0,0,0,1,0,0,0,0,1</v>
      </c>
      <c r="AJ278" s="26" t="str">
        <f t="shared" ref="AJ278" si="1964">CP$8</f>
        <v>0,0,0,0,5,0,0,0,0,5</v>
      </c>
      <c r="AK278" s="26" t="str">
        <f t="shared" ref="AK278" si="1965">CQ$8</f>
        <v>200,100,1000,200,5,200,100,1000,200,5</v>
      </c>
      <c r="AL278" s="26" t="str">
        <f t="shared" ref="AL278" si="1966">CR$8</f>
        <v>5,5,5,5,5,5,5,5,5,5</v>
      </c>
      <c r="AM278" s="7">
        <v>2001</v>
      </c>
      <c r="AO278">
        <f t="shared" ref="AO278" si="1967">AQ278*100+5</f>
        <v>3105</v>
      </c>
      <c r="AP278">
        <v>274</v>
      </c>
      <c r="AQ278">
        <f t="shared" si="1837"/>
        <v>31</v>
      </c>
      <c r="AR278" s="17">
        <v>8</v>
      </c>
      <c r="AS278" s="17">
        <f t="shared" si="1918"/>
        <v>210</v>
      </c>
      <c r="AT278" s="17">
        <v>7</v>
      </c>
      <c r="AU278">
        <f t="shared" si="1838"/>
        <v>26</v>
      </c>
      <c r="AV278">
        <v>150</v>
      </c>
      <c r="AW278">
        <f t="shared" si="1839"/>
        <v>38316.072959999998</v>
      </c>
      <c r="AX278">
        <f t="shared" ref="AX278:AX341" si="1968">BC278</f>
        <v>209088000.00000003</v>
      </c>
      <c r="AY278">
        <f t="shared" si="1840"/>
        <v>3484.8000000000006</v>
      </c>
      <c r="AZ278">
        <f t="shared" si="1841"/>
        <v>6969.6000000000013</v>
      </c>
      <c r="BA278">
        <f t="shared" si="1842"/>
        <v>46464</v>
      </c>
      <c r="BB278">
        <f t="shared" si="1843"/>
        <v>1742.4000000000003</v>
      </c>
      <c r="BC278">
        <f t="shared" ref="BC278:BC341" si="1969">90/1.5*AZ278*(1/(1+AZ278/(5*BB278)))*6*AV278</f>
        <v>209088000.00000003</v>
      </c>
      <c r="BD278">
        <f t="shared" si="1844"/>
        <v>0.29411764705882354</v>
      </c>
      <c r="BE278" s="27">
        <f t="shared" ref="BE278:BE341" si="1970">BC278/10000/(1-BD278)/1*AZ278/L278*(1+0.1*0.5)*0.9*1</f>
        <v>130060430.43840007</v>
      </c>
      <c r="BF278" s="30">
        <f t="shared" si="1845"/>
        <v>0.37439999999999996</v>
      </c>
      <c r="BG278" s="27"/>
      <c r="BH278" s="27"/>
      <c r="BI278" s="27"/>
      <c r="CA278" s="20">
        <f t="shared" si="1846"/>
        <v>250</v>
      </c>
      <c r="CB278" s="20">
        <f t="shared" si="1847"/>
        <v>25000</v>
      </c>
    </row>
    <row r="279" spans="1:80" x14ac:dyDescent="0.15">
      <c r="A279">
        <v>3106</v>
      </c>
      <c r="B279" s="3" t="s">
        <v>124</v>
      </c>
      <c r="C279" s="4" t="s">
        <v>109</v>
      </c>
      <c r="D279" s="6" t="s">
        <v>120</v>
      </c>
      <c r="E279" s="5">
        <v>1</v>
      </c>
      <c r="F279" s="7" t="s">
        <v>147</v>
      </c>
      <c r="G279" s="5">
        <v>3</v>
      </c>
      <c r="H279" s="7" t="s">
        <v>192</v>
      </c>
      <c r="I279" s="5">
        <v>0</v>
      </c>
      <c r="J279" s="7" t="s">
        <v>149</v>
      </c>
      <c r="K279">
        <v>6</v>
      </c>
      <c r="L279">
        <v>1.5</v>
      </c>
      <c r="M279" s="5">
        <v>1.5</v>
      </c>
      <c r="N279" s="5">
        <v>10</v>
      </c>
      <c r="O279" s="5">
        <f t="shared" si="1827"/>
        <v>39186</v>
      </c>
      <c r="P279" s="5">
        <f t="shared" si="1828"/>
        <v>213840000</v>
      </c>
      <c r="Q279" s="5">
        <f t="shared" si="1829"/>
        <v>3564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70061</v>
      </c>
      <c r="X279" s="6" t="s">
        <v>184</v>
      </c>
      <c r="Y279" s="5">
        <v>300</v>
      </c>
      <c r="Z279" s="5">
        <v>1</v>
      </c>
      <c r="AA279" s="5">
        <v>31537266</v>
      </c>
      <c r="AB279" s="16" t="s">
        <v>111</v>
      </c>
      <c r="AC279" s="7" t="s">
        <v>112</v>
      </c>
      <c r="AD279" s="7" t="s">
        <v>112</v>
      </c>
      <c r="AE279" s="7" t="s">
        <v>112</v>
      </c>
      <c r="AF279" s="6" t="s">
        <v>113</v>
      </c>
      <c r="AG279" s="26" t="str">
        <f t="shared" ref="AG279" si="1971">CM$9</f>
        <v>4,33,28,33,6,4,33,28,33,6</v>
      </c>
      <c r="AH279" s="26" t="str">
        <f t="shared" ref="AH279" si="1972">CN$9</f>
        <v>0,6,0,6,1,0,6,0,6,1</v>
      </c>
      <c r="AI279" s="26" t="str">
        <f t="shared" ref="AI279" si="1973">CO$9</f>
        <v>0,0,0,0,1,0,0,0,0,1</v>
      </c>
      <c r="AJ279" s="26" t="str">
        <f t="shared" ref="AJ279" si="1974">CP$9</f>
        <v>0,0,0,0,5,0,0,0,0,5</v>
      </c>
      <c r="AK279" s="26" t="str">
        <f t="shared" ref="AK279" si="1975">CQ$9</f>
        <v>200,1,1000,2,5,200,1,1000,2,5</v>
      </c>
      <c r="AL279" s="26" t="str">
        <f t="shared" ref="AL279" si="1976">CR$9</f>
        <v>5,5,5,5,5,5,5,5,5,5</v>
      </c>
      <c r="AM279" s="7">
        <v>2001</v>
      </c>
      <c r="AO279">
        <f t="shared" ref="AO279" si="1977">AQ279*100+6</f>
        <v>3106</v>
      </c>
      <c r="AP279">
        <v>275</v>
      </c>
      <c r="AQ279">
        <f t="shared" si="1837"/>
        <v>31</v>
      </c>
      <c r="AR279" s="17">
        <v>8</v>
      </c>
      <c r="AS279" s="17">
        <f t="shared" si="1918"/>
        <v>215</v>
      </c>
      <c r="AT279" s="17">
        <v>7</v>
      </c>
      <c r="AU279">
        <f t="shared" si="1838"/>
        <v>26</v>
      </c>
      <c r="AV279">
        <v>150</v>
      </c>
      <c r="AW279">
        <f t="shared" si="1839"/>
        <v>39186.892800000009</v>
      </c>
      <c r="AX279">
        <f t="shared" si="1968"/>
        <v>213840000.00000003</v>
      </c>
      <c r="AY279">
        <f t="shared" si="1840"/>
        <v>3564.0000000000005</v>
      </c>
      <c r="AZ279">
        <f t="shared" si="1841"/>
        <v>7128.0000000000009</v>
      </c>
      <c r="BA279">
        <f t="shared" si="1842"/>
        <v>47520.000000000007</v>
      </c>
      <c r="BB279">
        <f t="shared" si="1843"/>
        <v>1782.0000000000002</v>
      </c>
      <c r="BC279">
        <f t="shared" si="1969"/>
        <v>213840000.00000003</v>
      </c>
      <c r="BD279">
        <f t="shared" si="1844"/>
        <v>0.29411764705882354</v>
      </c>
      <c r="BE279" s="27">
        <f t="shared" si="1970"/>
        <v>136039448.16000006</v>
      </c>
      <c r="BF279" s="30">
        <f t="shared" si="1845"/>
        <v>0.37439999999999996</v>
      </c>
      <c r="BG279" s="27"/>
      <c r="BH279" s="27"/>
      <c r="BI279" s="27"/>
      <c r="CA279" s="20">
        <f t="shared" si="1846"/>
        <v>250</v>
      </c>
      <c r="CB279" s="20">
        <f t="shared" si="1847"/>
        <v>25000</v>
      </c>
    </row>
    <row r="280" spans="1:80" x14ac:dyDescent="0.15">
      <c r="A280">
        <v>3107</v>
      </c>
      <c r="B280" s="3" t="s">
        <v>126</v>
      </c>
      <c r="C280" s="4" t="s">
        <v>109</v>
      </c>
      <c r="D280" s="4" t="s">
        <v>110</v>
      </c>
      <c r="E280" s="5">
        <v>2</v>
      </c>
      <c r="F280" s="7" t="s">
        <v>143</v>
      </c>
      <c r="G280" s="5">
        <v>3</v>
      </c>
      <c r="H280" s="7" t="s">
        <v>193</v>
      </c>
      <c r="I280" s="5">
        <v>0</v>
      </c>
      <c r="J280" s="5">
        <v>0</v>
      </c>
      <c r="K280">
        <v>2</v>
      </c>
      <c r="L280">
        <v>1.5</v>
      </c>
      <c r="M280" s="5">
        <v>1.5</v>
      </c>
      <c r="N280" s="5">
        <v>10</v>
      </c>
      <c r="O280" s="5">
        <f t="shared" si="1827"/>
        <v>40057</v>
      </c>
      <c r="P280" s="5">
        <f t="shared" si="1828"/>
        <v>218592000</v>
      </c>
      <c r="Q280" s="5">
        <f t="shared" si="1829"/>
        <v>3643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70071</v>
      </c>
      <c r="X280" s="6" t="s">
        <v>185</v>
      </c>
      <c r="Y280" s="5">
        <v>300</v>
      </c>
      <c r="Z280" s="5">
        <v>1</v>
      </c>
      <c r="AA280" s="5">
        <v>33175296</v>
      </c>
      <c r="AB280" s="16" t="s">
        <v>111</v>
      </c>
      <c r="AC280" s="7" t="s">
        <v>112</v>
      </c>
      <c r="AD280" s="7" t="s">
        <v>112</v>
      </c>
      <c r="AE280" s="7" t="s">
        <v>112</v>
      </c>
      <c r="AF280" s="6" t="s">
        <v>113</v>
      </c>
      <c r="AG280" s="26" t="str">
        <f t="shared" ref="AG280" si="1978">CM$10</f>
        <v>4,14,28,14,6,4,14,28,14,6</v>
      </c>
      <c r="AH280" s="26" t="str">
        <f t="shared" ref="AH280" si="1979">CN$10</f>
        <v>0,0,0,0,1,0,0,0,0,1</v>
      </c>
      <c r="AI280" s="26" t="str">
        <f t="shared" ref="AI280" si="1980">CO$10</f>
        <v>0,0,0,0,1,0,0,0,0,1</v>
      </c>
      <c r="AJ280" s="26" t="str">
        <f t="shared" ref="AJ280" si="1981">CP$10</f>
        <v>0,0,0,0,5,0,0,0,0,5</v>
      </c>
      <c r="AK280" s="26" t="str">
        <f t="shared" ref="AK280" si="1982">CQ$10</f>
        <v>200,1,1000,2,5,200,1,1000,2,5</v>
      </c>
      <c r="AL280" s="26" t="str">
        <f t="shared" ref="AL280" si="1983">CR$10</f>
        <v>5,5,5,5,5,5,5,5,5,5</v>
      </c>
      <c r="AM280" s="7">
        <v>2001</v>
      </c>
      <c r="AO280">
        <f t="shared" ref="AO280" si="1984">AQ280*100+7</f>
        <v>3107</v>
      </c>
      <c r="AP280">
        <v>276</v>
      </c>
      <c r="AQ280">
        <f t="shared" si="1837"/>
        <v>31</v>
      </c>
      <c r="AR280" s="17">
        <v>8</v>
      </c>
      <c r="AS280" s="17">
        <f t="shared" si="1918"/>
        <v>220</v>
      </c>
      <c r="AT280" s="17">
        <v>7</v>
      </c>
      <c r="AU280">
        <f t="shared" si="1838"/>
        <v>26</v>
      </c>
      <c r="AV280">
        <v>150</v>
      </c>
      <c r="AW280">
        <f t="shared" si="1839"/>
        <v>40057.712640000005</v>
      </c>
      <c r="AX280">
        <f t="shared" si="1968"/>
        <v>218592000.00000003</v>
      </c>
      <c r="AY280">
        <f t="shared" si="1840"/>
        <v>3643.2000000000003</v>
      </c>
      <c r="AZ280">
        <f t="shared" si="1841"/>
        <v>7286.4000000000005</v>
      </c>
      <c r="BA280">
        <f t="shared" si="1842"/>
        <v>48576.000000000007</v>
      </c>
      <c r="BB280">
        <f t="shared" si="1843"/>
        <v>1821.6000000000001</v>
      </c>
      <c r="BC280">
        <f t="shared" si="1969"/>
        <v>218592000.00000003</v>
      </c>
      <c r="BD280">
        <f t="shared" si="1844"/>
        <v>0.29411764705882354</v>
      </c>
      <c r="BE280" s="27">
        <f t="shared" si="1970"/>
        <v>142152825.83040008</v>
      </c>
      <c r="BF280" s="30">
        <f t="shared" si="1845"/>
        <v>0.37439999999999996</v>
      </c>
      <c r="BG280" s="27"/>
      <c r="BH280" s="27"/>
      <c r="BI280" s="27"/>
      <c r="CA280" s="20">
        <f t="shared" si="1846"/>
        <v>250</v>
      </c>
      <c r="CB280" s="20">
        <f t="shared" si="1847"/>
        <v>25000</v>
      </c>
    </row>
    <row r="281" spans="1:80" x14ac:dyDescent="0.15">
      <c r="A281">
        <v>3108</v>
      </c>
      <c r="B281" s="3" t="s">
        <v>128</v>
      </c>
      <c r="C281" s="4" t="s">
        <v>109</v>
      </c>
      <c r="D281" s="4" t="s">
        <v>110</v>
      </c>
      <c r="E281" s="5">
        <v>5</v>
      </c>
      <c r="F281" s="7" t="s">
        <v>129</v>
      </c>
      <c r="G281" s="5">
        <v>2</v>
      </c>
      <c r="H281" s="7" t="s">
        <v>130</v>
      </c>
      <c r="I281" s="5">
        <v>0</v>
      </c>
      <c r="J281" s="5">
        <v>0</v>
      </c>
      <c r="K281">
        <v>2</v>
      </c>
      <c r="L281">
        <v>1.5</v>
      </c>
      <c r="M281" s="5">
        <v>1.5</v>
      </c>
      <c r="N281" s="5">
        <v>10</v>
      </c>
      <c r="O281" s="5">
        <f t="shared" si="1827"/>
        <v>40928</v>
      </c>
      <c r="P281" s="5">
        <f t="shared" si="1828"/>
        <v>223344000</v>
      </c>
      <c r="Q281" s="5">
        <f t="shared" si="1829"/>
        <v>3722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70081</v>
      </c>
      <c r="X281" s="6" t="s">
        <v>186</v>
      </c>
      <c r="Y281" s="5">
        <v>300</v>
      </c>
      <c r="Z281" s="5">
        <v>1</v>
      </c>
      <c r="AA281" s="5">
        <v>34854795</v>
      </c>
      <c r="AB281" s="16" t="s">
        <v>111</v>
      </c>
      <c r="AC281" s="7" t="s">
        <v>112</v>
      </c>
      <c r="AD281" s="7" t="s">
        <v>112</v>
      </c>
      <c r="AE281" s="7" t="s">
        <v>112</v>
      </c>
      <c r="AF281" s="6" t="s">
        <v>113</v>
      </c>
      <c r="AG281" s="26" t="str">
        <f t="shared" ref="AG281" si="1985">CM$11</f>
        <v>4,28,6,28,6,4,28,6,28,6</v>
      </c>
      <c r="AH281" s="26" t="str">
        <f t="shared" ref="AH281" si="1986">CN$11</f>
        <v>0,0,1,0,1,0,0,1,0,1</v>
      </c>
      <c r="AI281" s="26" t="str">
        <f t="shared" ref="AI281" si="1987">CO$11</f>
        <v>0,0,1,0,1,0,0,1,0,1</v>
      </c>
      <c r="AJ281" s="26" t="str">
        <f t="shared" ref="AJ281" si="1988">CP$11</f>
        <v>0,0,5,0,5,0,0,5,0,5</v>
      </c>
      <c r="AK281" s="26" t="str">
        <f t="shared" ref="AK281" si="1989">CQ$11</f>
        <v>100,1000,5,1500,5,200,1000,5,1500,5</v>
      </c>
      <c r="AL281" s="26" t="str">
        <f t="shared" ref="AL281" si="1990">CR$11</f>
        <v>5,5,5,5,5,5,5,5,5,5</v>
      </c>
      <c r="AM281" s="7">
        <v>2001</v>
      </c>
      <c r="AO281">
        <f t="shared" ref="AO281" si="1991">AQ281*100+8</f>
        <v>3108</v>
      </c>
      <c r="AP281">
        <v>277</v>
      </c>
      <c r="AQ281">
        <f t="shared" si="1837"/>
        <v>31</v>
      </c>
      <c r="AR281" s="17">
        <v>8</v>
      </c>
      <c r="AS281" s="17">
        <f t="shared" si="1918"/>
        <v>225</v>
      </c>
      <c r="AT281" s="17">
        <v>7</v>
      </c>
      <c r="AU281">
        <f t="shared" si="1838"/>
        <v>26</v>
      </c>
      <c r="AV281">
        <v>150</v>
      </c>
      <c r="AW281">
        <f t="shared" si="1839"/>
        <v>40928.532480000009</v>
      </c>
      <c r="AX281">
        <f t="shared" si="1968"/>
        <v>223344000</v>
      </c>
      <c r="AY281">
        <f t="shared" si="1840"/>
        <v>3722.4</v>
      </c>
      <c r="AZ281">
        <f t="shared" si="1841"/>
        <v>7444.8</v>
      </c>
      <c r="BA281">
        <f t="shared" si="1842"/>
        <v>49632.000000000007</v>
      </c>
      <c r="BB281">
        <f t="shared" si="1843"/>
        <v>1861.2</v>
      </c>
      <c r="BC281">
        <f t="shared" si="1969"/>
        <v>223344000</v>
      </c>
      <c r="BD281">
        <f t="shared" si="1844"/>
        <v>0.29411764705882348</v>
      </c>
      <c r="BE281" s="27">
        <f t="shared" si="1970"/>
        <v>148400563.44960001</v>
      </c>
      <c r="BF281" s="30">
        <f t="shared" si="1845"/>
        <v>0.37439999999999996</v>
      </c>
      <c r="BG281" s="27"/>
      <c r="BH281" s="27"/>
      <c r="BI281" s="27"/>
      <c r="CA281" s="20">
        <f t="shared" si="1846"/>
        <v>250</v>
      </c>
      <c r="CB281" s="20">
        <f t="shared" si="1847"/>
        <v>25000</v>
      </c>
    </row>
    <row r="282" spans="1:80" x14ac:dyDescent="0.15">
      <c r="A282">
        <v>3109</v>
      </c>
      <c r="B282" s="3" t="s">
        <v>132</v>
      </c>
      <c r="C282" s="4" t="s">
        <v>109</v>
      </c>
      <c r="D282" s="4" t="s">
        <v>110</v>
      </c>
      <c r="E282" s="5">
        <v>5</v>
      </c>
      <c r="F282" s="7" t="s">
        <v>140</v>
      </c>
      <c r="G282" s="5">
        <v>3</v>
      </c>
      <c r="H282" s="7" t="s">
        <v>140</v>
      </c>
      <c r="I282" s="5">
        <v>0</v>
      </c>
      <c r="J282" s="7">
        <v>0</v>
      </c>
      <c r="K282">
        <v>6</v>
      </c>
      <c r="L282">
        <v>1.5</v>
      </c>
      <c r="M282" s="5">
        <v>1.5</v>
      </c>
      <c r="N282" s="5">
        <v>10</v>
      </c>
      <c r="O282" s="5">
        <f t="shared" si="1827"/>
        <v>41799</v>
      </c>
      <c r="P282" s="5">
        <f t="shared" si="1828"/>
        <v>228096000</v>
      </c>
      <c r="Q282" s="5">
        <f t="shared" si="1829"/>
        <v>3801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70091</v>
      </c>
      <c r="X282" s="6" t="s">
        <v>187</v>
      </c>
      <c r="Y282" s="5">
        <v>300</v>
      </c>
      <c r="Z282" s="5">
        <v>1</v>
      </c>
      <c r="AA282" s="5">
        <v>36575764</v>
      </c>
      <c r="AB282" s="16" t="s">
        <v>111</v>
      </c>
      <c r="AC282" s="7" t="s">
        <v>112</v>
      </c>
      <c r="AD282" s="7" t="s">
        <v>112</v>
      </c>
      <c r="AE282" s="7" t="s">
        <v>112</v>
      </c>
      <c r="AF282" s="6" t="s">
        <v>113</v>
      </c>
      <c r="AG282" s="26" t="str">
        <f t="shared" ref="AG282" si="1992">CM$12</f>
        <v>4,33,28,33,6,4,33,28,33,6</v>
      </c>
      <c r="AH282" s="26" t="str">
        <f t="shared" ref="AH282" si="1993">CN$12</f>
        <v>0,5,0,5,1,0,5,0,5,1</v>
      </c>
      <c r="AI282" s="26" t="str">
        <f t="shared" ref="AI282" si="1994">CO$12</f>
        <v>0,0,0,0,1,0,0,0,0,1</v>
      </c>
      <c r="AJ282" s="26" t="str">
        <f t="shared" ref="AJ282" si="1995">CP$12</f>
        <v>0,0,0,0,5,0,0,0,0,5</v>
      </c>
      <c r="AK282" s="26" t="str">
        <f t="shared" ref="AK282" si="1996">CQ$12</f>
        <v>100,1,1000,2,5,200,1,1000,2,5</v>
      </c>
      <c r="AL282" s="26" t="str">
        <f t="shared" ref="AL282" si="1997">CR$12</f>
        <v>5,5,5,5,5,5,5,5,5,5</v>
      </c>
      <c r="AM282" s="7">
        <v>2001</v>
      </c>
      <c r="AO282">
        <f t="shared" ref="AO282" si="1998">AQ282*100+9</f>
        <v>3109</v>
      </c>
      <c r="AP282">
        <v>278</v>
      </c>
      <c r="AQ282">
        <f t="shared" si="1837"/>
        <v>31</v>
      </c>
      <c r="AR282" s="17">
        <v>8</v>
      </c>
      <c r="AS282" s="17">
        <f t="shared" si="1918"/>
        <v>230</v>
      </c>
      <c r="AT282" s="17">
        <v>7</v>
      </c>
      <c r="AU282">
        <f t="shared" si="1838"/>
        <v>26</v>
      </c>
      <c r="AV282">
        <v>150</v>
      </c>
      <c r="AW282">
        <f t="shared" si="1839"/>
        <v>41799.352320000005</v>
      </c>
      <c r="AX282">
        <f t="shared" si="1968"/>
        <v>228096000</v>
      </c>
      <c r="AY282">
        <f t="shared" si="1840"/>
        <v>3801.6</v>
      </c>
      <c r="AZ282">
        <f t="shared" si="1841"/>
        <v>7603.2</v>
      </c>
      <c r="BA282">
        <f t="shared" si="1842"/>
        <v>50688.000000000007</v>
      </c>
      <c r="BB282">
        <f t="shared" si="1843"/>
        <v>1900.8</v>
      </c>
      <c r="BC282">
        <f t="shared" si="1969"/>
        <v>228096000</v>
      </c>
      <c r="BD282">
        <f t="shared" si="1844"/>
        <v>0.29411764705882354</v>
      </c>
      <c r="BE282" s="27">
        <f t="shared" si="1970"/>
        <v>154782661.01760003</v>
      </c>
      <c r="BF282" s="30">
        <f t="shared" si="1845"/>
        <v>0.37439999999999996</v>
      </c>
      <c r="BG282" s="27"/>
      <c r="BH282" s="27"/>
      <c r="BI282" s="27"/>
      <c r="CA282" s="20">
        <f t="shared" si="1846"/>
        <v>250</v>
      </c>
      <c r="CB282" s="20">
        <f t="shared" si="1847"/>
        <v>25000</v>
      </c>
    </row>
    <row r="283" spans="1:80" x14ac:dyDescent="0.15">
      <c r="A283">
        <v>3201</v>
      </c>
      <c r="B283" s="3" t="s">
        <v>108</v>
      </c>
      <c r="C283" s="4" t="s">
        <v>109</v>
      </c>
      <c r="D283" s="4" t="s">
        <v>110</v>
      </c>
      <c r="E283" s="5">
        <v>3</v>
      </c>
      <c r="F283" s="7" t="s">
        <v>141</v>
      </c>
      <c r="G283" s="5">
        <v>2.5</v>
      </c>
      <c r="H283" s="7" t="s">
        <v>194</v>
      </c>
      <c r="I283" s="5">
        <v>0</v>
      </c>
      <c r="J283" s="5">
        <v>0</v>
      </c>
      <c r="K283">
        <v>2</v>
      </c>
      <c r="L283">
        <v>1.5</v>
      </c>
      <c r="M283" s="5">
        <v>1.5</v>
      </c>
      <c r="N283" s="5">
        <v>10</v>
      </c>
      <c r="O283" s="5">
        <f t="shared" si="1827"/>
        <v>35765</v>
      </c>
      <c r="P283" s="5">
        <f t="shared" si="1828"/>
        <v>194832000</v>
      </c>
      <c r="Q283" s="5">
        <f t="shared" si="1829"/>
        <v>3247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70011</v>
      </c>
      <c r="X283" s="6" t="s">
        <v>179</v>
      </c>
      <c r="Y283" s="5">
        <v>300</v>
      </c>
      <c r="Z283" s="5">
        <v>1</v>
      </c>
      <c r="AA283" s="5">
        <v>38338201</v>
      </c>
      <c r="AB283" s="16" t="s">
        <v>111</v>
      </c>
      <c r="AC283" s="7" t="s">
        <v>112</v>
      </c>
      <c r="AD283" s="7" t="s">
        <v>112</v>
      </c>
      <c r="AE283" s="7" t="s">
        <v>112</v>
      </c>
      <c r="AF283" s="6" t="s">
        <v>113</v>
      </c>
      <c r="AG283" s="26" t="str">
        <f t="shared" ref="AG283" si="1999">CM$4</f>
        <v>4,33,28,33,6,4,33,28,33,6</v>
      </c>
      <c r="AH283" s="26" t="str">
        <f t="shared" ref="AH283" si="2000">CN$4</f>
        <v>0,8,0,8,1,0,8,0,8,1</v>
      </c>
      <c r="AI283" s="26" t="str">
        <f t="shared" ref="AI283" si="2001">CO$4</f>
        <v>0,0,0,0,1,0,0,0,0,1</v>
      </c>
      <c r="AJ283" s="26" t="str">
        <f t="shared" ref="AJ283" si="2002">CP$4</f>
        <v>0,0,0,0,5,0,0,0,0,5</v>
      </c>
      <c r="AK283" s="26" t="str">
        <f t="shared" ref="AK283" si="2003">CQ$4</f>
        <v>100,1,1000,2,5,200,1,1000,2,5</v>
      </c>
      <c r="AL283" s="26" t="str">
        <f t="shared" ref="AL283" si="2004">CR$4</f>
        <v>5,5,5,5,5,5,5,5,5,5</v>
      </c>
      <c r="AM283" s="7">
        <v>2001</v>
      </c>
      <c r="AO283">
        <f t="shared" ref="AO283" si="2005">AQ283*100+1</f>
        <v>3201</v>
      </c>
      <c r="AP283">
        <v>279</v>
      </c>
      <c r="AQ283">
        <f t="shared" si="1837"/>
        <v>32</v>
      </c>
      <c r="AR283" s="17">
        <v>8</v>
      </c>
      <c r="AS283" s="17">
        <f t="shared" si="1918"/>
        <v>195</v>
      </c>
      <c r="AT283" s="17">
        <v>7</v>
      </c>
      <c r="AU283">
        <f t="shared" si="1838"/>
        <v>26</v>
      </c>
      <c r="AV283">
        <v>150</v>
      </c>
      <c r="AW283">
        <f t="shared" si="1839"/>
        <v>35765.95968</v>
      </c>
      <c r="AX283">
        <f t="shared" si="1968"/>
        <v>194832000.00000003</v>
      </c>
      <c r="AY283">
        <f t="shared" si="1840"/>
        <v>3247.2000000000003</v>
      </c>
      <c r="AZ283">
        <f t="shared" si="1841"/>
        <v>6494.4000000000005</v>
      </c>
      <c r="BA283">
        <f t="shared" si="1842"/>
        <v>43296</v>
      </c>
      <c r="BB283">
        <f t="shared" si="1843"/>
        <v>1623.6000000000001</v>
      </c>
      <c r="BC283">
        <f t="shared" si="1969"/>
        <v>194832000.00000003</v>
      </c>
      <c r="BD283">
        <f t="shared" si="1844"/>
        <v>0.29411764705882354</v>
      </c>
      <c r="BE283" s="27">
        <f t="shared" si="1970"/>
        <v>112929536.96640004</v>
      </c>
      <c r="BF283" s="30">
        <f t="shared" si="1845"/>
        <v>0.37679999999999997</v>
      </c>
      <c r="BG283" s="27"/>
      <c r="BH283" s="27"/>
      <c r="BI283" s="27"/>
      <c r="CA283" s="20">
        <f t="shared" si="1846"/>
        <v>255</v>
      </c>
      <c r="CB283" s="20">
        <f t="shared" si="1847"/>
        <v>25500</v>
      </c>
    </row>
    <row r="284" spans="1:80" x14ac:dyDescent="0.15">
      <c r="A284">
        <v>3202</v>
      </c>
      <c r="B284" s="3" t="s">
        <v>115</v>
      </c>
      <c r="C284" s="4" t="s">
        <v>109</v>
      </c>
      <c r="D284" s="6" t="s">
        <v>110</v>
      </c>
      <c r="E284" s="5">
        <v>3</v>
      </c>
      <c r="F284" s="7" t="s">
        <v>142</v>
      </c>
      <c r="G284" s="5">
        <v>3</v>
      </c>
      <c r="H284" s="7" t="s">
        <v>188</v>
      </c>
      <c r="I284" s="5">
        <v>0</v>
      </c>
      <c r="J284" s="5">
        <v>0</v>
      </c>
      <c r="K284">
        <v>2</v>
      </c>
      <c r="L284">
        <v>1.5</v>
      </c>
      <c r="M284" s="5">
        <v>1.5</v>
      </c>
      <c r="N284" s="5">
        <v>10</v>
      </c>
      <c r="O284" s="5">
        <f t="shared" si="1827"/>
        <v>36638</v>
      </c>
      <c r="P284" s="5">
        <f t="shared" si="1828"/>
        <v>199584000</v>
      </c>
      <c r="Q284" s="5">
        <f t="shared" si="1829"/>
        <v>3326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70021</v>
      </c>
      <c r="X284" s="6" t="s">
        <v>180</v>
      </c>
      <c r="Y284" s="5">
        <v>300</v>
      </c>
      <c r="Z284" s="5">
        <v>1</v>
      </c>
      <c r="AA284" s="5">
        <v>26871990</v>
      </c>
      <c r="AB284" s="16" t="s">
        <v>111</v>
      </c>
      <c r="AC284" s="7" t="s">
        <v>112</v>
      </c>
      <c r="AD284" s="7" t="s">
        <v>112</v>
      </c>
      <c r="AE284" s="7" t="s">
        <v>112</v>
      </c>
      <c r="AF284" s="6" t="s">
        <v>113</v>
      </c>
      <c r="AG284" s="26" t="str">
        <f t="shared" ref="AG284" si="2006">CM$5</f>
        <v>4,33,28,33,6,4,33,28,33,6</v>
      </c>
      <c r="AH284" s="26" t="str">
        <f t="shared" ref="AH284" si="2007">CN$5</f>
        <v>0,7,0,7,1,0,7,0,7,1</v>
      </c>
      <c r="AI284" s="26" t="str">
        <f t="shared" ref="AI284" si="2008">CO$5</f>
        <v>0,0,0,0,1,0,0,0,0,1</v>
      </c>
      <c r="AJ284" s="26" t="str">
        <f t="shared" ref="AJ284" si="2009">CP$5</f>
        <v>0,0,0,0,5,0,0,0,0,5</v>
      </c>
      <c r="AK284" s="26" t="str">
        <f t="shared" ref="AK284" si="2010">CQ$5</f>
        <v>100,1,1000,2,5,200,1,1000,2,5</v>
      </c>
      <c r="AL284" s="26" t="str">
        <f t="shared" ref="AL284" si="2011">CR$5</f>
        <v>5,5,5,5,5,5,5,5,5,5</v>
      </c>
      <c r="AM284" s="7">
        <v>2001</v>
      </c>
      <c r="AO284">
        <f t="shared" ref="AO284" si="2012">AQ284*100+2</f>
        <v>3202</v>
      </c>
      <c r="AP284">
        <v>280</v>
      </c>
      <c r="AQ284">
        <f t="shared" si="1837"/>
        <v>32</v>
      </c>
      <c r="AR284" s="17">
        <v>8</v>
      </c>
      <c r="AS284" s="17">
        <f t="shared" si="1918"/>
        <v>200</v>
      </c>
      <c r="AT284" s="17">
        <v>7</v>
      </c>
      <c r="AU284">
        <f t="shared" si="1838"/>
        <v>26</v>
      </c>
      <c r="AV284">
        <v>150</v>
      </c>
      <c r="AW284">
        <f t="shared" si="1839"/>
        <v>36638.300159999999</v>
      </c>
      <c r="AX284">
        <f t="shared" si="1968"/>
        <v>199584000.00000003</v>
      </c>
      <c r="AY284">
        <f t="shared" si="1840"/>
        <v>3326.4000000000005</v>
      </c>
      <c r="AZ284">
        <f t="shared" si="1841"/>
        <v>6652.8000000000011</v>
      </c>
      <c r="BA284">
        <f t="shared" si="1842"/>
        <v>44352</v>
      </c>
      <c r="BB284">
        <f t="shared" si="1843"/>
        <v>1663.2000000000003</v>
      </c>
      <c r="BC284">
        <f t="shared" si="1969"/>
        <v>199584000.00000003</v>
      </c>
      <c r="BD284">
        <f t="shared" si="1844"/>
        <v>0.29411764705882359</v>
      </c>
      <c r="BE284" s="27">
        <f t="shared" si="1970"/>
        <v>118505474.84160005</v>
      </c>
      <c r="BF284" s="30">
        <f t="shared" si="1845"/>
        <v>0.37679999999999997</v>
      </c>
      <c r="BG284" s="27"/>
      <c r="BH284" s="27"/>
      <c r="BI284" s="27"/>
      <c r="CA284" s="20">
        <f t="shared" si="1846"/>
        <v>255</v>
      </c>
      <c r="CB284" s="20">
        <f t="shared" si="1847"/>
        <v>25500</v>
      </c>
    </row>
    <row r="285" spans="1:80" x14ac:dyDescent="0.15">
      <c r="A285">
        <v>3203</v>
      </c>
      <c r="B285" s="3" t="s">
        <v>117</v>
      </c>
      <c r="C285" s="4" t="s">
        <v>109</v>
      </c>
      <c r="D285" s="4" t="s">
        <v>110</v>
      </c>
      <c r="E285" s="5">
        <v>1</v>
      </c>
      <c r="F285" s="7" t="s">
        <v>144</v>
      </c>
      <c r="G285" s="5">
        <v>3</v>
      </c>
      <c r="H285" s="7" t="s">
        <v>189</v>
      </c>
      <c r="I285" s="5">
        <v>0</v>
      </c>
      <c r="J285" s="2">
        <v>0</v>
      </c>
      <c r="K285">
        <v>6</v>
      </c>
      <c r="L285">
        <v>1.5</v>
      </c>
      <c r="M285" s="5">
        <v>1.5</v>
      </c>
      <c r="N285" s="5">
        <v>10</v>
      </c>
      <c r="O285" s="5">
        <f t="shared" si="1827"/>
        <v>37510</v>
      </c>
      <c r="P285" s="5">
        <f t="shared" si="1828"/>
        <v>204336000</v>
      </c>
      <c r="Q285" s="5">
        <f t="shared" si="1829"/>
        <v>3405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70031</v>
      </c>
      <c r="X285" s="6" t="s">
        <v>181</v>
      </c>
      <c r="Y285" s="5">
        <v>300</v>
      </c>
      <c r="Z285" s="5">
        <v>1</v>
      </c>
      <c r="AA285" s="5">
        <v>28385613</v>
      </c>
      <c r="AB285" s="16" t="s">
        <v>111</v>
      </c>
      <c r="AC285" s="7" t="s">
        <v>112</v>
      </c>
      <c r="AD285" s="7" t="s">
        <v>112</v>
      </c>
      <c r="AE285" s="7" t="s">
        <v>112</v>
      </c>
      <c r="AF285" s="6" t="s">
        <v>113</v>
      </c>
      <c r="AG285" s="26" t="str">
        <f t="shared" ref="AG285" si="2013">CM$6</f>
        <v>4,28,6,28,6,4,28,6,28,6</v>
      </c>
      <c r="AH285" s="26" t="str">
        <f t="shared" ref="AH285" si="2014">CN$6</f>
        <v>0,0,1,0,1,0,0,1,0,1</v>
      </c>
      <c r="AI285" s="26" t="str">
        <f t="shared" ref="AI285" si="2015">CO$6</f>
        <v>0,0,0,0,1,0,0,0,0,1</v>
      </c>
      <c r="AJ285" s="26" t="str">
        <f t="shared" ref="AJ285" si="2016">CP$6</f>
        <v>0,0,5,0,5,0,0,5,0,5</v>
      </c>
      <c r="AK285" s="26" t="str">
        <f t="shared" ref="AK285" si="2017">CQ$6</f>
        <v>100,1000,5,1500,5,200,1000,5,1500,5</v>
      </c>
      <c r="AL285" s="26" t="str">
        <f t="shared" ref="AL285" si="2018">CR$6</f>
        <v>5,5,5,5,5,5,5,5,5,5</v>
      </c>
      <c r="AM285" s="7">
        <v>2001</v>
      </c>
      <c r="AO285">
        <f t="shared" ref="AO285" si="2019">AQ285*100+3</f>
        <v>3203</v>
      </c>
      <c r="AP285">
        <v>281</v>
      </c>
      <c r="AQ285">
        <f t="shared" si="1837"/>
        <v>32</v>
      </c>
      <c r="AR285" s="17">
        <v>8</v>
      </c>
      <c r="AS285" s="17">
        <f t="shared" si="1918"/>
        <v>205</v>
      </c>
      <c r="AT285" s="17">
        <v>7</v>
      </c>
      <c r="AU285">
        <f t="shared" si="1838"/>
        <v>26</v>
      </c>
      <c r="AV285">
        <v>150</v>
      </c>
      <c r="AW285">
        <f t="shared" si="1839"/>
        <v>37510.640639999998</v>
      </c>
      <c r="AX285">
        <f t="shared" si="1968"/>
        <v>204336000.00000003</v>
      </c>
      <c r="AY285">
        <f t="shared" si="1840"/>
        <v>3405.6000000000004</v>
      </c>
      <c r="AZ285">
        <f t="shared" si="1841"/>
        <v>6811.2000000000007</v>
      </c>
      <c r="BA285">
        <f t="shared" si="1842"/>
        <v>45408</v>
      </c>
      <c r="BB285">
        <f t="shared" si="1843"/>
        <v>1702.8000000000002</v>
      </c>
      <c r="BC285">
        <f t="shared" si="1969"/>
        <v>204336000.00000003</v>
      </c>
      <c r="BD285">
        <f t="shared" si="1844"/>
        <v>0.29411764705882348</v>
      </c>
      <c r="BE285" s="27">
        <f t="shared" si="1970"/>
        <v>124215772.66560005</v>
      </c>
      <c r="BF285" s="30">
        <f t="shared" si="1845"/>
        <v>0.37679999999999997</v>
      </c>
      <c r="BG285" s="27"/>
      <c r="BH285" s="27"/>
      <c r="BI285" s="27"/>
      <c r="CA285" s="20">
        <f t="shared" si="1846"/>
        <v>255</v>
      </c>
      <c r="CB285" s="20">
        <f t="shared" si="1847"/>
        <v>25500</v>
      </c>
    </row>
    <row r="286" spans="1:80" x14ac:dyDescent="0.15">
      <c r="A286">
        <v>3204</v>
      </c>
      <c r="B286" s="3" t="s">
        <v>119</v>
      </c>
      <c r="C286" s="4" t="s">
        <v>109</v>
      </c>
      <c r="D286" s="6" t="s">
        <v>120</v>
      </c>
      <c r="E286" s="5">
        <v>3</v>
      </c>
      <c r="F286" s="7" t="s">
        <v>145</v>
      </c>
      <c r="G286" s="5">
        <v>3</v>
      </c>
      <c r="H286" s="7" t="s">
        <v>190</v>
      </c>
      <c r="I286" s="5">
        <v>0</v>
      </c>
      <c r="J286" s="5">
        <v>0</v>
      </c>
      <c r="K286">
        <v>2</v>
      </c>
      <c r="L286">
        <v>1.5</v>
      </c>
      <c r="M286" s="5">
        <v>1.5</v>
      </c>
      <c r="N286" s="5">
        <v>10</v>
      </c>
      <c r="O286" s="5">
        <f t="shared" si="1827"/>
        <v>38382</v>
      </c>
      <c r="P286" s="5">
        <f t="shared" si="1828"/>
        <v>209088000</v>
      </c>
      <c r="Q286" s="5">
        <f t="shared" si="1829"/>
        <v>3484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70041</v>
      </c>
      <c r="X286" s="6" t="s">
        <v>182</v>
      </c>
      <c r="Y286" s="5">
        <v>300</v>
      </c>
      <c r="Z286" s="5">
        <v>1</v>
      </c>
      <c r="AA286" s="5">
        <v>29940705</v>
      </c>
      <c r="AB286" s="16" t="s">
        <v>111</v>
      </c>
      <c r="AC286" s="7" t="s">
        <v>112</v>
      </c>
      <c r="AD286" s="7" t="s">
        <v>112</v>
      </c>
      <c r="AE286" s="7" t="s">
        <v>112</v>
      </c>
      <c r="AF286" s="6" t="s">
        <v>113</v>
      </c>
      <c r="AG286" s="26" t="str">
        <f t="shared" ref="AG286" si="2020">CM$7</f>
        <v>4,14,28,14,6,4,14,28,14,6</v>
      </c>
      <c r="AH286" s="26" t="str">
        <f t="shared" ref="AH286" si="2021">CN$7</f>
        <v>0,0,0,0,1,0,0,0,0,1</v>
      </c>
      <c r="AI286" s="26" t="str">
        <f t="shared" ref="AI286" si="2022">CO$7</f>
        <v>0,0,0,0,1,0,0,0,0,1</v>
      </c>
      <c r="AJ286" s="26" t="str">
        <f t="shared" ref="AJ286" si="2023">CP$7</f>
        <v>0,0,0,0,5,0,0,0,0,5</v>
      </c>
      <c r="AK286" s="26" t="str">
        <f t="shared" ref="AK286" si="2024">CQ$7</f>
        <v>100,1,1000,2,5,200,1,1000,2,5</v>
      </c>
      <c r="AL286" s="26" t="str">
        <f t="shared" ref="AL286" si="2025">CR$7</f>
        <v>5,5,5,5,5,5,5,5,5,5</v>
      </c>
      <c r="AM286" s="7">
        <v>2001</v>
      </c>
      <c r="AO286">
        <f t="shared" ref="AO286" si="2026">AQ286*100+4</f>
        <v>3204</v>
      </c>
      <c r="AP286">
        <v>282</v>
      </c>
      <c r="AQ286">
        <f t="shared" si="1837"/>
        <v>32</v>
      </c>
      <c r="AR286" s="17">
        <v>8</v>
      </c>
      <c r="AS286" s="17">
        <f t="shared" si="1918"/>
        <v>210</v>
      </c>
      <c r="AT286" s="17">
        <v>7</v>
      </c>
      <c r="AU286">
        <f t="shared" si="1838"/>
        <v>26</v>
      </c>
      <c r="AV286">
        <v>150</v>
      </c>
      <c r="AW286">
        <f t="shared" si="1839"/>
        <v>38382.981119999997</v>
      </c>
      <c r="AX286">
        <f t="shared" si="1968"/>
        <v>209088000.00000003</v>
      </c>
      <c r="AY286">
        <f t="shared" si="1840"/>
        <v>3484.8000000000006</v>
      </c>
      <c r="AZ286">
        <f t="shared" si="1841"/>
        <v>6969.6000000000013</v>
      </c>
      <c r="BA286">
        <f t="shared" si="1842"/>
        <v>46464</v>
      </c>
      <c r="BB286">
        <f t="shared" si="1843"/>
        <v>1742.4000000000003</v>
      </c>
      <c r="BC286">
        <f t="shared" si="1969"/>
        <v>209088000.00000003</v>
      </c>
      <c r="BD286">
        <f t="shared" si="1844"/>
        <v>0.29411764705882354</v>
      </c>
      <c r="BE286" s="27">
        <f t="shared" si="1970"/>
        <v>130060430.43840007</v>
      </c>
      <c r="BF286" s="30">
        <f t="shared" si="1845"/>
        <v>0.37679999999999997</v>
      </c>
      <c r="BG286" s="27"/>
      <c r="BH286" s="27"/>
      <c r="BI286" s="27"/>
      <c r="CA286" s="20">
        <f t="shared" si="1846"/>
        <v>255</v>
      </c>
      <c r="CB286" s="20">
        <f t="shared" si="1847"/>
        <v>25500</v>
      </c>
    </row>
    <row r="287" spans="1:80" x14ac:dyDescent="0.15">
      <c r="A287">
        <v>3205</v>
      </c>
      <c r="B287" s="3" t="s">
        <v>122</v>
      </c>
      <c r="C287" s="4" t="s">
        <v>109</v>
      </c>
      <c r="D287" s="4" t="s">
        <v>110</v>
      </c>
      <c r="E287" s="5">
        <v>2</v>
      </c>
      <c r="F287" s="7" t="s">
        <v>146</v>
      </c>
      <c r="G287" s="5">
        <v>3</v>
      </c>
      <c r="H287" s="7" t="s">
        <v>191</v>
      </c>
      <c r="I287" s="5">
        <v>0</v>
      </c>
      <c r="J287" s="7" t="s">
        <v>148</v>
      </c>
      <c r="K287">
        <v>6</v>
      </c>
      <c r="L287">
        <v>1.5</v>
      </c>
      <c r="M287" s="5">
        <v>1.5</v>
      </c>
      <c r="N287" s="5">
        <v>10</v>
      </c>
      <c r="O287" s="5">
        <f t="shared" si="1827"/>
        <v>39255</v>
      </c>
      <c r="P287" s="5">
        <f t="shared" si="1828"/>
        <v>213840000</v>
      </c>
      <c r="Q287" s="5">
        <f t="shared" si="1829"/>
        <v>3564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70051</v>
      </c>
      <c r="X287" s="6" t="s">
        <v>183</v>
      </c>
      <c r="Y287" s="5">
        <v>300</v>
      </c>
      <c r="Z287" s="5">
        <v>1</v>
      </c>
      <c r="AA287" s="5">
        <v>31537266</v>
      </c>
      <c r="AB287" s="16" t="s">
        <v>111</v>
      </c>
      <c r="AC287" s="7" t="s">
        <v>112</v>
      </c>
      <c r="AD287" s="7" t="s">
        <v>112</v>
      </c>
      <c r="AE287" s="7" t="s">
        <v>112</v>
      </c>
      <c r="AF287" s="6" t="s">
        <v>113</v>
      </c>
      <c r="AG287" s="26" t="str">
        <f t="shared" ref="AG287" si="2027">CM$8</f>
        <v>4,19,28,19,6,4,19,28,19,6</v>
      </c>
      <c r="AH287" s="26" t="str">
        <f t="shared" ref="AH287" si="2028">CN$8</f>
        <v>0,0,0,0,1,0,0,0,0,1</v>
      </c>
      <c r="AI287" s="26" t="str">
        <f t="shared" ref="AI287" si="2029">CO$8</f>
        <v>0,0,0,0,1,0,0,0,0,1</v>
      </c>
      <c r="AJ287" s="26" t="str">
        <f t="shared" ref="AJ287" si="2030">CP$8</f>
        <v>0,0,0,0,5,0,0,0,0,5</v>
      </c>
      <c r="AK287" s="26" t="str">
        <f t="shared" ref="AK287" si="2031">CQ$8</f>
        <v>200,100,1000,200,5,200,100,1000,200,5</v>
      </c>
      <c r="AL287" s="26" t="str">
        <f t="shared" ref="AL287" si="2032">CR$8</f>
        <v>5,5,5,5,5,5,5,5,5,5</v>
      </c>
      <c r="AM287" s="7">
        <v>2001</v>
      </c>
      <c r="AO287">
        <f t="shared" ref="AO287" si="2033">AQ287*100+5</f>
        <v>3205</v>
      </c>
      <c r="AP287">
        <v>283</v>
      </c>
      <c r="AQ287">
        <f t="shared" si="1837"/>
        <v>32</v>
      </c>
      <c r="AR287" s="17">
        <v>8</v>
      </c>
      <c r="AS287" s="17">
        <f t="shared" si="1918"/>
        <v>215</v>
      </c>
      <c r="AT287" s="17">
        <v>7</v>
      </c>
      <c r="AU287">
        <f t="shared" si="1838"/>
        <v>26</v>
      </c>
      <c r="AV287">
        <v>150</v>
      </c>
      <c r="AW287">
        <f t="shared" si="1839"/>
        <v>39255.321600000003</v>
      </c>
      <c r="AX287">
        <f t="shared" si="1968"/>
        <v>213840000.00000003</v>
      </c>
      <c r="AY287">
        <f t="shared" si="1840"/>
        <v>3564.0000000000005</v>
      </c>
      <c r="AZ287">
        <f t="shared" si="1841"/>
        <v>7128.0000000000009</v>
      </c>
      <c r="BA287">
        <f t="shared" si="1842"/>
        <v>47520.000000000007</v>
      </c>
      <c r="BB287">
        <f t="shared" si="1843"/>
        <v>1782.0000000000002</v>
      </c>
      <c r="BC287">
        <f t="shared" si="1969"/>
        <v>213840000.00000003</v>
      </c>
      <c r="BD287">
        <f t="shared" si="1844"/>
        <v>0.29411764705882354</v>
      </c>
      <c r="BE287" s="27">
        <f t="shared" si="1970"/>
        <v>136039448.16000006</v>
      </c>
      <c r="BF287" s="30">
        <f t="shared" si="1845"/>
        <v>0.37679999999999997</v>
      </c>
      <c r="BG287" s="27"/>
      <c r="BH287" s="27"/>
      <c r="BI287" s="27"/>
      <c r="CA287" s="20">
        <f t="shared" si="1846"/>
        <v>255</v>
      </c>
      <c r="CB287" s="20">
        <f t="shared" si="1847"/>
        <v>25500</v>
      </c>
    </row>
    <row r="288" spans="1:80" x14ac:dyDescent="0.15">
      <c r="A288">
        <v>3206</v>
      </c>
      <c r="B288" s="3" t="s">
        <v>124</v>
      </c>
      <c r="C288" s="4" t="s">
        <v>109</v>
      </c>
      <c r="D288" s="6" t="s">
        <v>120</v>
      </c>
      <c r="E288" s="5">
        <v>1</v>
      </c>
      <c r="F288" s="7" t="s">
        <v>147</v>
      </c>
      <c r="G288" s="5">
        <v>3</v>
      </c>
      <c r="H288" s="7" t="s">
        <v>192</v>
      </c>
      <c r="I288" s="5">
        <v>0</v>
      </c>
      <c r="J288" s="7" t="s">
        <v>149</v>
      </c>
      <c r="K288">
        <v>6</v>
      </c>
      <c r="L288">
        <v>1.5</v>
      </c>
      <c r="M288" s="5">
        <v>1.5</v>
      </c>
      <c r="N288" s="5">
        <v>10</v>
      </c>
      <c r="O288" s="5">
        <f t="shared" si="1827"/>
        <v>40127</v>
      </c>
      <c r="P288" s="5">
        <f t="shared" si="1828"/>
        <v>218592000</v>
      </c>
      <c r="Q288" s="5">
        <f t="shared" si="1829"/>
        <v>3643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70061</v>
      </c>
      <c r="X288" s="6" t="s">
        <v>184</v>
      </c>
      <c r="Y288" s="5">
        <v>300</v>
      </c>
      <c r="Z288" s="5">
        <v>1</v>
      </c>
      <c r="AA288" s="5">
        <v>33175296</v>
      </c>
      <c r="AB288" s="16" t="s">
        <v>111</v>
      </c>
      <c r="AC288" s="7" t="s">
        <v>112</v>
      </c>
      <c r="AD288" s="7" t="s">
        <v>112</v>
      </c>
      <c r="AE288" s="7" t="s">
        <v>112</v>
      </c>
      <c r="AF288" s="6" t="s">
        <v>113</v>
      </c>
      <c r="AG288" s="26" t="str">
        <f t="shared" ref="AG288" si="2034">CM$9</f>
        <v>4,33,28,33,6,4,33,28,33,6</v>
      </c>
      <c r="AH288" s="26" t="str">
        <f t="shared" ref="AH288" si="2035">CN$9</f>
        <v>0,6,0,6,1,0,6,0,6,1</v>
      </c>
      <c r="AI288" s="26" t="str">
        <f t="shared" ref="AI288" si="2036">CO$9</f>
        <v>0,0,0,0,1,0,0,0,0,1</v>
      </c>
      <c r="AJ288" s="26" t="str">
        <f t="shared" ref="AJ288" si="2037">CP$9</f>
        <v>0,0,0,0,5,0,0,0,0,5</v>
      </c>
      <c r="AK288" s="26" t="str">
        <f t="shared" ref="AK288" si="2038">CQ$9</f>
        <v>200,1,1000,2,5,200,1,1000,2,5</v>
      </c>
      <c r="AL288" s="26" t="str">
        <f t="shared" ref="AL288" si="2039">CR$9</f>
        <v>5,5,5,5,5,5,5,5,5,5</v>
      </c>
      <c r="AM288" s="7">
        <v>2001</v>
      </c>
      <c r="AO288">
        <f t="shared" ref="AO288" si="2040">AQ288*100+6</f>
        <v>3206</v>
      </c>
      <c r="AP288">
        <v>284</v>
      </c>
      <c r="AQ288">
        <f t="shared" si="1837"/>
        <v>32</v>
      </c>
      <c r="AR288" s="17">
        <v>8</v>
      </c>
      <c r="AS288" s="17">
        <f t="shared" si="1918"/>
        <v>220</v>
      </c>
      <c r="AT288" s="17">
        <v>7</v>
      </c>
      <c r="AU288">
        <f t="shared" si="1838"/>
        <v>26</v>
      </c>
      <c r="AV288">
        <v>150</v>
      </c>
      <c r="AW288">
        <f t="shared" si="1839"/>
        <v>40127.662080000002</v>
      </c>
      <c r="AX288">
        <f t="shared" si="1968"/>
        <v>218592000.00000003</v>
      </c>
      <c r="AY288">
        <f t="shared" si="1840"/>
        <v>3643.2000000000003</v>
      </c>
      <c r="AZ288">
        <f t="shared" si="1841"/>
        <v>7286.4000000000005</v>
      </c>
      <c r="BA288">
        <f t="shared" si="1842"/>
        <v>48576.000000000007</v>
      </c>
      <c r="BB288">
        <f t="shared" si="1843"/>
        <v>1821.6000000000001</v>
      </c>
      <c r="BC288">
        <f t="shared" si="1969"/>
        <v>218592000.00000003</v>
      </c>
      <c r="BD288">
        <f t="shared" si="1844"/>
        <v>0.29411764705882354</v>
      </c>
      <c r="BE288" s="27">
        <f t="shared" si="1970"/>
        <v>142152825.83040008</v>
      </c>
      <c r="BF288" s="30">
        <f t="shared" si="1845"/>
        <v>0.37679999999999997</v>
      </c>
      <c r="BG288" s="27"/>
      <c r="BH288" s="27"/>
      <c r="BI288" s="27"/>
      <c r="CA288" s="20">
        <f t="shared" si="1846"/>
        <v>255</v>
      </c>
      <c r="CB288" s="20">
        <f t="shared" si="1847"/>
        <v>25500</v>
      </c>
    </row>
    <row r="289" spans="1:80" x14ac:dyDescent="0.15">
      <c r="A289">
        <v>3207</v>
      </c>
      <c r="B289" s="3" t="s">
        <v>126</v>
      </c>
      <c r="C289" s="4" t="s">
        <v>109</v>
      </c>
      <c r="D289" s="4" t="s">
        <v>110</v>
      </c>
      <c r="E289" s="5">
        <v>2</v>
      </c>
      <c r="F289" s="7" t="s">
        <v>143</v>
      </c>
      <c r="G289" s="5">
        <v>3</v>
      </c>
      <c r="H289" s="7" t="s">
        <v>193</v>
      </c>
      <c r="I289" s="5">
        <v>0</v>
      </c>
      <c r="J289" s="5">
        <v>0</v>
      </c>
      <c r="K289">
        <v>2</v>
      </c>
      <c r="L289">
        <v>1.5</v>
      </c>
      <c r="M289" s="5">
        <v>1.5</v>
      </c>
      <c r="N289" s="5">
        <v>10</v>
      </c>
      <c r="O289" s="5">
        <f t="shared" si="1827"/>
        <v>41000</v>
      </c>
      <c r="P289" s="5">
        <f t="shared" si="1828"/>
        <v>223344000</v>
      </c>
      <c r="Q289" s="5">
        <f t="shared" si="1829"/>
        <v>3722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70071</v>
      </c>
      <c r="X289" s="6" t="s">
        <v>185</v>
      </c>
      <c r="Y289" s="5">
        <v>300</v>
      </c>
      <c r="Z289" s="5">
        <v>1</v>
      </c>
      <c r="AA289" s="5">
        <v>34854795</v>
      </c>
      <c r="AB289" s="16" t="s">
        <v>111</v>
      </c>
      <c r="AC289" s="7" t="s">
        <v>112</v>
      </c>
      <c r="AD289" s="7" t="s">
        <v>112</v>
      </c>
      <c r="AE289" s="7" t="s">
        <v>112</v>
      </c>
      <c r="AF289" s="6" t="s">
        <v>113</v>
      </c>
      <c r="AG289" s="26" t="str">
        <f t="shared" ref="AG289" si="2041">CM$10</f>
        <v>4,14,28,14,6,4,14,28,14,6</v>
      </c>
      <c r="AH289" s="26" t="str">
        <f t="shared" ref="AH289" si="2042">CN$10</f>
        <v>0,0,0,0,1,0,0,0,0,1</v>
      </c>
      <c r="AI289" s="26" t="str">
        <f t="shared" ref="AI289" si="2043">CO$10</f>
        <v>0,0,0,0,1,0,0,0,0,1</v>
      </c>
      <c r="AJ289" s="26" t="str">
        <f t="shared" ref="AJ289" si="2044">CP$10</f>
        <v>0,0,0,0,5,0,0,0,0,5</v>
      </c>
      <c r="AK289" s="26" t="str">
        <f t="shared" ref="AK289" si="2045">CQ$10</f>
        <v>200,1,1000,2,5,200,1,1000,2,5</v>
      </c>
      <c r="AL289" s="26" t="str">
        <f t="shared" ref="AL289" si="2046">CR$10</f>
        <v>5,5,5,5,5,5,5,5,5,5</v>
      </c>
      <c r="AM289" s="7">
        <v>2001</v>
      </c>
      <c r="AO289">
        <f t="shared" ref="AO289" si="2047">AQ289*100+7</f>
        <v>3207</v>
      </c>
      <c r="AP289">
        <v>285</v>
      </c>
      <c r="AQ289">
        <f t="shared" si="1837"/>
        <v>32</v>
      </c>
      <c r="AR289" s="17">
        <v>8</v>
      </c>
      <c r="AS289" s="17">
        <f t="shared" si="1918"/>
        <v>225</v>
      </c>
      <c r="AT289" s="17">
        <v>7</v>
      </c>
      <c r="AU289">
        <f t="shared" si="1838"/>
        <v>26</v>
      </c>
      <c r="AV289">
        <v>150</v>
      </c>
      <c r="AW289">
        <f t="shared" si="1839"/>
        <v>41000.002560000008</v>
      </c>
      <c r="AX289">
        <f t="shared" si="1968"/>
        <v>223344000</v>
      </c>
      <c r="AY289">
        <f t="shared" si="1840"/>
        <v>3722.4</v>
      </c>
      <c r="AZ289">
        <f t="shared" si="1841"/>
        <v>7444.8</v>
      </c>
      <c r="BA289">
        <f t="shared" si="1842"/>
        <v>49632.000000000007</v>
      </c>
      <c r="BB289">
        <f t="shared" si="1843"/>
        <v>1861.2</v>
      </c>
      <c r="BC289">
        <f t="shared" si="1969"/>
        <v>223344000</v>
      </c>
      <c r="BD289">
        <f t="shared" si="1844"/>
        <v>0.29411764705882348</v>
      </c>
      <c r="BE289" s="27">
        <f t="shared" si="1970"/>
        <v>148400563.44960001</v>
      </c>
      <c r="BF289" s="30">
        <f t="shared" si="1845"/>
        <v>0.37679999999999997</v>
      </c>
      <c r="BG289" s="27"/>
      <c r="BH289" s="27"/>
      <c r="BI289" s="27"/>
      <c r="CA289" s="20">
        <f t="shared" si="1846"/>
        <v>255</v>
      </c>
      <c r="CB289" s="20">
        <f t="shared" si="1847"/>
        <v>25500</v>
      </c>
    </row>
    <row r="290" spans="1:80" x14ac:dyDescent="0.15">
      <c r="A290">
        <v>3208</v>
      </c>
      <c r="B290" s="3" t="s">
        <v>128</v>
      </c>
      <c r="C290" s="4" t="s">
        <v>109</v>
      </c>
      <c r="D290" s="4" t="s">
        <v>110</v>
      </c>
      <c r="E290" s="5">
        <v>5</v>
      </c>
      <c r="F290" s="7" t="s">
        <v>129</v>
      </c>
      <c r="G290" s="5">
        <v>2</v>
      </c>
      <c r="H290" s="7" t="s">
        <v>130</v>
      </c>
      <c r="I290" s="5">
        <v>0</v>
      </c>
      <c r="J290" s="5">
        <v>0</v>
      </c>
      <c r="K290">
        <v>2</v>
      </c>
      <c r="L290">
        <v>1.5</v>
      </c>
      <c r="M290" s="5">
        <v>1.5</v>
      </c>
      <c r="N290" s="5">
        <v>10</v>
      </c>
      <c r="O290" s="5">
        <f t="shared" si="1827"/>
        <v>41872</v>
      </c>
      <c r="P290" s="5">
        <f t="shared" si="1828"/>
        <v>228096000</v>
      </c>
      <c r="Q290" s="5">
        <f t="shared" si="1829"/>
        <v>3801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70081</v>
      </c>
      <c r="X290" s="6" t="s">
        <v>186</v>
      </c>
      <c r="Y290" s="5">
        <v>300</v>
      </c>
      <c r="Z290" s="5">
        <v>1</v>
      </c>
      <c r="AA290" s="5">
        <v>36575764</v>
      </c>
      <c r="AB290" s="16" t="s">
        <v>111</v>
      </c>
      <c r="AC290" s="7" t="s">
        <v>112</v>
      </c>
      <c r="AD290" s="7" t="s">
        <v>112</v>
      </c>
      <c r="AE290" s="7" t="s">
        <v>112</v>
      </c>
      <c r="AF290" s="6" t="s">
        <v>113</v>
      </c>
      <c r="AG290" s="26" t="str">
        <f t="shared" ref="AG290" si="2048">CM$11</f>
        <v>4,28,6,28,6,4,28,6,28,6</v>
      </c>
      <c r="AH290" s="26" t="str">
        <f t="shared" ref="AH290" si="2049">CN$11</f>
        <v>0,0,1,0,1,0,0,1,0,1</v>
      </c>
      <c r="AI290" s="26" t="str">
        <f t="shared" ref="AI290" si="2050">CO$11</f>
        <v>0,0,1,0,1,0,0,1,0,1</v>
      </c>
      <c r="AJ290" s="26" t="str">
        <f t="shared" ref="AJ290" si="2051">CP$11</f>
        <v>0,0,5,0,5,0,0,5,0,5</v>
      </c>
      <c r="AK290" s="26" t="str">
        <f t="shared" ref="AK290" si="2052">CQ$11</f>
        <v>100,1000,5,1500,5,200,1000,5,1500,5</v>
      </c>
      <c r="AL290" s="26" t="str">
        <f t="shared" ref="AL290" si="2053">CR$11</f>
        <v>5,5,5,5,5,5,5,5,5,5</v>
      </c>
      <c r="AM290" s="7">
        <v>2001</v>
      </c>
      <c r="AO290">
        <f t="shared" ref="AO290" si="2054">AQ290*100+8</f>
        <v>3208</v>
      </c>
      <c r="AP290">
        <v>286</v>
      </c>
      <c r="AQ290">
        <f t="shared" si="1837"/>
        <v>32</v>
      </c>
      <c r="AR290" s="17">
        <v>8</v>
      </c>
      <c r="AS290" s="17">
        <f t="shared" si="1918"/>
        <v>230</v>
      </c>
      <c r="AT290" s="17">
        <v>7</v>
      </c>
      <c r="AU290">
        <f t="shared" si="1838"/>
        <v>26</v>
      </c>
      <c r="AV290">
        <v>150</v>
      </c>
      <c r="AW290">
        <f t="shared" si="1839"/>
        <v>41872.343040000007</v>
      </c>
      <c r="AX290">
        <f t="shared" si="1968"/>
        <v>228096000</v>
      </c>
      <c r="AY290">
        <f t="shared" si="1840"/>
        <v>3801.6</v>
      </c>
      <c r="AZ290">
        <f t="shared" si="1841"/>
        <v>7603.2</v>
      </c>
      <c r="BA290">
        <f t="shared" si="1842"/>
        <v>50688.000000000007</v>
      </c>
      <c r="BB290">
        <f t="shared" si="1843"/>
        <v>1900.8</v>
      </c>
      <c r="BC290">
        <f t="shared" si="1969"/>
        <v>228096000</v>
      </c>
      <c r="BD290">
        <f t="shared" si="1844"/>
        <v>0.29411764705882354</v>
      </c>
      <c r="BE290" s="27">
        <f t="shared" si="1970"/>
        <v>154782661.01760003</v>
      </c>
      <c r="BF290" s="30">
        <f t="shared" si="1845"/>
        <v>0.37679999999999997</v>
      </c>
      <c r="BG290" s="27"/>
      <c r="BH290" s="27"/>
      <c r="BI290" s="27"/>
      <c r="CA290" s="20">
        <f t="shared" si="1846"/>
        <v>255</v>
      </c>
      <c r="CB290" s="20">
        <f t="shared" si="1847"/>
        <v>25500</v>
      </c>
    </row>
    <row r="291" spans="1:80" x14ac:dyDescent="0.15">
      <c r="A291">
        <v>3209</v>
      </c>
      <c r="B291" s="3" t="s">
        <v>132</v>
      </c>
      <c r="C291" s="4" t="s">
        <v>109</v>
      </c>
      <c r="D291" s="4" t="s">
        <v>110</v>
      </c>
      <c r="E291" s="5">
        <v>5</v>
      </c>
      <c r="F291" s="7" t="s">
        <v>140</v>
      </c>
      <c r="G291" s="5">
        <v>3</v>
      </c>
      <c r="H291" s="7" t="s">
        <v>140</v>
      </c>
      <c r="I291" s="5">
        <v>0</v>
      </c>
      <c r="J291" s="7">
        <v>0</v>
      </c>
      <c r="K291">
        <v>6</v>
      </c>
      <c r="L291">
        <v>1.5</v>
      </c>
      <c r="M291" s="5">
        <v>1.5</v>
      </c>
      <c r="N291" s="5">
        <v>10</v>
      </c>
      <c r="O291" s="5">
        <f t="shared" si="1827"/>
        <v>42744</v>
      </c>
      <c r="P291" s="5">
        <f t="shared" si="1828"/>
        <v>232848000</v>
      </c>
      <c r="Q291" s="5">
        <f t="shared" si="1829"/>
        <v>3880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70091</v>
      </c>
      <c r="X291" s="6" t="s">
        <v>187</v>
      </c>
      <c r="Y291" s="5">
        <v>300</v>
      </c>
      <c r="Z291" s="5">
        <v>1</v>
      </c>
      <c r="AA291" s="5">
        <v>38338201</v>
      </c>
      <c r="AB291" s="16" t="s">
        <v>111</v>
      </c>
      <c r="AC291" s="7" t="s">
        <v>112</v>
      </c>
      <c r="AD291" s="7" t="s">
        <v>112</v>
      </c>
      <c r="AE291" s="7" t="s">
        <v>112</v>
      </c>
      <c r="AF291" s="6" t="s">
        <v>113</v>
      </c>
      <c r="AG291" s="26" t="str">
        <f t="shared" ref="AG291" si="2055">CM$12</f>
        <v>4,33,28,33,6,4,33,28,33,6</v>
      </c>
      <c r="AH291" s="26" t="str">
        <f t="shared" ref="AH291" si="2056">CN$12</f>
        <v>0,5,0,5,1,0,5,0,5,1</v>
      </c>
      <c r="AI291" s="26" t="str">
        <f t="shared" ref="AI291" si="2057">CO$12</f>
        <v>0,0,0,0,1,0,0,0,0,1</v>
      </c>
      <c r="AJ291" s="26" t="str">
        <f t="shared" ref="AJ291" si="2058">CP$12</f>
        <v>0,0,0,0,5,0,0,0,0,5</v>
      </c>
      <c r="AK291" s="26" t="str">
        <f t="shared" ref="AK291" si="2059">CQ$12</f>
        <v>100,1,1000,2,5,200,1,1000,2,5</v>
      </c>
      <c r="AL291" s="26" t="str">
        <f t="shared" ref="AL291" si="2060">CR$12</f>
        <v>5,5,5,5,5,5,5,5,5,5</v>
      </c>
      <c r="AM291" s="7">
        <v>2001</v>
      </c>
      <c r="AO291">
        <f t="shared" ref="AO291" si="2061">AQ291*100+9</f>
        <v>3209</v>
      </c>
      <c r="AP291">
        <v>287</v>
      </c>
      <c r="AQ291">
        <f t="shared" si="1837"/>
        <v>32</v>
      </c>
      <c r="AR291" s="17">
        <v>8</v>
      </c>
      <c r="AS291" s="17">
        <f t="shared" si="1918"/>
        <v>235</v>
      </c>
      <c r="AT291" s="17">
        <v>7</v>
      </c>
      <c r="AU291">
        <f t="shared" si="1838"/>
        <v>26</v>
      </c>
      <c r="AV291">
        <v>150</v>
      </c>
      <c r="AW291">
        <f t="shared" si="1839"/>
        <v>42744.683520000006</v>
      </c>
      <c r="AX291">
        <f t="shared" si="1968"/>
        <v>232848000</v>
      </c>
      <c r="AY291">
        <f t="shared" si="1840"/>
        <v>3880.8</v>
      </c>
      <c r="AZ291">
        <f t="shared" si="1841"/>
        <v>7761.6</v>
      </c>
      <c r="BA291">
        <f t="shared" si="1842"/>
        <v>51744.000000000007</v>
      </c>
      <c r="BB291">
        <f t="shared" si="1843"/>
        <v>1940.4</v>
      </c>
      <c r="BC291">
        <f t="shared" si="1969"/>
        <v>232848000</v>
      </c>
      <c r="BD291">
        <f t="shared" si="1844"/>
        <v>0.29411764705882348</v>
      </c>
      <c r="BE291" s="27">
        <f t="shared" si="1970"/>
        <v>161299118.53439999</v>
      </c>
      <c r="BF291" s="30">
        <f t="shared" si="1845"/>
        <v>0.37679999999999997</v>
      </c>
      <c r="BG291" s="27"/>
      <c r="BH291" s="27"/>
      <c r="BI291" s="27"/>
      <c r="CA291" s="20">
        <f t="shared" si="1846"/>
        <v>255</v>
      </c>
      <c r="CB291" s="20">
        <f t="shared" si="1847"/>
        <v>25500</v>
      </c>
    </row>
    <row r="292" spans="1:80" x14ac:dyDescent="0.15">
      <c r="A292">
        <v>3301</v>
      </c>
      <c r="B292" s="3" t="s">
        <v>108</v>
      </c>
      <c r="C292" s="4" t="s">
        <v>109</v>
      </c>
      <c r="D292" s="4" t="s">
        <v>110</v>
      </c>
      <c r="E292" s="5">
        <v>3</v>
      </c>
      <c r="F292" s="7" t="s">
        <v>141</v>
      </c>
      <c r="G292" s="5">
        <v>2.5</v>
      </c>
      <c r="H292" s="7" t="s">
        <v>194</v>
      </c>
      <c r="I292" s="5">
        <v>0</v>
      </c>
      <c r="J292" s="5">
        <v>0</v>
      </c>
      <c r="K292">
        <v>2</v>
      </c>
      <c r="L292">
        <v>1.5</v>
      </c>
      <c r="M292" s="5">
        <v>1.5</v>
      </c>
      <c r="N292" s="5">
        <v>10</v>
      </c>
      <c r="O292" s="5">
        <f t="shared" si="1827"/>
        <v>36702</v>
      </c>
      <c r="P292" s="5">
        <f t="shared" si="1828"/>
        <v>199584000</v>
      </c>
      <c r="Q292" s="5">
        <f t="shared" si="1829"/>
        <v>3326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70011</v>
      </c>
      <c r="X292" s="6" t="s">
        <v>179</v>
      </c>
      <c r="Y292" s="5">
        <v>300</v>
      </c>
      <c r="Z292" s="5">
        <v>1</v>
      </c>
      <c r="AA292" s="5">
        <v>40142108</v>
      </c>
      <c r="AB292" s="16" t="s">
        <v>111</v>
      </c>
      <c r="AC292" s="7" t="s">
        <v>112</v>
      </c>
      <c r="AD292" s="7" t="s">
        <v>112</v>
      </c>
      <c r="AE292" s="7" t="s">
        <v>112</v>
      </c>
      <c r="AF292" s="6" t="s">
        <v>113</v>
      </c>
      <c r="AG292" s="26" t="str">
        <f t="shared" ref="AG292" si="2062">CM$4</f>
        <v>4,33,28,33,6,4,33,28,33,6</v>
      </c>
      <c r="AH292" s="26" t="str">
        <f t="shared" ref="AH292" si="2063">CN$4</f>
        <v>0,8,0,8,1,0,8,0,8,1</v>
      </c>
      <c r="AI292" s="26" t="str">
        <f t="shared" ref="AI292" si="2064">CO$4</f>
        <v>0,0,0,0,1,0,0,0,0,1</v>
      </c>
      <c r="AJ292" s="26" t="str">
        <f t="shared" ref="AJ292" si="2065">CP$4</f>
        <v>0,0,0,0,5,0,0,0,0,5</v>
      </c>
      <c r="AK292" s="26" t="str">
        <f t="shared" ref="AK292" si="2066">CQ$4</f>
        <v>100,1,1000,2,5,200,1,1000,2,5</v>
      </c>
      <c r="AL292" s="26" t="str">
        <f t="shared" ref="AL292" si="2067">CR$4</f>
        <v>5,5,5,5,5,5,5,5,5,5</v>
      </c>
      <c r="AM292" s="7">
        <v>2001</v>
      </c>
      <c r="AO292">
        <f t="shared" ref="AO292" si="2068">AQ292*100+1</f>
        <v>3301</v>
      </c>
      <c r="AP292">
        <v>288</v>
      </c>
      <c r="AQ292">
        <f t="shared" si="1837"/>
        <v>33</v>
      </c>
      <c r="AR292" s="17">
        <v>8</v>
      </c>
      <c r="AS292" s="17">
        <f t="shared" si="1918"/>
        <v>200</v>
      </c>
      <c r="AT292" s="17">
        <v>7</v>
      </c>
      <c r="AU292">
        <f t="shared" si="1838"/>
        <v>26</v>
      </c>
      <c r="AV292">
        <v>150</v>
      </c>
      <c r="AW292">
        <f t="shared" si="1839"/>
        <v>36702.16704</v>
      </c>
      <c r="AX292">
        <f t="shared" si="1968"/>
        <v>199584000.00000003</v>
      </c>
      <c r="AY292">
        <f t="shared" si="1840"/>
        <v>3326.4000000000005</v>
      </c>
      <c r="AZ292">
        <f t="shared" si="1841"/>
        <v>6652.8000000000011</v>
      </c>
      <c r="BA292">
        <f t="shared" si="1842"/>
        <v>44352</v>
      </c>
      <c r="BB292">
        <f t="shared" si="1843"/>
        <v>1663.2000000000003</v>
      </c>
      <c r="BC292">
        <f t="shared" si="1969"/>
        <v>199584000.00000003</v>
      </c>
      <c r="BD292">
        <f t="shared" si="1844"/>
        <v>0.29411764705882359</v>
      </c>
      <c r="BE292" s="27">
        <f t="shared" si="1970"/>
        <v>118505474.84160005</v>
      </c>
      <c r="BF292" s="30">
        <f t="shared" si="1845"/>
        <v>0.37919999999999998</v>
      </c>
      <c r="BG292" s="27"/>
      <c r="BH292" s="27"/>
      <c r="BI292" s="27"/>
      <c r="CA292" s="20">
        <f t="shared" si="1846"/>
        <v>260</v>
      </c>
      <c r="CB292" s="20">
        <f t="shared" si="1847"/>
        <v>26000</v>
      </c>
    </row>
    <row r="293" spans="1:80" x14ac:dyDescent="0.15">
      <c r="A293">
        <v>3302</v>
      </c>
      <c r="B293" s="3" t="s">
        <v>115</v>
      </c>
      <c r="C293" s="4" t="s">
        <v>109</v>
      </c>
      <c r="D293" s="6" t="s">
        <v>110</v>
      </c>
      <c r="E293" s="5">
        <v>3</v>
      </c>
      <c r="F293" s="7" t="s">
        <v>142</v>
      </c>
      <c r="G293" s="5">
        <v>3</v>
      </c>
      <c r="H293" s="7" t="s">
        <v>188</v>
      </c>
      <c r="I293" s="5">
        <v>0</v>
      </c>
      <c r="J293" s="5">
        <v>0</v>
      </c>
      <c r="K293">
        <v>2</v>
      </c>
      <c r="L293">
        <v>1.5</v>
      </c>
      <c r="M293" s="5">
        <v>1.5</v>
      </c>
      <c r="N293" s="5">
        <v>10</v>
      </c>
      <c r="O293" s="5">
        <f t="shared" si="1827"/>
        <v>37576</v>
      </c>
      <c r="P293" s="5">
        <f t="shared" si="1828"/>
        <v>204336000</v>
      </c>
      <c r="Q293" s="5">
        <f t="shared" si="1829"/>
        <v>3405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70021</v>
      </c>
      <c r="X293" s="6" t="s">
        <v>180</v>
      </c>
      <c r="Y293" s="5">
        <v>300</v>
      </c>
      <c r="Z293" s="5">
        <v>1</v>
      </c>
      <c r="AA293" s="5">
        <v>28385613</v>
      </c>
      <c r="AB293" s="16" t="s">
        <v>111</v>
      </c>
      <c r="AC293" s="7" t="s">
        <v>112</v>
      </c>
      <c r="AD293" s="7" t="s">
        <v>112</v>
      </c>
      <c r="AE293" s="7" t="s">
        <v>112</v>
      </c>
      <c r="AF293" s="6" t="s">
        <v>113</v>
      </c>
      <c r="AG293" s="26" t="str">
        <f t="shared" ref="AG293" si="2069">CM$5</f>
        <v>4,33,28,33,6,4,33,28,33,6</v>
      </c>
      <c r="AH293" s="26" t="str">
        <f t="shared" ref="AH293" si="2070">CN$5</f>
        <v>0,7,0,7,1,0,7,0,7,1</v>
      </c>
      <c r="AI293" s="26" t="str">
        <f t="shared" ref="AI293" si="2071">CO$5</f>
        <v>0,0,0,0,1,0,0,0,0,1</v>
      </c>
      <c r="AJ293" s="26" t="str">
        <f t="shared" ref="AJ293" si="2072">CP$5</f>
        <v>0,0,0,0,5,0,0,0,0,5</v>
      </c>
      <c r="AK293" s="26" t="str">
        <f t="shared" ref="AK293" si="2073">CQ$5</f>
        <v>100,1,1000,2,5,200,1,1000,2,5</v>
      </c>
      <c r="AL293" s="26" t="str">
        <f t="shared" ref="AL293" si="2074">CR$5</f>
        <v>5,5,5,5,5,5,5,5,5,5</v>
      </c>
      <c r="AM293" s="7">
        <v>2001</v>
      </c>
      <c r="AO293">
        <f t="shared" ref="AO293" si="2075">AQ293*100+2</f>
        <v>3302</v>
      </c>
      <c r="AP293">
        <v>289</v>
      </c>
      <c r="AQ293">
        <f t="shared" si="1837"/>
        <v>33</v>
      </c>
      <c r="AR293" s="17">
        <v>8</v>
      </c>
      <c r="AS293" s="17">
        <f t="shared" si="1918"/>
        <v>205</v>
      </c>
      <c r="AT293" s="17">
        <v>7</v>
      </c>
      <c r="AU293">
        <f t="shared" si="1838"/>
        <v>26</v>
      </c>
      <c r="AV293">
        <v>150</v>
      </c>
      <c r="AW293">
        <f t="shared" si="1839"/>
        <v>37576.028160000002</v>
      </c>
      <c r="AX293">
        <f t="shared" si="1968"/>
        <v>204336000.00000003</v>
      </c>
      <c r="AY293">
        <f t="shared" si="1840"/>
        <v>3405.6000000000004</v>
      </c>
      <c r="AZ293">
        <f t="shared" si="1841"/>
        <v>6811.2000000000007</v>
      </c>
      <c r="BA293">
        <f t="shared" si="1842"/>
        <v>45408</v>
      </c>
      <c r="BB293">
        <f t="shared" si="1843"/>
        <v>1702.8000000000002</v>
      </c>
      <c r="BC293">
        <f t="shared" si="1969"/>
        <v>204336000.00000003</v>
      </c>
      <c r="BD293">
        <f t="shared" si="1844"/>
        <v>0.29411764705882348</v>
      </c>
      <c r="BE293" s="27">
        <f t="shared" si="1970"/>
        <v>124215772.66560005</v>
      </c>
      <c r="BF293" s="30">
        <f t="shared" si="1845"/>
        <v>0.37919999999999998</v>
      </c>
      <c r="BG293" s="27"/>
      <c r="BH293" s="27"/>
      <c r="BI293" s="27"/>
      <c r="CA293" s="20">
        <f t="shared" si="1846"/>
        <v>260</v>
      </c>
      <c r="CB293" s="20">
        <f t="shared" si="1847"/>
        <v>26000</v>
      </c>
    </row>
    <row r="294" spans="1:80" x14ac:dyDescent="0.15">
      <c r="A294">
        <v>3303</v>
      </c>
      <c r="B294" s="3" t="s">
        <v>117</v>
      </c>
      <c r="C294" s="4" t="s">
        <v>109</v>
      </c>
      <c r="D294" s="4" t="s">
        <v>110</v>
      </c>
      <c r="E294" s="5">
        <v>1</v>
      </c>
      <c r="F294" s="7" t="s">
        <v>144</v>
      </c>
      <c r="G294" s="5">
        <v>3</v>
      </c>
      <c r="H294" s="7" t="s">
        <v>189</v>
      </c>
      <c r="I294" s="5">
        <v>0</v>
      </c>
      <c r="J294" s="2">
        <v>0</v>
      </c>
      <c r="K294">
        <v>6</v>
      </c>
      <c r="L294">
        <v>1.5</v>
      </c>
      <c r="M294" s="5">
        <v>1.5</v>
      </c>
      <c r="N294" s="5">
        <v>10</v>
      </c>
      <c r="O294" s="5">
        <f t="shared" si="1827"/>
        <v>38449</v>
      </c>
      <c r="P294" s="5">
        <f t="shared" si="1828"/>
        <v>209088000</v>
      </c>
      <c r="Q294" s="5">
        <f t="shared" si="1829"/>
        <v>3484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70031</v>
      </c>
      <c r="X294" s="6" t="s">
        <v>181</v>
      </c>
      <c r="Y294" s="5">
        <v>300</v>
      </c>
      <c r="Z294" s="5">
        <v>1</v>
      </c>
      <c r="AA294" s="5">
        <v>29940705</v>
      </c>
      <c r="AB294" s="16" t="s">
        <v>111</v>
      </c>
      <c r="AC294" s="7" t="s">
        <v>112</v>
      </c>
      <c r="AD294" s="7" t="s">
        <v>112</v>
      </c>
      <c r="AE294" s="7" t="s">
        <v>112</v>
      </c>
      <c r="AF294" s="6" t="s">
        <v>113</v>
      </c>
      <c r="AG294" s="26" t="str">
        <f t="shared" ref="AG294" si="2076">CM$6</f>
        <v>4,28,6,28,6,4,28,6,28,6</v>
      </c>
      <c r="AH294" s="26" t="str">
        <f t="shared" ref="AH294" si="2077">CN$6</f>
        <v>0,0,1,0,1,0,0,1,0,1</v>
      </c>
      <c r="AI294" s="26" t="str">
        <f t="shared" ref="AI294" si="2078">CO$6</f>
        <v>0,0,0,0,1,0,0,0,0,1</v>
      </c>
      <c r="AJ294" s="26" t="str">
        <f t="shared" ref="AJ294" si="2079">CP$6</f>
        <v>0,0,5,0,5,0,0,5,0,5</v>
      </c>
      <c r="AK294" s="26" t="str">
        <f t="shared" ref="AK294" si="2080">CQ$6</f>
        <v>100,1000,5,1500,5,200,1000,5,1500,5</v>
      </c>
      <c r="AL294" s="26" t="str">
        <f t="shared" ref="AL294" si="2081">CR$6</f>
        <v>5,5,5,5,5,5,5,5,5,5</v>
      </c>
      <c r="AM294" s="7">
        <v>2001</v>
      </c>
      <c r="AO294">
        <f t="shared" ref="AO294" si="2082">AQ294*100+3</f>
        <v>3303</v>
      </c>
      <c r="AP294">
        <v>290</v>
      </c>
      <c r="AQ294">
        <f t="shared" si="1837"/>
        <v>33</v>
      </c>
      <c r="AR294" s="17">
        <v>8</v>
      </c>
      <c r="AS294" s="17">
        <f t="shared" si="1918"/>
        <v>210</v>
      </c>
      <c r="AT294" s="17">
        <v>7</v>
      </c>
      <c r="AU294">
        <f t="shared" si="1838"/>
        <v>26</v>
      </c>
      <c r="AV294">
        <v>150</v>
      </c>
      <c r="AW294">
        <f t="shared" si="1839"/>
        <v>38449.889279999996</v>
      </c>
      <c r="AX294">
        <f t="shared" si="1968"/>
        <v>209088000.00000003</v>
      </c>
      <c r="AY294">
        <f t="shared" si="1840"/>
        <v>3484.8000000000006</v>
      </c>
      <c r="AZ294">
        <f t="shared" si="1841"/>
        <v>6969.6000000000013</v>
      </c>
      <c r="BA294">
        <f t="shared" si="1842"/>
        <v>46464</v>
      </c>
      <c r="BB294">
        <f t="shared" si="1843"/>
        <v>1742.4000000000003</v>
      </c>
      <c r="BC294">
        <f t="shared" si="1969"/>
        <v>209088000.00000003</v>
      </c>
      <c r="BD294">
        <f t="shared" si="1844"/>
        <v>0.29411764705882354</v>
      </c>
      <c r="BE294" s="27">
        <f t="shared" si="1970"/>
        <v>130060430.43840007</v>
      </c>
      <c r="BF294" s="30">
        <f t="shared" si="1845"/>
        <v>0.37919999999999998</v>
      </c>
      <c r="BG294" s="27"/>
      <c r="BH294" s="27"/>
      <c r="BI294" s="27"/>
      <c r="CA294" s="20">
        <f t="shared" si="1846"/>
        <v>260</v>
      </c>
      <c r="CB294" s="20">
        <f t="shared" si="1847"/>
        <v>26000</v>
      </c>
    </row>
    <row r="295" spans="1:80" x14ac:dyDescent="0.15">
      <c r="A295">
        <v>3304</v>
      </c>
      <c r="B295" s="3" t="s">
        <v>119</v>
      </c>
      <c r="C295" s="4" t="s">
        <v>109</v>
      </c>
      <c r="D295" s="6" t="s">
        <v>120</v>
      </c>
      <c r="E295" s="5">
        <v>3</v>
      </c>
      <c r="F295" s="7" t="s">
        <v>145</v>
      </c>
      <c r="G295" s="5">
        <v>3</v>
      </c>
      <c r="H295" s="7" t="s">
        <v>190</v>
      </c>
      <c r="I295" s="5">
        <v>0</v>
      </c>
      <c r="J295" s="5">
        <v>0</v>
      </c>
      <c r="K295">
        <v>2</v>
      </c>
      <c r="L295">
        <v>1.5</v>
      </c>
      <c r="M295" s="5">
        <v>1.5</v>
      </c>
      <c r="N295" s="5">
        <v>10</v>
      </c>
      <c r="O295" s="5">
        <f t="shared" si="1827"/>
        <v>39323</v>
      </c>
      <c r="P295" s="5">
        <f t="shared" si="1828"/>
        <v>213840000</v>
      </c>
      <c r="Q295" s="5">
        <f t="shared" si="1829"/>
        <v>3564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70041</v>
      </c>
      <c r="X295" s="6" t="s">
        <v>182</v>
      </c>
      <c r="Y295" s="5">
        <v>300</v>
      </c>
      <c r="Z295" s="5">
        <v>1</v>
      </c>
      <c r="AA295" s="5">
        <v>31537266</v>
      </c>
      <c r="AB295" s="16" t="s">
        <v>111</v>
      </c>
      <c r="AC295" s="7" t="s">
        <v>112</v>
      </c>
      <c r="AD295" s="7" t="s">
        <v>112</v>
      </c>
      <c r="AE295" s="7" t="s">
        <v>112</v>
      </c>
      <c r="AF295" s="6" t="s">
        <v>113</v>
      </c>
      <c r="AG295" s="26" t="str">
        <f t="shared" ref="AG295" si="2083">CM$7</f>
        <v>4,14,28,14,6,4,14,28,14,6</v>
      </c>
      <c r="AH295" s="26" t="str">
        <f t="shared" ref="AH295" si="2084">CN$7</f>
        <v>0,0,0,0,1,0,0,0,0,1</v>
      </c>
      <c r="AI295" s="26" t="str">
        <f t="shared" ref="AI295" si="2085">CO$7</f>
        <v>0,0,0,0,1,0,0,0,0,1</v>
      </c>
      <c r="AJ295" s="26" t="str">
        <f t="shared" ref="AJ295" si="2086">CP$7</f>
        <v>0,0,0,0,5,0,0,0,0,5</v>
      </c>
      <c r="AK295" s="26" t="str">
        <f t="shared" ref="AK295" si="2087">CQ$7</f>
        <v>100,1,1000,2,5,200,1,1000,2,5</v>
      </c>
      <c r="AL295" s="26" t="str">
        <f t="shared" ref="AL295" si="2088">CR$7</f>
        <v>5,5,5,5,5,5,5,5,5,5</v>
      </c>
      <c r="AM295" s="7">
        <v>2001</v>
      </c>
      <c r="AO295">
        <f t="shared" ref="AO295" si="2089">AQ295*100+4</f>
        <v>3304</v>
      </c>
      <c r="AP295">
        <v>291</v>
      </c>
      <c r="AQ295">
        <f t="shared" si="1837"/>
        <v>33</v>
      </c>
      <c r="AR295" s="17">
        <v>8</v>
      </c>
      <c r="AS295" s="17">
        <f t="shared" si="1918"/>
        <v>215</v>
      </c>
      <c r="AT295" s="17">
        <v>7</v>
      </c>
      <c r="AU295">
        <f t="shared" si="1838"/>
        <v>26</v>
      </c>
      <c r="AV295">
        <v>150</v>
      </c>
      <c r="AW295">
        <f t="shared" si="1839"/>
        <v>39323.750400000004</v>
      </c>
      <c r="AX295">
        <f t="shared" si="1968"/>
        <v>213840000.00000003</v>
      </c>
      <c r="AY295">
        <f t="shared" si="1840"/>
        <v>3564.0000000000005</v>
      </c>
      <c r="AZ295">
        <f t="shared" si="1841"/>
        <v>7128.0000000000009</v>
      </c>
      <c r="BA295">
        <f t="shared" si="1842"/>
        <v>47520.000000000007</v>
      </c>
      <c r="BB295">
        <f t="shared" si="1843"/>
        <v>1782.0000000000002</v>
      </c>
      <c r="BC295">
        <f t="shared" si="1969"/>
        <v>213840000.00000003</v>
      </c>
      <c r="BD295">
        <f t="shared" si="1844"/>
        <v>0.29411764705882354</v>
      </c>
      <c r="BE295" s="27">
        <f t="shared" si="1970"/>
        <v>136039448.16000006</v>
      </c>
      <c r="BF295" s="30">
        <f t="shared" si="1845"/>
        <v>0.37919999999999998</v>
      </c>
      <c r="BG295" s="27"/>
      <c r="BH295" s="27"/>
      <c r="BI295" s="27"/>
      <c r="CA295" s="20">
        <f t="shared" si="1846"/>
        <v>260</v>
      </c>
      <c r="CB295" s="20">
        <f t="shared" si="1847"/>
        <v>26000</v>
      </c>
    </row>
    <row r="296" spans="1:80" x14ac:dyDescent="0.15">
      <c r="A296">
        <v>3305</v>
      </c>
      <c r="B296" s="3" t="s">
        <v>122</v>
      </c>
      <c r="C296" s="4" t="s">
        <v>109</v>
      </c>
      <c r="D296" s="4" t="s">
        <v>110</v>
      </c>
      <c r="E296" s="5">
        <v>2</v>
      </c>
      <c r="F296" s="7" t="s">
        <v>146</v>
      </c>
      <c r="G296" s="5">
        <v>3</v>
      </c>
      <c r="H296" s="7" t="s">
        <v>191</v>
      </c>
      <c r="I296" s="5">
        <v>0</v>
      </c>
      <c r="J296" s="7" t="s">
        <v>148</v>
      </c>
      <c r="K296">
        <v>6</v>
      </c>
      <c r="L296">
        <v>1.5</v>
      </c>
      <c r="M296" s="5">
        <v>1.5</v>
      </c>
      <c r="N296" s="5">
        <v>10</v>
      </c>
      <c r="O296" s="5">
        <f t="shared" si="1827"/>
        <v>40197</v>
      </c>
      <c r="P296" s="5">
        <f t="shared" si="1828"/>
        <v>218592000</v>
      </c>
      <c r="Q296" s="5">
        <f t="shared" si="1829"/>
        <v>3643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70051</v>
      </c>
      <c r="X296" s="6" t="s">
        <v>183</v>
      </c>
      <c r="Y296" s="5">
        <v>300</v>
      </c>
      <c r="Z296" s="5">
        <v>1</v>
      </c>
      <c r="AA296" s="5">
        <v>33175296</v>
      </c>
      <c r="AB296" s="16" t="s">
        <v>111</v>
      </c>
      <c r="AC296" s="7" t="s">
        <v>112</v>
      </c>
      <c r="AD296" s="7" t="s">
        <v>112</v>
      </c>
      <c r="AE296" s="7" t="s">
        <v>112</v>
      </c>
      <c r="AF296" s="6" t="s">
        <v>113</v>
      </c>
      <c r="AG296" s="26" t="str">
        <f t="shared" ref="AG296" si="2090">CM$8</f>
        <v>4,19,28,19,6,4,19,28,19,6</v>
      </c>
      <c r="AH296" s="26" t="str">
        <f t="shared" ref="AH296" si="2091">CN$8</f>
        <v>0,0,0,0,1,0,0,0,0,1</v>
      </c>
      <c r="AI296" s="26" t="str">
        <f t="shared" ref="AI296" si="2092">CO$8</f>
        <v>0,0,0,0,1,0,0,0,0,1</v>
      </c>
      <c r="AJ296" s="26" t="str">
        <f t="shared" ref="AJ296" si="2093">CP$8</f>
        <v>0,0,0,0,5,0,0,0,0,5</v>
      </c>
      <c r="AK296" s="26" t="str">
        <f t="shared" ref="AK296" si="2094">CQ$8</f>
        <v>200,100,1000,200,5,200,100,1000,200,5</v>
      </c>
      <c r="AL296" s="26" t="str">
        <f t="shared" ref="AL296" si="2095">CR$8</f>
        <v>5,5,5,5,5,5,5,5,5,5</v>
      </c>
      <c r="AM296" s="7">
        <v>2001</v>
      </c>
      <c r="AO296">
        <f t="shared" ref="AO296" si="2096">AQ296*100+5</f>
        <v>3305</v>
      </c>
      <c r="AP296">
        <v>292</v>
      </c>
      <c r="AQ296">
        <f t="shared" si="1837"/>
        <v>33</v>
      </c>
      <c r="AR296" s="17">
        <v>8</v>
      </c>
      <c r="AS296" s="17">
        <f t="shared" si="1918"/>
        <v>220</v>
      </c>
      <c r="AT296" s="17">
        <v>7</v>
      </c>
      <c r="AU296">
        <f t="shared" si="1838"/>
        <v>26</v>
      </c>
      <c r="AV296">
        <v>150</v>
      </c>
      <c r="AW296">
        <f t="shared" si="1839"/>
        <v>40197.611520000006</v>
      </c>
      <c r="AX296">
        <f t="shared" si="1968"/>
        <v>218592000.00000003</v>
      </c>
      <c r="AY296">
        <f t="shared" si="1840"/>
        <v>3643.2000000000003</v>
      </c>
      <c r="AZ296">
        <f t="shared" si="1841"/>
        <v>7286.4000000000005</v>
      </c>
      <c r="BA296">
        <f t="shared" si="1842"/>
        <v>48576.000000000007</v>
      </c>
      <c r="BB296">
        <f t="shared" si="1843"/>
        <v>1821.6000000000001</v>
      </c>
      <c r="BC296">
        <f t="shared" si="1969"/>
        <v>218592000.00000003</v>
      </c>
      <c r="BD296">
        <f t="shared" si="1844"/>
        <v>0.29411764705882354</v>
      </c>
      <c r="BE296" s="27">
        <f t="shared" si="1970"/>
        <v>142152825.83040008</v>
      </c>
      <c r="BF296" s="30">
        <f t="shared" si="1845"/>
        <v>0.37919999999999998</v>
      </c>
      <c r="BG296" s="27"/>
      <c r="BH296" s="27"/>
      <c r="BI296" s="27"/>
      <c r="CA296" s="20">
        <f t="shared" si="1846"/>
        <v>260</v>
      </c>
      <c r="CB296" s="20">
        <f t="shared" si="1847"/>
        <v>26000</v>
      </c>
    </row>
    <row r="297" spans="1:80" x14ac:dyDescent="0.15">
      <c r="A297">
        <v>3306</v>
      </c>
      <c r="B297" s="3" t="s">
        <v>124</v>
      </c>
      <c r="C297" s="4" t="s">
        <v>109</v>
      </c>
      <c r="D297" s="6" t="s">
        <v>120</v>
      </c>
      <c r="E297" s="5">
        <v>1</v>
      </c>
      <c r="F297" s="7" t="s">
        <v>147</v>
      </c>
      <c r="G297" s="5">
        <v>3</v>
      </c>
      <c r="H297" s="7" t="s">
        <v>192</v>
      </c>
      <c r="I297" s="5">
        <v>0</v>
      </c>
      <c r="J297" s="7" t="s">
        <v>149</v>
      </c>
      <c r="K297">
        <v>6</v>
      </c>
      <c r="L297">
        <v>1.5</v>
      </c>
      <c r="M297" s="5">
        <v>1.5</v>
      </c>
      <c r="N297" s="5">
        <v>10</v>
      </c>
      <c r="O297" s="5">
        <f t="shared" si="1827"/>
        <v>41071</v>
      </c>
      <c r="P297" s="5">
        <f t="shared" si="1828"/>
        <v>223344000</v>
      </c>
      <c r="Q297" s="5">
        <f t="shared" si="1829"/>
        <v>3722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70061</v>
      </c>
      <c r="X297" s="6" t="s">
        <v>184</v>
      </c>
      <c r="Y297" s="5">
        <v>300</v>
      </c>
      <c r="Z297" s="5">
        <v>1</v>
      </c>
      <c r="AA297" s="5">
        <v>34854795</v>
      </c>
      <c r="AB297" s="16" t="s">
        <v>111</v>
      </c>
      <c r="AC297" s="7" t="s">
        <v>112</v>
      </c>
      <c r="AD297" s="7" t="s">
        <v>112</v>
      </c>
      <c r="AE297" s="7" t="s">
        <v>112</v>
      </c>
      <c r="AF297" s="6" t="s">
        <v>113</v>
      </c>
      <c r="AG297" s="26" t="str">
        <f t="shared" ref="AG297" si="2097">CM$9</f>
        <v>4,33,28,33,6,4,33,28,33,6</v>
      </c>
      <c r="AH297" s="26" t="str">
        <f t="shared" ref="AH297" si="2098">CN$9</f>
        <v>0,6,0,6,1,0,6,0,6,1</v>
      </c>
      <c r="AI297" s="26" t="str">
        <f t="shared" ref="AI297" si="2099">CO$9</f>
        <v>0,0,0,0,1,0,0,0,0,1</v>
      </c>
      <c r="AJ297" s="26" t="str">
        <f t="shared" ref="AJ297" si="2100">CP$9</f>
        <v>0,0,0,0,5,0,0,0,0,5</v>
      </c>
      <c r="AK297" s="26" t="str">
        <f t="shared" ref="AK297" si="2101">CQ$9</f>
        <v>200,1,1000,2,5,200,1,1000,2,5</v>
      </c>
      <c r="AL297" s="26" t="str">
        <f t="shared" ref="AL297" si="2102">CR$9</f>
        <v>5,5,5,5,5,5,5,5,5,5</v>
      </c>
      <c r="AM297" s="7">
        <v>2001</v>
      </c>
      <c r="AO297">
        <f t="shared" ref="AO297" si="2103">AQ297*100+6</f>
        <v>3306</v>
      </c>
      <c r="AP297">
        <v>293</v>
      </c>
      <c r="AQ297">
        <f t="shared" si="1837"/>
        <v>33</v>
      </c>
      <c r="AR297" s="17">
        <v>8</v>
      </c>
      <c r="AS297" s="17">
        <f t="shared" si="1918"/>
        <v>225</v>
      </c>
      <c r="AT297" s="17">
        <v>7</v>
      </c>
      <c r="AU297">
        <f t="shared" si="1838"/>
        <v>26</v>
      </c>
      <c r="AV297">
        <v>150</v>
      </c>
      <c r="AW297">
        <f t="shared" si="1839"/>
        <v>41071.472640000007</v>
      </c>
      <c r="AX297">
        <f t="shared" si="1968"/>
        <v>223344000</v>
      </c>
      <c r="AY297">
        <f t="shared" si="1840"/>
        <v>3722.4</v>
      </c>
      <c r="AZ297">
        <f t="shared" si="1841"/>
        <v>7444.8</v>
      </c>
      <c r="BA297">
        <f t="shared" si="1842"/>
        <v>49632.000000000007</v>
      </c>
      <c r="BB297">
        <f t="shared" si="1843"/>
        <v>1861.2</v>
      </c>
      <c r="BC297">
        <f t="shared" si="1969"/>
        <v>223344000</v>
      </c>
      <c r="BD297">
        <f t="shared" si="1844"/>
        <v>0.29411764705882348</v>
      </c>
      <c r="BE297" s="27">
        <f t="shared" si="1970"/>
        <v>148400563.44960001</v>
      </c>
      <c r="BF297" s="30">
        <f t="shared" si="1845"/>
        <v>0.37919999999999998</v>
      </c>
      <c r="BG297" s="27"/>
      <c r="BH297" s="27"/>
      <c r="BI297" s="27"/>
      <c r="CA297" s="20">
        <f t="shared" si="1846"/>
        <v>260</v>
      </c>
      <c r="CB297" s="20">
        <f t="shared" si="1847"/>
        <v>26000</v>
      </c>
    </row>
    <row r="298" spans="1:80" x14ac:dyDescent="0.15">
      <c r="A298">
        <v>3307</v>
      </c>
      <c r="B298" s="3" t="s">
        <v>126</v>
      </c>
      <c r="C298" s="4" t="s">
        <v>109</v>
      </c>
      <c r="D298" s="4" t="s">
        <v>110</v>
      </c>
      <c r="E298" s="5">
        <v>2</v>
      </c>
      <c r="F298" s="7" t="s">
        <v>143</v>
      </c>
      <c r="G298" s="5">
        <v>3</v>
      </c>
      <c r="H298" s="7" t="s">
        <v>193</v>
      </c>
      <c r="I298" s="5">
        <v>0</v>
      </c>
      <c r="J298" s="5">
        <v>0</v>
      </c>
      <c r="K298">
        <v>2</v>
      </c>
      <c r="L298">
        <v>1.5</v>
      </c>
      <c r="M298" s="5">
        <v>1.5</v>
      </c>
      <c r="N298" s="5">
        <v>10</v>
      </c>
      <c r="O298" s="5">
        <f t="shared" si="1827"/>
        <v>41945</v>
      </c>
      <c r="P298" s="5">
        <f t="shared" si="1828"/>
        <v>228096000</v>
      </c>
      <c r="Q298" s="5">
        <f t="shared" si="1829"/>
        <v>3801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70071</v>
      </c>
      <c r="X298" s="6" t="s">
        <v>185</v>
      </c>
      <c r="Y298" s="5">
        <v>300</v>
      </c>
      <c r="Z298" s="5">
        <v>1</v>
      </c>
      <c r="AA298" s="5">
        <v>36575764</v>
      </c>
      <c r="AB298" s="16" t="s">
        <v>111</v>
      </c>
      <c r="AC298" s="7" t="s">
        <v>112</v>
      </c>
      <c r="AD298" s="7" t="s">
        <v>112</v>
      </c>
      <c r="AE298" s="7" t="s">
        <v>112</v>
      </c>
      <c r="AF298" s="6" t="s">
        <v>113</v>
      </c>
      <c r="AG298" s="26" t="str">
        <f t="shared" ref="AG298" si="2104">CM$10</f>
        <v>4,14,28,14,6,4,14,28,14,6</v>
      </c>
      <c r="AH298" s="26" t="str">
        <f t="shared" ref="AH298" si="2105">CN$10</f>
        <v>0,0,0,0,1,0,0,0,0,1</v>
      </c>
      <c r="AI298" s="26" t="str">
        <f t="shared" ref="AI298" si="2106">CO$10</f>
        <v>0,0,0,0,1,0,0,0,0,1</v>
      </c>
      <c r="AJ298" s="26" t="str">
        <f t="shared" ref="AJ298" si="2107">CP$10</f>
        <v>0,0,0,0,5,0,0,0,0,5</v>
      </c>
      <c r="AK298" s="26" t="str">
        <f t="shared" ref="AK298" si="2108">CQ$10</f>
        <v>200,1,1000,2,5,200,1,1000,2,5</v>
      </c>
      <c r="AL298" s="26" t="str">
        <f t="shared" ref="AL298" si="2109">CR$10</f>
        <v>5,5,5,5,5,5,5,5,5,5</v>
      </c>
      <c r="AM298" s="7">
        <v>2001</v>
      </c>
      <c r="AO298">
        <f t="shared" ref="AO298" si="2110">AQ298*100+7</f>
        <v>3307</v>
      </c>
      <c r="AP298">
        <v>294</v>
      </c>
      <c r="AQ298">
        <f t="shared" si="1837"/>
        <v>33</v>
      </c>
      <c r="AR298" s="17">
        <v>8</v>
      </c>
      <c r="AS298" s="17">
        <f t="shared" si="1918"/>
        <v>230</v>
      </c>
      <c r="AT298" s="17">
        <v>7</v>
      </c>
      <c r="AU298">
        <f t="shared" si="1838"/>
        <v>26</v>
      </c>
      <c r="AV298">
        <v>150</v>
      </c>
      <c r="AW298">
        <f t="shared" si="1839"/>
        <v>41945.333760000001</v>
      </c>
      <c r="AX298">
        <f t="shared" si="1968"/>
        <v>228096000</v>
      </c>
      <c r="AY298">
        <f t="shared" si="1840"/>
        <v>3801.6</v>
      </c>
      <c r="AZ298">
        <f t="shared" si="1841"/>
        <v>7603.2</v>
      </c>
      <c r="BA298">
        <f t="shared" si="1842"/>
        <v>50688.000000000007</v>
      </c>
      <c r="BB298">
        <f t="shared" si="1843"/>
        <v>1900.8</v>
      </c>
      <c r="BC298">
        <f t="shared" si="1969"/>
        <v>228096000</v>
      </c>
      <c r="BD298">
        <f t="shared" si="1844"/>
        <v>0.29411764705882354</v>
      </c>
      <c r="BE298" s="27">
        <f t="shared" si="1970"/>
        <v>154782661.01760003</v>
      </c>
      <c r="BF298" s="30">
        <f t="shared" si="1845"/>
        <v>0.37919999999999998</v>
      </c>
      <c r="BG298" s="27"/>
      <c r="BH298" s="27"/>
      <c r="BI298" s="27"/>
      <c r="CA298" s="20">
        <f t="shared" si="1846"/>
        <v>260</v>
      </c>
      <c r="CB298" s="20">
        <f t="shared" si="1847"/>
        <v>26000</v>
      </c>
    </row>
    <row r="299" spans="1:80" x14ac:dyDescent="0.15">
      <c r="A299">
        <v>3308</v>
      </c>
      <c r="B299" s="3" t="s">
        <v>128</v>
      </c>
      <c r="C299" s="4" t="s">
        <v>109</v>
      </c>
      <c r="D299" s="4" t="s">
        <v>110</v>
      </c>
      <c r="E299" s="5">
        <v>5</v>
      </c>
      <c r="F299" s="7" t="s">
        <v>129</v>
      </c>
      <c r="G299" s="5">
        <v>2</v>
      </c>
      <c r="H299" s="7" t="s">
        <v>130</v>
      </c>
      <c r="I299" s="5">
        <v>0</v>
      </c>
      <c r="J299" s="5">
        <v>0</v>
      </c>
      <c r="K299">
        <v>2</v>
      </c>
      <c r="L299">
        <v>1.5</v>
      </c>
      <c r="M299" s="5">
        <v>1.5</v>
      </c>
      <c r="N299" s="5">
        <v>10</v>
      </c>
      <c r="O299" s="5">
        <f t="shared" si="1827"/>
        <v>42819</v>
      </c>
      <c r="P299" s="5">
        <f t="shared" si="1828"/>
        <v>232848000</v>
      </c>
      <c r="Q299" s="5">
        <f t="shared" si="1829"/>
        <v>3880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70081</v>
      </c>
      <c r="X299" s="6" t="s">
        <v>186</v>
      </c>
      <c r="Y299" s="5">
        <v>300</v>
      </c>
      <c r="Z299" s="5">
        <v>1</v>
      </c>
      <c r="AA299" s="5">
        <v>38338201</v>
      </c>
      <c r="AB299" s="16" t="s">
        <v>111</v>
      </c>
      <c r="AC299" s="7" t="s">
        <v>112</v>
      </c>
      <c r="AD299" s="7" t="s">
        <v>112</v>
      </c>
      <c r="AE299" s="7" t="s">
        <v>112</v>
      </c>
      <c r="AF299" s="6" t="s">
        <v>113</v>
      </c>
      <c r="AG299" s="26" t="str">
        <f t="shared" ref="AG299" si="2111">CM$11</f>
        <v>4,28,6,28,6,4,28,6,28,6</v>
      </c>
      <c r="AH299" s="26" t="str">
        <f t="shared" ref="AH299" si="2112">CN$11</f>
        <v>0,0,1,0,1,0,0,1,0,1</v>
      </c>
      <c r="AI299" s="26" t="str">
        <f t="shared" ref="AI299" si="2113">CO$11</f>
        <v>0,0,1,0,1,0,0,1,0,1</v>
      </c>
      <c r="AJ299" s="26" t="str">
        <f t="shared" ref="AJ299" si="2114">CP$11</f>
        <v>0,0,5,0,5,0,0,5,0,5</v>
      </c>
      <c r="AK299" s="26" t="str">
        <f t="shared" ref="AK299" si="2115">CQ$11</f>
        <v>100,1000,5,1500,5,200,1000,5,1500,5</v>
      </c>
      <c r="AL299" s="26" t="str">
        <f t="shared" ref="AL299" si="2116">CR$11</f>
        <v>5,5,5,5,5,5,5,5,5,5</v>
      </c>
      <c r="AM299" s="7">
        <v>2001</v>
      </c>
      <c r="AO299">
        <f t="shared" ref="AO299" si="2117">AQ299*100+8</f>
        <v>3308</v>
      </c>
      <c r="AP299">
        <v>295</v>
      </c>
      <c r="AQ299">
        <f t="shared" si="1837"/>
        <v>33</v>
      </c>
      <c r="AR299" s="17">
        <v>8</v>
      </c>
      <c r="AS299" s="17">
        <f t="shared" si="1918"/>
        <v>235</v>
      </c>
      <c r="AT299" s="17">
        <v>7</v>
      </c>
      <c r="AU299">
        <f t="shared" si="1838"/>
        <v>26</v>
      </c>
      <c r="AV299">
        <v>150</v>
      </c>
      <c r="AW299">
        <f t="shared" si="1839"/>
        <v>42819.194880000003</v>
      </c>
      <c r="AX299">
        <f t="shared" si="1968"/>
        <v>232848000</v>
      </c>
      <c r="AY299">
        <f t="shared" si="1840"/>
        <v>3880.8</v>
      </c>
      <c r="AZ299">
        <f t="shared" si="1841"/>
        <v>7761.6</v>
      </c>
      <c r="BA299">
        <f t="shared" si="1842"/>
        <v>51744.000000000007</v>
      </c>
      <c r="BB299">
        <f t="shared" si="1843"/>
        <v>1940.4</v>
      </c>
      <c r="BC299">
        <f t="shared" si="1969"/>
        <v>232848000</v>
      </c>
      <c r="BD299">
        <f t="shared" si="1844"/>
        <v>0.29411764705882348</v>
      </c>
      <c r="BE299" s="27">
        <f t="shared" si="1970"/>
        <v>161299118.53439999</v>
      </c>
      <c r="BF299" s="30">
        <f t="shared" si="1845"/>
        <v>0.37919999999999998</v>
      </c>
      <c r="BG299" s="27"/>
      <c r="BH299" s="27"/>
      <c r="BI299" s="27"/>
      <c r="CA299" s="20">
        <f t="shared" si="1846"/>
        <v>260</v>
      </c>
      <c r="CB299" s="20">
        <f t="shared" si="1847"/>
        <v>26000</v>
      </c>
    </row>
    <row r="300" spans="1:80" x14ac:dyDescent="0.15">
      <c r="A300">
        <v>3309</v>
      </c>
      <c r="B300" s="3" t="s">
        <v>132</v>
      </c>
      <c r="C300" s="4" t="s">
        <v>109</v>
      </c>
      <c r="D300" s="4" t="s">
        <v>110</v>
      </c>
      <c r="E300" s="5">
        <v>5</v>
      </c>
      <c r="F300" s="7" t="s">
        <v>140</v>
      </c>
      <c r="G300" s="5">
        <v>3</v>
      </c>
      <c r="H300" s="7" t="s">
        <v>140</v>
      </c>
      <c r="I300" s="5">
        <v>0</v>
      </c>
      <c r="J300" s="7">
        <v>0</v>
      </c>
      <c r="K300">
        <v>6</v>
      </c>
      <c r="L300">
        <v>1.5</v>
      </c>
      <c r="M300" s="5">
        <v>1.5</v>
      </c>
      <c r="N300" s="5">
        <v>10</v>
      </c>
      <c r="O300" s="5">
        <f t="shared" si="1827"/>
        <v>43693</v>
      </c>
      <c r="P300" s="5">
        <f t="shared" si="1828"/>
        <v>237600000</v>
      </c>
      <c r="Q300" s="5">
        <f t="shared" si="1829"/>
        <v>3960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70091</v>
      </c>
      <c r="X300" s="6" t="s">
        <v>187</v>
      </c>
      <c r="Y300" s="5">
        <v>300</v>
      </c>
      <c r="Z300" s="5">
        <v>1</v>
      </c>
      <c r="AA300" s="5">
        <v>40142108</v>
      </c>
      <c r="AB300" s="16" t="s">
        <v>111</v>
      </c>
      <c r="AC300" s="7" t="s">
        <v>112</v>
      </c>
      <c r="AD300" s="7" t="s">
        <v>112</v>
      </c>
      <c r="AE300" s="7" t="s">
        <v>112</v>
      </c>
      <c r="AF300" s="6" t="s">
        <v>113</v>
      </c>
      <c r="AG300" s="26" t="str">
        <f t="shared" ref="AG300" si="2118">CM$12</f>
        <v>4,33,28,33,6,4,33,28,33,6</v>
      </c>
      <c r="AH300" s="26" t="str">
        <f t="shared" ref="AH300" si="2119">CN$12</f>
        <v>0,5,0,5,1,0,5,0,5,1</v>
      </c>
      <c r="AI300" s="26" t="str">
        <f t="shared" ref="AI300" si="2120">CO$12</f>
        <v>0,0,0,0,1,0,0,0,0,1</v>
      </c>
      <c r="AJ300" s="26" t="str">
        <f t="shared" ref="AJ300" si="2121">CP$12</f>
        <v>0,0,0,0,5,0,0,0,0,5</v>
      </c>
      <c r="AK300" s="26" t="str">
        <f t="shared" ref="AK300" si="2122">CQ$12</f>
        <v>100,1,1000,2,5,200,1,1000,2,5</v>
      </c>
      <c r="AL300" s="26" t="str">
        <f t="shared" ref="AL300" si="2123">CR$12</f>
        <v>5,5,5,5,5,5,5,5,5,5</v>
      </c>
      <c r="AM300" s="7">
        <v>2001</v>
      </c>
      <c r="AO300">
        <f t="shared" ref="AO300" si="2124">AQ300*100+9</f>
        <v>3309</v>
      </c>
      <c r="AP300">
        <v>296</v>
      </c>
      <c r="AQ300">
        <f t="shared" si="1837"/>
        <v>33</v>
      </c>
      <c r="AR300" s="17">
        <v>8</v>
      </c>
      <c r="AS300" s="17">
        <f t="shared" si="1918"/>
        <v>240</v>
      </c>
      <c r="AT300" s="17">
        <v>7</v>
      </c>
      <c r="AU300">
        <f t="shared" si="1838"/>
        <v>26</v>
      </c>
      <c r="AV300">
        <v>150</v>
      </c>
      <c r="AW300">
        <f t="shared" si="1839"/>
        <v>43693.056000000004</v>
      </c>
      <c r="AX300">
        <f t="shared" si="1968"/>
        <v>237600000</v>
      </c>
      <c r="AY300">
        <f t="shared" si="1840"/>
        <v>3960</v>
      </c>
      <c r="AZ300">
        <f t="shared" si="1841"/>
        <v>7920</v>
      </c>
      <c r="BA300">
        <f t="shared" si="1842"/>
        <v>52800.000000000007</v>
      </c>
      <c r="BB300">
        <f t="shared" si="1843"/>
        <v>1980</v>
      </c>
      <c r="BC300">
        <f t="shared" si="1969"/>
        <v>237600000</v>
      </c>
      <c r="BD300">
        <f t="shared" si="1844"/>
        <v>0.29411764705882354</v>
      </c>
      <c r="BE300" s="27">
        <f t="shared" si="1970"/>
        <v>167949936</v>
      </c>
      <c r="BF300" s="30">
        <f t="shared" si="1845"/>
        <v>0.37919999999999998</v>
      </c>
      <c r="BG300" s="27"/>
      <c r="BH300" s="27"/>
      <c r="BI300" s="27"/>
      <c r="CA300" s="20">
        <f t="shared" si="1846"/>
        <v>260</v>
      </c>
      <c r="CB300" s="20">
        <f t="shared" si="1847"/>
        <v>26000</v>
      </c>
    </row>
    <row r="301" spans="1:80" x14ac:dyDescent="0.15">
      <c r="A301">
        <v>3401</v>
      </c>
      <c r="B301" s="3" t="s">
        <v>108</v>
      </c>
      <c r="C301" s="4" t="s">
        <v>109</v>
      </c>
      <c r="D301" s="4" t="s">
        <v>110</v>
      </c>
      <c r="E301" s="5">
        <v>3</v>
      </c>
      <c r="F301" s="7" t="s">
        <v>141</v>
      </c>
      <c r="G301" s="5">
        <v>2.5</v>
      </c>
      <c r="H301" s="7" t="s">
        <v>194</v>
      </c>
      <c r="I301" s="5">
        <v>0</v>
      </c>
      <c r="J301" s="5">
        <v>0</v>
      </c>
      <c r="K301">
        <v>2</v>
      </c>
      <c r="L301">
        <v>1.5</v>
      </c>
      <c r="M301" s="5">
        <v>1.5</v>
      </c>
      <c r="N301" s="5">
        <v>10</v>
      </c>
      <c r="O301" s="5">
        <f t="shared" si="1827"/>
        <v>37641</v>
      </c>
      <c r="P301" s="5">
        <f t="shared" si="1828"/>
        <v>204336000</v>
      </c>
      <c r="Q301" s="5">
        <f t="shared" si="1829"/>
        <v>3405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70011</v>
      </c>
      <c r="X301" s="6" t="s">
        <v>179</v>
      </c>
      <c r="Y301" s="5">
        <v>300</v>
      </c>
      <c r="Z301" s="5">
        <v>1</v>
      </c>
      <c r="AA301" s="5">
        <v>41987484</v>
      </c>
      <c r="AB301" s="16" t="s">
        <v>111</v>
      </c>
      <c r="AC301" s="7" t="s">
        <v>112</v>
      </c>
      <c r="AD301" s="7" t="s">
        <v>112</v>
      </c>
      <c r="AE301" s="7" t="s">
        <v>112</v>
      </c>
      <c r="AF301" s="6" t="s">
        <v>113</v>
      </c>
      <c r="AG301" s="26" t="str">
        <f t="shared" ref="AG301" si="2125">CM$4</f>
        <v>4,33,28,33,6,4,33,28,33,6</v>
      </c>
      <c r="AH301" s="26" t="str">
        <f t="shared" ref="AH301" si="2126">CN$4</f>
        <v>0,8,0,8,1,0,8,0,8,1</v>
      </c>
      <c r="AI301" s="26" t="str">
        <f t="shared" ref="AI301" si="2127">CO$4</f>
        <v>0,0,0,0,1,0,0,0,0,1</v>
      </c>
      <c r="AJ301" s="26" t="str">
        <f t="shared" ref="AJ301" si="2128">CP$4</f>
        <v>0,0,0,0,5,0,0,0,0,5</v>
      </c>
      <c r="AK301" s="26" t="str">
        <f t="shared" ref="AK301" si="2129">CQ$4</f>
        <v>100,1,1000,2,5,200,1,1000,2,5</v>
      </c>
      <c r="AL301" s="26" t="str">
        <f t="shared" ref="AL301" si="2130">CR$4</f>
        <v>5,5,5,5,5,5,5,5,5,5</v>
      </c>
      <c r="AM301" s="7">
        <v>2001</v>
      </c>
      <c r="AO301">
        <f t="shared" ref="AO301" si="2131">AQ301*100+1</f>
        <v>3401</v>
      </c>
      <c r="AP301">
        <v>297</v>
      </c>
      <c r="AQ301">
        <f t="shared" si="1837"/>
        <v>34</v>
      </c>
      <c r="AR301" s="17">
        <v>8</v>
      </c>
      <c r="AS301" s="17">
        <f t="shared" si="1918"/>
        <v>205</v>
      </c>
      <c r="AT301" s="17">
        <v>7</v>
      </c>
      <c r="AU301">
        <f t="shared" si="1838"/>
        <v>26</v>
      </c>
      <c r="AV301">
        <v>150</v>
      </c>
      <c r="AW301">
        <f t="shared" si="1839"/>
        <v>37641.415679999998</v>
      </c>
      <c r="AX301">
        <f t="shared" si="1968"/>
        <v>204336000.00000003</v>
      </c>
      <c r="AY301">
        <f t="shared" si="1840"/>
        <v>3405.6000000000004</v>
      </c>
      <c r="AZ301">
        <f t="shared" si="1841"/>
        <v>6811.2000000000007</v>
      </c>
      <c r="BA301">
        <f t="shared" si="1842"/>
        <v>45408</v>
      </c>
      <c r="BB301">
        <f t="shared" si="1843"/>
        <v>1702.8000000000002</v>
      </c>
      <c r="BC301">
        <f t="shared" si="1969"/>
        <v>204336000.00000003</v>
      </c>
      <c r="BD301">
        <f t="shared" si="1844"/>
        <v>0.29411764705882348</v>
      </c>
      <c r="BE301" s="27">
        <f t="shared" si="1970"/>
        <v>124215772.66560005</v>
      </c>
      <c r="BF301" s="30">
        <f t="shared" si="1845"/>
        <v>0.38159999999999999</v>
      </c>
      <c r="BG301" s="27"/>
      <c r="BH301" s="27"/>
      <c r="BI301" s="27"/>
      <c r="CA301" s="20">
        <f t="shared" si="1846"/>
        <v>265</v>
      </c>
      <c r="CB301" s="20">
        <f t="shared" si="1847"/>
        <v>26500</v>
      </c>
    </row>
    <row r="302" spans="1:80" x14ac:dyDescent="0.15">
      <c r="A302">
        <v>3402</v>
      </c>
      <c r="B302" s="3" t="s">
        <v>115</v>
      </c>
      <c r="C302" s="4" t="s">
        <v>109</v>
      </c>
      <c r="D302" s="6" t="s">
        <v>110</v>
      </c>
      <c r="E302" s="5">
        <v>3</v>
      </c>
      <c r="F302" s="7" t="s">
        <v>142</v>
      </c>
      <c r="G302" s="5">
        <v>3</v>
      </c>
      <c r="H302" s="7" t="s">
        <v>188</v>
      </c>
      <c r="I302" s="5">
        <v>0</v>
      </c>
      <c r="J302" s="5">
        <v>0</v>
      </c>
      <c r="K302">
        <v>2</v>
      </c>
      <c r="L302">
        <v>1.5</v>
      </c>
      <c r="M302" s="5">
        <v>1.5</v>
      </c>
      <c r="N302" s="5">
        <v>10</v>
      </c>
      <c r="O302" s="5">
        <f t="shared" si="1827"/>
        <v>38516</v>
      </c>
      <c r="P302" s="5">
        <f t="shared" si="1828"/>
        <v>209088000</v>
      </c>
      <c r="Q302" s="5">
        <f t="shared" si="1829"/>
        <v>3484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70021</v>
      </c>
      <c r="X302" s="6" t="s">
        <v>180</v>
      </c>
      <c r="Y302" s="5">
        <v>300</v>
      </c>
      <c r="Z302" s="5">
        <v>1</v>
      </c>
      <c r="AA302" s="5">
        <v>29940705</v>
      </c>
      <c r="AB302" s="16" t="s">
        <v>111</v>
      </c>
      <c r="AC302" s="7" t="s">
        <v>112</v>
      </c>
      <c r="AD302" s="7" t="s">
        <v>112</v>
      </c>
      <c r="AE302" s="7" t="s">
        <v>112</v>
      </c>
      <c r="AF302" s="6" t="s">
        <v>113</v>
      </c>
      <c r="AG302" s="26" t="str">
        <f t="shared" ref="AG302" si="2132">CM$5</f>
        <v>4,33,28,33,6,4,33,28,33,6</v>
      </c>
      <c r="AH302" s="26" t="str">
        <f t="shared" ref="AH302" si="2133">CN$5</f>
        <v>0,7,0,7,1,0,7,0,7,1</v>
      </c>
      <c r="AI302" s="26" t="str">
        <f t="shared" ref="AI302" si="2134">CO$5</f>
        <v>0,0,0,0,1,0,0,0,0,1</v>
      </c>
      <c r="AJ302" s="26" t="str">
        <f t="shared" ref="AJ302" si="2135">CP$5</f>
        <v>0,0,0,0,5,0,0,0,0,5</v>
      </c>
      <c r="AK302" s="26" t="str">
        <f t="shared" ref="AK302" si="2136">CQ$5</f>
        <v>100,1,1000,2,5,200,1,1000,2,5</v>
      </c>
      <c r="AL302" s="26" t="str">
        <f t="shared" ref="AL302" si="2137">CR$5</f>
        <v>5,5,5,5,5,5,5,5,5,5</v>
      </c>
      <c r="AM302" s="7">
        <v>2001</v>
      </c>
      <c r="AO302">
        <f t="shared" ref="AO302" si="2138">AQ302*100+2</f>
        <v>3402</v>
      </c>
      <c r="AP302">
        <v>298</v>
      </c>
      <c r="AQ302">
        <f t="shared" si="1837"/>
        <v>34</v>
      </c>
      <c r="AR302" s="17">
        <v>8</v>
      </c>
      <c r="AS302" s="17">
        <f t="shared" si="1918"/>
        <v>210</v>
      </c>
      <c r="AT302" s="17">
        <v>7</v>
      </c>
      <c r="AU302">
        <f t="shared" si="1838"/>
        <v>26</v>
      </c>
      <c r="AV302">
        <v>150</v>
      </c>
      <c r="AW302">
        <f t="shared" si="1839"/>
        <v>38516.797439999995</v>
      </c>
      <c r="AX302">
        <f t="shared" si="1968"/>
        <v>209088000.00000003</v>
      </c>
      <c r="AY302">
        <f t="shared" si="1840"/>
        <v>3484.8000000000006</v>
      </c>
      <c r="AZ302">
        <f t="shared" si="1841"/>
        <v>6969.6000000000013</v>
      </c>
      <c r="BA302">
        <f t="shared" si="1842"/>
        <v>46464</v>
      </c>
      <c r="BB302">
        <f t="shared" si="1843"/>
        <v>1742.4000000000003</v>
      </c>
      <c r="BC302">
        <f t="shared" si="1969"/>
        <v>209088000.00000003</v>
      </c>
      <c r="BD302">
        <f t="shared" si="1844"/>
        <v>0.29411764705882354</v>
      </c>
      <c r="BE302" s="27">
        <f t="shared" si="1970"/>
        <v>130060430.43840007</v>
      </c>
      <c r="BF302" s="30">
        <f t="shared" si="1845"/>
        <v>0.38159999999999999</v>
      </c>
      <c r="BG302" s="27"/>
      <c r="BH302" s="27"/>
      <c r="BI302" s="27"/>
      <c r="CA302" s="20">
        <f t="shared" si="1846"/>
        <v>265</v>
      </c>
      <c r="CB302" s="20">
        <f t="shared" si="1847"/>
        <v>26500</v>
      </c>
    </row>
    <row r="303" spans="1:80" x14ac:dyDescent="0.15">
      <c r="A303">
        <v>3403</v>
      </c>
      <c r="B303" s="3" t="s">
        <v>117</v>
      </c>
      <c r="C303" s="4" t="s">
        <v>109</v>
      </c>
      <c r="D303" s="4" t="s">
        <v>110</v>
      </c>
      <c r="E303" s="5">
        <v>1</v>
      </c>
      <c r="F303" s="7" t="s">
        <v>144</v>
      </c>
      <c r="G303" s="5">
        <v>3</v>
      </c>
      <c r="H303" s="7" t="s">
        <v>189</v>
      </c>
      <c r="I303" s="5">
        <v>0</v>
      </c>
      <c r="J303" s="2">
        <v>0</v>
      </c>
      <c r="K303">
        <v>6</v>
      </c>
      <c r="L303">
        <v>1.5</v>
      </c>
      <c r="M303" s="5">
        <v>1.5</v>
      </c>
      <c r="N303" s="5">
        <v>10</v>
      </c>
      <c r="O303" s="5">
        <f t="shared" si="1827"/>
        <v>39392</v>
      </c>
      <c r="P303" s="5">
        <f t="shared" si="1828"/>
        <v>213840000</v>
      </c>
      <c r="Q303" s="5">
        <f t="shared" si="1829"/>
        <v>3564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70031</v>
      </c>
      <c r="X303" s="6" t="s">
        <v>181</v>
      </c>
      <c r="Y303" s="5">
        <v>300</v>
      </c>
      <c r="Z303" s="5">
        <v>1</v>
      </c>
      <c r="AA303" s="5">
        <v>31537266</v>
      </c>
      <c r="AB303" s="16" t="s">
        <v>111</v>
      </c>
      <c r="AC303" s="7" t="s">
        <v>112</v>
      </c>
      <c r="AD303" s="7" t="s">
        <v>112</v>
      </c>
      <c r="AE303" s="7" t="s">
        <v>112</v>
      </c>
      <c r="AF303" s="6" t="s">
        <v>113</v>
      </c>
      <c r="AG303" s="26" t="str">
        <f t="shared" ref="AG303" si="2139">CM$6</f>
        <v>4,28,6,28,6,4,28,6,28,6</v>
      </c>
      <c r="AH303" s="26" t="str">
        <f t="shared" ref="AH303" si="2140">CN$6</f>
        <v>0,0,1,0,1,0,0,1,0,1</v>
      </c>
      <c r="AI303" s="26" t="str">
        <f t="shared" ref="AI303" si="2141">CO$6</f>
        <v>0,0,0,0,1,0,0,0,0,1</v>
      </c>
      <c r="AJ303" s="26" t="str">
        <f t="shared" ref="AJ303" si="2142">CP$6</f>
        <v>0,0,5,0,5,0,0,5,0,5</v>
      </c>
      <c r="AK303" s="26" t="str">
        <f t="shared" ref="AK303" si="2143">CQ$6</f>
        <v>100,1000,5,1500,5,200,1000,5,1500,5</v>
      </c>
      <c r="AL303" s="26" t="str">
        <f t="shared" ref="AL303" si="2144">CR$6</f>
        <v>5,5,5,5,5,5,5,5,5,5</v>
      </c>
      <c r="AM303" s="7">
        <v>2001</v>
      </c>
      <c r="AO303">
        <f t="shared" ref="AO303" si="2145">AQ303*100+3</f>
        <v>3403</v>
      </c>
      <c r="AP303">
        <v>299</v>
      </c>
      <c r="AQ303">
        <f t="shared" si="1837"/>
        <v>34</v>
      </c>
      <c r="AR303" s="17">
        <v>8</v>
      </c>
      <c r="AS303" s="17">
        <f t="shared" si="1918"/>
        <v>215</v>
      </c>
      <c r="AT303" s="17">
        <v>7</v>
      </c>
      <c r="AU303">
        <f t="shared" si="1838"/>
        <v>26</v>
      </c>
      <c r="AV303">
        <v>150</v>
      </c>
      <c r="AW303">
        <f t="shared" si="1839"/>
        <v>39392.179200000006</v>
      </c>
      <c r="AX303">
        <f t="shared" si="1968"/>
        <v>213840000.00000003</v>
      </c>
      <c r="AY303">
        <f t="shared" si="1840"/>
        <v>3564.0000000000005</v>
      </c>
      <c r="AZ303">
        <f t="shared" si="1841"/>
        <v>7128.0000000000009</v>
      </c>
      <c r="BA303">
        <f t="shared" si="1842"/>
        <v>47520.000000000007</v>
      </c>
      <c r="BB303">
        <f t="shared" si="1843"/>
        <v>1782.0000000000002</v>
      </c>
      <c r="BC303">
        <f t="shared" si="1969"/>
        <v>213840000.00000003</v>
      </c>
      <c r="BD303">
        <f t="shared" si="1844"/>
        <v>0.29411764705882354</v>
      </c>
      <c r="BE303" s="27">
        <f t="shared" si="1970"/>
        <v>136039448.16000006</v>
      </c>
      <c r="BF303" s="30">
        <f t="shared" si="1845"/>
        <v>0.38159999999999999</v>
      </c>
      <c r="BG303" s="27"/>
      <c r="BH303" s="27"/>
      <c r="BI303" s="27"/>
      <c r="CA303" s="20">
        <f t="shared" si="1846"/>
        <v>265</v>
      </c>
      <c r="CB303" s="20">
        <f t="shared" si="1847"/>
        <v>26500</v>
      </c>
    </row>
    <row r="304" spans="1:80" x14ac:dyDescent="0.15">
      <c r="A304">
        <v>3404</v>
      </c>
      <c r="B304" s="3" t="s">
        <v>119</v>
      </c>
      <c r="C304" s="4" t="s">
        <v>109</v>
      </c>
      <c r="D304" s="6" t="s">
        <v>120</v>
      </c>
      <c r="E304" s="5">
        <v>3</v>
      </c>
      <c r="F304" s="7" t="s">
        <v>145</v>
      </c>
      <c r="G304" s="5">
        <v>3</v>
      </c>
      <c r="H304" s="7" t="s">
        <v>190</v>
      </c>
      <c r="I304" s="5">
        <v>0</v>
      </c>
      <c r="J304" s="5">
        <v>0</v>
      </c>
      <c r="K304">
        <v>2</v>
      </c>
      <c r="L304">
        <v>1.5</v>
      </c>
      <c r="M304" s="5">
        <v>1.5</v>
      </c>
      <c r="N304" s="5">
        <v>10</v>
      </c>
      <c r="O304" s="5">
        <f t="shared" si="1827"/>
        <v>40267</v>
      </c>
      <c r="P304" s="5">
        <f t="shared" si="1828"/>
        <v>218592000</v>
      </c>
      <c r="Q304" s="5">
        <f t="shared" si="1829"/>
        <v>3643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70041</v>
      </c>
      <c r="X304" s="6" t="s">
        <v>182</v>
      </c>
      <c r="Y304" s="5">
        <v>300</v>
      </c>
      <c r="Z304" s="5">
        <v>1</v>
      </c>
      <c r="AA304" s="5">
        <v>33175296</v>
      </c>
      <c r="AB304" s="16" t="s">
        <v>111</v>
      </c>
      <c r="AC304" s="7" t="s">
        <v>112</v>
      </c>
      <c r="AD304" s="7" t="s">
        <v>112</v>
      </c>
      <c r="AE304" s="7" t="s">
        <v>112</v>
      </c>
      <c r="AF304" s="6" t="s">
        <v>113</v>
      </c>
      <c r="AG304" s="26" t="str">
        <f t="shared" ref="AG304" si="2146">CM$7</f>
        <v>4,14,28,14,6,4,14,28,14,6</v>
      </c>
      <c r="AH304" s="26" t="str">
        <f t="shared" ref="AH304" si="2147">CN$7</f>
        <v>0,0,0,0,1,0,0,0,0,1</v>
      </c>
      <c r="AI304" s="26" t="str">
        <f t="shared" ref="AI304" si="2148">CO$7</f>
        <v>0,0,0,0,1,0,0,0,0,1</v>
      </c>
      <c r="AJ304" s="26" t="str">
        <f t="shared" ref="AJ304" si="2149">CP$7</f>
        <v>0,0,0,0,5,0,0,0,0,5</v>
      </c>
      <c r="AK304" s="26" t="str">
        <f t="shared" ref="AK304" si="2150">CQ$7</f>
        <v>100,1,1000,2,5,200,1,1000,2,5</v>
      </c>
      <c r="AL304" s="26" t="str">
        <f t="shared" ref="AL304" si="2151">CR$7</f>
        <v>5,5,5,5,5,5,5,5,5,5</v>
      </c>
      <c r="AM304" s="7">
        <v>2001</v>
      </c>
      <c r="AO304">
        <f t="shared" ref="AO304" si="2152">AQ304*100+4</f>
        <v>3404</v>
      </c>
      <c r="AP304">
        <v>300</v>
      </c>
      <c r="AQ304">
        <f t="shared" si="1837"/>
        <v>34</v>
      </c>
      <c r="AR304" s="17">
        <v>8</v>
      </c>
      <c r="AS304" s="17">
        <f t="shared" si="1918"/>
        <v>220</v>
      </c>
      <c r="AT304" s="17">
        <v>7</v>
      </c>
      <c r="AU304">
        <f t="shared" si="1838"/>
        <v>26</v>
      </c>
      <c r="AV304">
        <v>150</v>
      </c>
      <c r="AW304">
        <f t="shared" si="1839"/>
        <v>40267.560960000003</v>
      </c>
      <c r="AX304">
        <f t="shared" si="1968"/>
        <v>218592000.00000003</v>
      </c>
      <c r="AY304">
        <f t="shared" si="1840"/>
        <v>3643.2000000000003</v>
      </c>
      <c r="AZ304">
        <f t="shared" si="1841"/>
        <v>7286.4000000000005</v>
      </c>
      <c r="BA304">
        <f t="shared" si="1842"/>
        <v>48576.000000000007</v>
      </c>
      <c r="BB304">
        <f t="shared" si="1843"/>
        <v>1821.6000000000001</v>
      </c>
      <c r="BC304">
        <f t="shared" si="1969"/>
        <v>218592000.00000003</v>
      </c>
      <c r="BD304">
        <f t="shared" si="1844"/>
        <v>0.29411764705882354</v>
      </c>
      <c r="BE304" s="27">
        <f t="shared" si="1970"/>
        <v>142152825.83040008</v>
      </c>
      <c r="BF304" s="30">
        <f t="shared" si="1845"/>
        <v>0.38159999999999999</v>
      </c>
      <c r="BG304" s="27"/>
      <c r="BH304" s="27"/>
      <c r="BI304" s="27"/>
      <c r="CA304" s="20">
        <f t="shared" si="1846"/>
        <v>265</v>
      </c>
      <c r="CB304" s="20">
        <f t="shared" si="1847"/>
        <v>26500</v>
      </c>
    </row>
    <row r="305" spans="1:80" x14ac:dyDescent="0.15">
      <c r="A305">
        <v>3405</v>
      </c>
      <c r="B305" s="3" t="s">
        <v>122</v>
      </c>
      <c r="C305" s="4" t="s">
        <v>109</v>
      </c>
      <c r="D305" s="4" t="s">
        <v>110</v>
      </c>
      <c r="E305" s="5">
        <v>2</v>
      </c>
      <c r="F305" s="7" t="s">
        <v>146</v>
      </c>
      <c r="G305" s="5">
        <v>3</v>
      </c>
      <c r="H305" s="7" t="s">
        <v>191</v>
      </c>
      <c r="I305" s="5">
        <v>0</v>
      </c>
      <c r="J305" s="7" t="s">
        <v>148</v>
      </c>
      <c r="K305">
        <v>6</v>
      </c>
      <c r="L305">
        <v>1.5</v>
      </c>
      <c r="M305" s="5">
        <v>1.5</v>
      </c>
      <c r="N305" s="5">
        <v>10</v>
      </c>
      <c r="O305" s="5">
        <f t="shared" si="1827"/>
        <v>41142</v>
      </c>
      <c r="P305" s="5">
        <f t="shared" si="1828"/>
        <v>223344000</v>
      </c>
      <c r="Q305" s="5">
        <f t="shared" si="1829"/>
        <v>3722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70051</v>
      </c>
      <c r="X305" s="6" t="s">
        <v>183</v>
      </c>
      <c r="Y305" s="5">
        <v>300</v>
      </c>
      <c r="Z305" s="5">
        <v>1</v>
      </c>
      <c r="AA305" s="5">
        <v>34854795</v>
      </c>
      <c r="AB305" s="16" t="s">
        <v>111</v>
      </c>
      <c r="AC305" s="7" t="s">
        <v>112</v>
      </c>
      <c r="AD305" s="7" t="s">
        <v>112</v>
      </c>
      <c r="AE305" s="7" t="s">
        <v>112</v>
      </c>
      <c r="AF305" s="6" t="s">
        <v>113</v>
      </c>
      <c r="AG305" s="26" t="str">
        <f t="shared" ref="AG305" si="2153">CM$8</f>
        <v>4,19,28,19,6,4,19,28,19,6</v>
      </c>
      <c r="AH305" s="26" t="str">
        <f t="shared" ref="AH305" si="2154">CN$8</f>
        <v>0,0,0,0,1,0,0,0,0,1</v>
      </c>
      <c r="AI305" s="26" t="str">
        <f t="shared" ref="AI305" si="2155">CO$8</f>
        <v>0,0,0,0,1,0,0,0,0,1</v>
      </c>
      <c r="AJ305" s="26" t="str">
        <f t="shared" ref="AJ305" si="2156">CP$8</f>
        <v>0,0,0,0,5,0,0,0,0,5</v>
      </c>
      <c r="AK305" s="26" t="str">
        <f t="shared" ref="AK305" si="2157">CQ$8</f>
        <v>200,100,1000,200,5,200,100,1000,200,5</v>
      </c>
      <c r="AL305" s="26" t="str">
        <f t="shared" ref="AL305" si="2158">CR$8</f>
        <v>5,5,5,5,5,5,5,5,5,5</v>
      </c>
      <c r="AM305" s="7">
        <v>2001</v>
      </c>
      <c r="AO305">
        <f t="shared" ref="AO305" si="2159">AQ305*100+5</f>
        <v>3405</v>
      </c>
      <c r="AP305">
        <v>301</v>
      </c>
      <c r="AQ305">
        <f t="shared" si="1837"/>
        <v>34</v>
      </c>
      <c r="AR305" s="17">
        <v>8</v>
      </c>
      <c r="AS305" s="17">
        <f t="shared" si="1918"/>
        <v>225</v>
      </c>
      <c r="AT305" s="17">
        <v>7</v>
      </c>
      <c r="AU305">
        <f t="shared" si="1838"/>
        <v>26</v>
      </c>
      <c r="AV305">
        <v>150</v>
      </c>
      <c r="AW305">
        <f t="shared" si="1839"/>
        <v>41142.942720000006</v>
      </c>
      <c r="AX305">
        <f t="shared" si="1968"/>
        <v>223344000</v>
      </c>
      <c r="AY305">
        <f t="shared" si="1840"/>
        <v>3722.4</v>
      </c>
      <c r="AZ305">
        <f t="shared" si="1841"/>
        <v>7444.8</v>
      </c>
      <c r="BA305">
        <f t="shared" si="1842"/>
        <v>49632.000000000007</v>
      </c>
      <c r="BB305">
        <f t="shared" si="1843"/>
        <v>1861.2</v>
      </c>
      <c r="BC305">
        <f t="shared" si="1969"/>
        <v>223344000</v>
      </c>
      <c r="BD305">
        <f t="shared" si="1844"/>
        <v>0.29411764705882348</v>
      </c>
      <c r="BE305" s="27">
        <f t="shared" si="1970"/>
        <v>148400563.44960001</v>
      </c>
      <c r="BF305" s="30">
        <f t="shared" si="1845"/>
        <v>0.38159999999999999</v>
      </c>
      <c r="BG305" s="27"/>
      <c r="BH305" s="27"/>
      <c r="BI305" s="27"/>
      <c r="CA305" s="20">
        <f t="shared" si="1846"/>
        <v>265</v>
      </c>
      <c r="CB305" s="20">
        <f t="shared" si="1847"/>
        <v>26500</v>
      </c>
    </row>
    <row r="306" spans="1:80" x14ac:dyDescent="0.15">
      <c r="A306">
        <v>3406</v>
      </c>
      <c r="B306" s="3" t="s">
        <v>124</v>
      </c>
      <c r="C306" s="4" t="s">
        <v>109</v>
      </c>
      <c r="D306" s="6" t="s">
        <v>120</v>
      </c>
      <c r="E306" s="5">
        <v>1</v>
      </c>
      <c r="F306" s="7" t="s">
        <v>147</v>
      </c>
      <c r="G306" s="5">
        <v>3</v>
      </c>
      <c r="H306" s="7" t="s">
        <v>192</v>
      </c>
      <c r="I306" s="5">
        <v>0</v>
      </c>
      <c r="J306" s="7" t="s">
        <v>149</v>
      </c>
      <c r="K306">
        <v>6</v>
      </c>
      <c r="L306">
        <v>1.5</v>
      </c>
      <c r="M306" s="5">
        <v>1.5</v>
      </c>
      <c r="N306" s="5">
        <v>10</v>
      </c>
      <c r="O306" s="5">
        <f t="shared" si="1827"/>
        <v>42018</v>
      </c>
      <c r="P306" s="5">
        <f t="shared" si="1828"/>
        <v>228096000</v>
      </c>
      <c r="Q306" s="5">
        <f t="shared" si="1829"/>
        <v>3801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70061</v>
      </c>
      <c r="X306" s="6" t="s">
        <v>184</v>
      </c>
      <c r="Y306" s="5">
        <v>300</v>
      </c>
      <c r="Z306" s="5">
        <v>1</v>
      </c>
      <c r="AA306" s="5">
        <v>36575764</v>
      </c>
      <c r="AB306" s="16" t="s">
        <v>111</v>
      </c>
      <c r="AC306" s="7" t="s">
        <v>112</v>
      </c>
      <c r="AD306" s="7" t="s">
        <v>112</v>
      </c>
      <c r="AE306" s="7" t="s">
        <v>112</v>
      </c>
      <c r="AF306" s="6" t="s">
        <v>113</v>
      </c>
      <c r="AG306" s="26" t="str">
        <f t="shared" ref="AG306" si="2160">CM$9</f>
        <v>4,33,28,33,6,4,33,28,33,6</v>
      </c>
      <c r="AH306" s="26" t="str">
        <f t="shared" ref="AH306" si="2161">CN$9</f>
        <v>0,6,0,6,1,0,6,0,6,1</v>
      </c>
      <c r="AI306" s="26" t="str">
        <f t="shared" ref="AI306" si="2162">CO$9</f>
        <v>0,0,0,0,1,0,0,0,0,1</v>
      </c>
      <c r="AJ306" s="26" t="str">
        <f t="shared" ref="AJ306" si="2163">CP$9</f>
        <v>0,0,0,0,5,0,0,0,0,5</v>
      </c>
      <c r="AK306" s="26" t="str">
        <f t="shared" ref="AK306" si="2164">CQ$9</f>
        <v>200,1,1000,2,5,200,1,1000,2,5</v>
      </c>
      <c r="AL306" s="26" t="str">
        <f t="shared" ref="AL306" si="2165">CR$9</f>
        <v>5,5,5,5,5,5,5,5,5,5</v>
      </c>
      <c r="AM306" s="7">
        <v>2001</v>
      </c>
      <c r="AO306">
        <f t="shared" ref="AO306" si="2166">AQ306*100+6</f>
        <v>3406</v>
      </c>
      <c r="AP306">
        <v>302</v>
      </c>
      <c r="AQ306">
        <f t="shared" si="1837"/>
        <v>34</v>
      </c>
      <c r="AR306" s="17">
        <v>8</v>
      </c>
      <c r="AS306" s="17">
        <f t="shared" si="1918"/>
        <v>230</v>
      </c>
      <c r="AT306" s="17">
        <v>7</v>
      </c>
      <c r="AU306">
        <f t="shared" si="1838"/>
        <v>26</v>
      </c>
      <c r="AV306">
        <v>150</v>
      </c>
      <c r="AW306">
        <f t="shared" si="1839"/>
        <v>42018.324480000003</v>
      </c>
      <c r="AX306">
        <f t="shared" si="1968"/>
        <v>228096000</v>
      </c>
      <c r="AY306">
        <f t="shared" si="1840"/>
        <v>3801.6</v>
      </c>
      <c r="AZ306">
        <f t="shared" si="1841"/>
        <v>7603.2</v>
      </c>
      <c r="BA306">
        <f t="shared" si="1842"/>
        <v>50688.000000000007</v>
      </c>
      <c r="BB306">
        <f t="shared" si="1843"/>
        <v>1900.8</v>
      </c>
      <c r="BC306">
        <f t="shared" si="1969"/>
        <v>228096000</v>
      </c>
      <c r="BD306">
        <f t="shared" si="1844"/>
        <v>0.29411764705882354</v>
      </c>
      <c r="BE306" s="27">
        <f t="shared" si="1970"/>
        <v>154782661.01760003</v>
      </c>
      <c r="BF306" s="30">
        <f t="shared" si="1845"/>
        <v>0.38159999999999999</v>
      </c>
      <c r="BG306" s="27"/>
      <c r="BH306" s="27"/>
      <c r="BI306" s="27"/>
      <c r="CA306" s="20">
        <f t="shared" si="1846"/>
        <v>265</v>
      </c>
      <c r="CB306" s="20">
        <f t="shared" si="1847"/>
        <v>26500</v>
      </c>
    </row>
    <row r="307" spans="1:80" x14ac:dyDescent="0.15">
      <c r="A307">
        <v>3407</v>
      </c>
      <c r="B307" s="3" t="s">
        <v>126</v>
      </c>
      <c r="C307" s="4" t="s">
        <v>109</v>
      </c>
      <c r="D307" s="4" t="s">
        <v>110</v>
      </c>
      <c r="E307" s="5">
        <v>2</v>
      </c>
      <c r="F307" s="7" t="s">
        <v>143</v>
      </c>
      <c r="G307" s="5">
        <v>3</v>
      </c>
      <c r="H307" s="7" t="s">
        <v>193</v>
      </c>
      <c r="I307" s="5">
        <v>0</v>
      </c>
      <c r="J307" s="5">
        <v>0</v>
      </c>
      <c r="K307">
        <v>2</v>
      </c>
      <c r="L307">
        <v>1.5</v>
      </c>
      <c r="M307" s="5">
        <v>1.5</v>
      </c>
      <c r="N307" s="5">
        <v>10</v>
      </c>
      <c r="O307" s="5">
        <f t="shared" si="1827"/>
        <v>42893</v>
      </c>
      <c r="P307" s="5">
        <f t="shared" si="1828"/>
        <v>232848000</v>
      </c>
      <c r="Q307" s="5">
        <f t="shared" si="1829"/>
        <v>3880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70071</v>
      </c>
      <c r="X307" s="6" t="s">
        <v>185</v>
      </c>
      <c r="Y307" s="5">
        <v>300</v>
      </c>
      <c r="Z307" s="5">
        <v>1</v>
      </c>
      <c r="AA307" s="5">
        <v>38338201</v>
      </c>
      <c r="AB307" s="16" t="s">
        <v>111</v>
      </c>
      <c r="AC307" s="7" t="s">
        <v>112</v>
      </c>
      <c r="AD307" s="7" t="s">
        <v>112</v>
      </c>
      <c r="AE307" s="7" t="s">
        <v>112</v>
      </c>
      <c r="AF307" s="6" t="s">
        <v>113</v>
      </c>
      <c r="AG307" s="26" t="str">
        <f t="shared" ref="AG307" si="2167">CM$10</f>
        <v>4,14,28,14,6,4,14,28,14,6</v>
      </c>
      <c r="AH307" s="26" t="str">
        <f t="shared" ref="AH307" si="2168">CN$10</f>
        <v>0,0,0,0,1,0,0,0,0,1</v>
      </c>
      <c r="AI307" s="26" t="str">
        <f t="shared" ref="AI307" si="2169">CO$10</f>
        <v>0,0,0,0,1,0,0,0,0,1</v>
      </c>
      <c r="AJ307" s="26" t="str">
        <f t="shared" ref="AJ307" si="2170">CP$10</f>
        <v>0,0,0,0,5,0,0,0,0,5</v>
      </c>
      <c r="AK307" s="26" t="str">
        <f t="shared" ref="AK307" si="2171">CQ$10</f>
        <v>200,1,1000,2,5,200,1,1000,2,5</v>
      </c>
      <c r="AL307" s="26" t="str">
        <f t="shared" ref="AL307" si="2172">CR$10</f>
        <v>5,5,5,5,5,5,5,5,5,5</v>
      </c>
      <c r="AM307" s="7">
        <v>2001</v>
      </c>
      <c r="AO307">
        <f t="shared" ref="AO307" si="2173">AQ307*100+7</f>
        <v>3407</v>
      </c>
      <c r="AP307">
        <v>303</v>
      </c>
      <c r="AQ307">
        <f t="shared" si="1837"/>
        <v>34</v>
      </c>
      <c r="AR307" s="17">
        <v>8</v>
      </c>
      <c r="AS307" s="17">
        <f t="shared" si="1918"/>
        <v>235</v>
      </c>
      <c r="AT307" s="17">
        <v>7</v>
      </c>
      <c r="AU307">
        <f t="shared" si="1838"/>
        <v>26</v>
      </c>
      <c r="AV307">
        <v>150</v>
      </c>
      <c r="AW307">
        <f t="shared" si="1839"/>
        <v>42893.70624</v>
      </c>
      <c r="AX307">
        <f t="shared" si="1968"/>
        <v>232848000</v>
      </c>
      <c r="AY307">
        <f t="shared" si="1840"/>
        <v>3880.8</v>
      </c>
      <c r="AZ307">
        <f t="shared" si="1841"/>
        <v>7761.6</v>
      </c>
      <c r="BA307">
        <f t="shared" si="1842"/>
        <v>51744.000000000007</v>
      </c>
      <c r="BB307">
        <f t="shared" si="1843"/>
        <v>1940.4</v>
      </c>
      <c r="BC307">
        <f t="shared" si="1969"/>
        <v>232848000</v>
      </c>
      <c r="BD307">
        <f t="shared" si="1844"/>
        <v>0.29411764705882348</v>
      </c>
      <c r="BE307" s="27">
        <f t="shared" si="1970"/>
        <v>161299118.53439999</v>
      </c>
      <c r="BF307" s="30">
        <f t="shared" si="1845"/>
        <v>0.38159999999999999</v>
      </c>
      <c r="BG307" s="27"/>
      <c r="BH307" s="27"/>
      <c r="BI307" s="27"/>
      <c r="CA307" s="20">
        <f t="shared" si="1846"/>
        <v>265</v>
      </c>
      <c r="CB307" s="20">
        <f t="shared" si="1847"/>
        <v>26500</v>
      </c>
    </row>
    <row r="308" spans="1:80" x14ac:dyDescent="0.15">
      <c r="A308">
        <v>3408</v>
      </c>
      <c r="B308" s="3" t="s">
        <v>128</v>
      </c>
      <c r="C308" s="4" t="s">
        <v>109</v>
      </c>
      <c r="D308" s="4" t="s">
        <v>110</v>
      </c>
      <c r="E308" s="5">
        <v>5</v>
      </c>
      <c r="F308" s="7" t="s">
        <v>129</v>
      </c>
      <c r="G308" s="5">
        <v>2</v>
      </c>
      <c r="H308" s="7" t="s">
        <v>130</v>
      </c>
      <c r="I308" s="5">
        <v>0</v>
      </c>
      <c r="J308" s="5">
        <v>0</v>
      </c>
      <c r="K308">
        <v>2</v>
      </c>
      <c r="L308">
        <v>1.5</v>
      </c>
      <c r="M308" s="5">
        <v>1.5</v>
      </c>
      <c r="N308" s="5">
        <v>10</v>
      </c>
      <c r="O308" s="5">
        <f t="shared" si="1827"/>
        <v>43769</v>
      </c>
      <c r="P308" s="5">
        <f t="shared" si="1828"/>
        <v>237600000</v>
      </c>
      <c r="Q308" s="5">
        <f t="shared" si="1829"/>
        <v>3960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70081</v>
      </c>
      <c r="X308" s="6" t="s">
        <v>186</v>
      </c>
      <c r="Y308" s="5">
        <v>300</v>
      </c>
      <c r="Z308" s="5">
        <v>1</v>
      </c>
      <c r="AA308" s="5">
        <v>40142108</v>
      </c>
      <c r="AB308" s="16" t="s">
        <v>111</v>
      </c>
      <c r="AC308" s="7" t="s">
        <v>112</v>
      </c>
      <c r="AD308" s="7" t="s">
        <v>112</v>
      </c>
      <c r="AE308" s="7" t="s">
        <v>112</v>
      </c>
      <c r="AF308" s="6" t="s">
        <v>113</v>
      </c>
      <c r="AG308" s="26" t="str">
        <f t="shared" ref="AG308" si="2174">CM$11</f>
        <v>4,28,6,28,6,4,28,6,28,6</v>
      </c>
      <c r="AH308" s="26" t="str">
        <f t="shared" ref="AH308" si="2175">CN$11</f>
        <v>0,0,1,0,1,0,0,1,0,1</v>
      </c>
      <c r="AI308" s="26" t="str">
        <f t="shared" ref="AI308" si="2176">CO$11</f>
        <v>0,0,1,0,1,0,0,1,0,1</v>
      </c>
      <c r="AJ308" s="26" t="str">
        <f t="shared" ref="AJ308" si="2177">CP$11</f>
        <v>0,0,5,0,5,0,0,5,0,5</v>
      </c>
      <c r="AK308" s="26" t="str">
        <f t="shared" ref="AK308" si="2178">CQ$11</f>
        <v>100,1000,5,1500,5,200,1000,5,1500,5</v>
      </c>
      <c r="AL308" s="26" t="str">
        <f t="shared" ref="AL308" si="2179">CR$11</f>
        <v>5,5,5,5,5,5,5,5,5,5</v>
      </c>
      <c r="AM308" s="7">
        <v>2001</v>
      </c>
      <c r="AO308">
        <f t="shared" ref="AO308" si="2180">AQ308*100+8</f>
        <v>3408</v>
      </c>
      <c r="AP308">
        <v>304</v>
      </c>
      <c r="AQ308">
        <f t="shared" si="1837"/>
        <v>34</v>
      </c>
      <c r="AR308" s="17">
        <v>8</v>
      </c>
      <c r="AS308" s="17">
        <f t="shared" si="1918"/>
        <v>240</v>
      </c>
      <c r="AT308" s="17">
        <v>7</v>
      </c>
      <c r="AU308">
        <f t="shared" si="1838"/>
        <v>26</v>
      </c>
      <c r="AV308">
        <v>150</v>
      </c>
      <c r="AW308">
        <f t="shared" si="1839"/>
        <v>43769.088000000003</v>
      </c>
      <c r="AX308">
        <f t="shared" si="1968"/>
        <v>237600000</v>
      </c>
      <c r="AY308">
        <f t="shared" si="1840"/>
        <v>3960</v>
      </c>
      <c r="AZ308">
        <f t="shared" si="1841"/>
        <v>7920</v>
      </c>
      <c r="BA308">
        <f t="shared" si="1842"/>
        <v>52800.000000000007</v>
      </c>
      <c r="BB308">
        <f t="shared" si="1843"/>
        <v>1980</v>
      </c>
      <c r="BC308">
        <f t="shared" si="1969"/>
        <v>237600000</v>
      </c>
      <c r="BD308">
        <f t="shared" si="1844"/>
        <v>0.29411764705882354</v>
      </c>
      <c r="BE308" s="27">
        <f t="shared" si="1970"/>
        <v>167949936</v>
      </c>
      <c r="BF308" s="30">
        <f t="shared" si="1845"/>
        <v>0.38159999999999999</v>
      </c>
      <c r="BG308" s="27"/>
      <c r="BH308" s="27"/>
      <c r="BI308" s="27"/>
      <c r="CA308" s="20">
        <f t="shared" si="1846"/>
        <v>265</v>
      </c>
      <c r="CB308" s="20">
        <f t="shared" si="1847"/>
        <v>26500</v>
      </c>
    </row>
    <row r="309" spans="1:80" x14ac:dyDescent="0.15">
      <c r="A309">
        <v>3409</v>
      </c>
      <c r="B309" s="3" t="s">
        <v>132</v>
      </c>
      <c r="C309" s="4" t="s">
        <v>109</v>
      </c>
      <c r="D309" s="4" t="s">
        <v>110</v>
      </c>
      <c r="E309" s="5">
        <v>5</v>
      </c>
      <c r="F309" s="7" t="s">
        <v>140</v>
      </c>
      <c r="G309" s="5">
        <v>3</v>
      </c>
      <c r="H309" s="7" t="s">
        <v>140</v>
      </c>
      <c r="I309" s="5">
        <v>0</v>
      </c>
      <c r="J309" s="7">
        <v>0</v>
      </c>
      <c r="K309">
        <v>6</v>
      </c>
      <c r="L309">
        <v>1.5</v>
      </c>
      <c r="M309" s="5">
        <v>1.5</v>
      </c>
      <c r="N309" s="5">
        <v>10</v>
      </c>
      <c r="O309" s="5">
        <f t="shared" si="1827"/>
        <v>44644</v>
      </c>
      <c r="P309" s="5">
        <f t="shared" si="1828"/>
        <v>242352000</v>
      </c>
      <c r="Q309" s="5">
        <f t="shared" si="1829"/>
        <v>4039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70091</v>
      </c>
      <c r="X309" s="6" t="s">
        <v>187</v>
      </c>
      <c r="Y309" s="5">
        <v>300</v>
      </c>
      <c r="Z309" s="5">
        <v>1</v>
      </c>
      <c r="AA309" s="5">
        <v>41987484</v>
      </c>
      <c r="AB309" s="16" t="s">
        <v>111</v>
      </c>
      <c r="AC309" s="7" t="s">
        <v>112</v>
      </c>
      <c r="AD309" s="7" t="s">
        <v>112</v>
      </c>
      <c r="AE309" s="7" t="s">
        <v>112</v>
      </c>
      <c r="AF309" s="6" t="s">
        <v>113</v>
      </c>
      <c r="AG309" s="26" t="str">
        <f t="shared" ref="AG309" si="2181">CM$12</f>
        <v>4,33,28,33,6,4,33,28,33,6</v>
      </c>
      <c r="AH309" s="26" t="str">
        <f t="shared" ref="AH309" si="2182">CN$12</f>
        <v>0,5,0,5,1,0,5,0,5,1</v>
      </c>
      <c r="AI309" s="26" t="str">
        <f t="shared" ref="AI309" si="2183">CO$12</f>
        <v>0,0,0,0,1,0,0,0,0,1</v>
      </c>
      <c r="AJ309" s="26" t="str">
        <f t="shared" ref="AJ309" si="2184">CP$12</f>
        <v>0,0,0,0,5,0,0,0,0,5</v>
      </c>
      <c r="AK309" s="26" t="str">
        <f t="shared" ref="AK309" si="2185">CQ$12</f>
        <v>100,1,1000,2,5,200,1,1000,2,5</v>
      </c>
      <c r="AL309" s="26" t="str">
        <f t="shared" ref="AL309" si="2186">CR$12</f>
        <v>5,5,5,5,5,5,5,5,5,5</v>
      </c>
      <c r="AM309" s="7">
        <v>2001</v>
      </c>
      <c r="AO309">
        <f t="shared" ref="AO309" si="2187">AQ309*100+9</f>
        <v>3409</v>
      </c>
      <c r="AP309">
        <v>305</v>
      </c>
      <c r="AQ309">
        <f t="shared" si="1837"/>
        <v>34</v>
      </c>
      <c r="AR309" s="17">
        <v>8</v>
      </c>
      <c r="AS309" s="17">
        <f t="shared" si="1918"/>
        <v>245</v>
      </c>
      <c r="AT309" s="17">
        <v>7</v>
      </c>
      <c r="AU309">
        <f t="shared" si="1838"/>
        <v>26</v>
      </c>
      <c r="AV309">
        <v>150</v>
      </c>
      <c r="AW309">
        <f t="shared" si="1839"/>
        <v>44644.46976</v>
      </c>
      <c r="AX309">
        <f t="shared" si="1968"/>
        <v>242352000.00000006</v>
      </c>
      <c r="AY309">
        <f t="shared" si="1840"/>
        <v>4039.2000000000003</v>
      </c>
      <c r="AZ309">
        <f t="shared" si="1841"/>
        <v>8078.4000000000005</v>
      </c>
      <c r="BA309">
        <f t="shared" si="1842"/>
        <v>53856.000000000007</v>
      </c>
      <c r="BB309">
        <f t="shared" si="1843"/>
        <v>2019.6000000000001</v>
      </c>
      <c r="BC309">
        <f t="shared" si="1969"/>
        <v>242352000.00000006</v>
      </c>
      <c r="BD309">
        <f t="shared" si="1844"/>
        <v>0.29411764705882354</v>
      </c>
      <c r="BE309" s="27">
        <f t="shared" si="1970"/>
        <v>174735113.4144001</v>
      </c>
      <c r="BF309" s="30">
        <f t="shared" si="1845"/>
        <v>0.38159999999999999</v>
      </c>
      <c r="BG309" s="27"/>
      <c r="BH309" s="27"/>
      <c r="BI309" s="27"/>
      <c r="CA309" s="20">
        <f t="shared" si="1846"/>
        <v>265</v>
      </c>
      <c r="CB309" s="20">
        <f t="shared" si="1847"/>
        <v>26500</v>
      </c>
    </row>
    <row r="310" spans="1:80" x14ac:dyDescent="0.15">
      <c r="A310">
        <v>3501</v>
      </c>
      <c r="B310" s="3" t="s">
        <v>108</v>
      </c>
      <c r="C310" s="4" t="s">
        <v>109</v>
      </c>
      <c r="D310" s="4" t="s">
        <v>110</v>
      </c>
      <c r="E310" s="5">
        <v>3</v>
      </c>
      <c r="F310" s="7" t="s">
        <v>141</v>
      </c>
      <c r="G310" s="5">
        <v>2.5</v>
      </c>
      <c r="H310" s="7" t="s">
        <v>194</v>
      </c>
      <c r="I310" s="5">
        <v>0</v>
      </c>
      <c r="J310" s="5">
        <v>0</v>
      </c>
      <c r="K310">
        <v>2</v>
      </c>
      <c r="L310">
        <v>1.5</v>
      </c>
      <c r="M310" s="5">
        <v>1.5</v>
      </c>
      <c r="N310" s="5">
        <v>10</v>
      </c>
      <c r="O310" s="5">
        <f t="shared" si="1827"/>
        <v>38583</v>
      </c>
      <c r="P310" s="5">
        <f t="shared" si="1828"/>
        <v>209088000</v>
      </c>
      <c r="Q310" s="5">
        <f t="shared" si="1829"/>
        <v>3484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70011</v>
      </c>
      <c r="X310" s="6" t="s">
        <v>179</v>
      </c>
      <c r="Y310" s="5">
        <v>300</v>
      </c>
      <c r="Z310" s="5">
        <v>1</v>
      </c>
      <c r="AA310" s="5">
        <v>43874329</v>
      </c>
      <c r="AB310" s="16" t="s">
        <v>111</v>
      </c>
      <c r="AC310" s="7" t="s">
        <v>112</v>
      </c>
      <c r="AD310" s="7" t="s">
        <v>112</v>
      </c>
      <c r="AE310" s="7" t="s">
        <v>112</v>
      </c>
      <c r="AF310" s="6" t="s">
        <v>113</v>
      </c>
      <c r="AG310" s="26" t="str">
        <f t="shared" ref="AG310" si="2188">CM$4</f>
        <v>4,33,28,33,6,4,33,28,33,6</v>
      </c>
      <c r="AH310" s="26" t="str">
        <f t="shared" ref="AH310" si="2189">CN$4</f>
        <v>0,8,0,8,1,0,8,0,8,1</v>
      </c>
      <c r="AI310" s="26" t="str">
        <f t="shared" ref="AI310" si="2190">CO$4</f>
        <v>0,0,0,0,1,0,0,0,0,1</v>
      </c>
      <c r="AJ310" s="26" t="str">
        <f t="shared" ref="AJ310" si="2191">CP$4</f>
        <v>0,0,0,0,5,0,0,0,0,5</v>
      </c>
      <c r="AK310" s="26" t="str">
        <f t="shared" ref="AK310" si="2192">CQ$4</f>
        <v>100,1,1000,2,5,200,1,1000,2,5</v>
      </c>
      <c r="AL310" s="26" t="str">
        <f t="shared" ref="AL310" si="2193">CR$4</f>
        <v>5,5,5,5,5,5,5,5,5,5</v>
      </c>
      <c r="AM310" s="7">
        <v>2001</v>
      </c>
      <c r="AO310">
        <f t="shared" ref="AO310" si="2194">AQ310*100+1</f>
        <v>3501</v>
      </c>
      <c r="AP310">
        <v>306</v>
      </c>
      <c r="AQ310">
        <f t="shared" si="1837"/>
        <v>35</v>
      </c>
      <c r="AR310" s="17">
        <v>8</v>
      </c>
      <c r="AS310" s="17">
        <f t="shared" si="1918"/>
        <v>210</v>
      </c>
      <c r="AT310" s="17">
        <v>7</v>
      </c>
      <c r="AU310">
        <f t="shared" si="1838"/>
        <v>26</v>
      </c>
      <c r="AV310">
        <v>150</v>
      </c>
      <c r="AW310">
        <f t="shared" si="1839"/>
        <v>38583.705599999994</v>
      </c>
      <c r="AX310">
        <f t="shared" si="1968"/>
        <v>209088000.00000003</v>
      </c>
      <c r="AY310">
        <f t="shared" si="1840"/>
        <v>3484.8000000000006</v>
      </c>
      <c r="AZ310">
        <f t="shared" si="1841"/>
        <v>6969.6000000000013</v>
      </c>
      <c r="BA310">
        <f t="shared" si="1842"/>
        <v>46464</v>
      </c>
      <c r="BB310">
        <f t="shared" si="1843"/>
        <v>1742.4000000000003</v>
      </c>
      <c r="BC310">
        <f t="shared" si="1969"/>
        <v>209088000.00000003</v>
      </c>
      <c r="BD310">
        <f t="shared" si="1844"/>
        <v>0.29411764705882354</v>
      </c>
      <c r="BE310" s="27">
        <f t="shared" si="1970"/>
        <v>130060430.43840007</v>
      </c>
      <c r="BF310" s="30">
        <f t="shared" si="1845"/>
        <v>0.38400000000000001</v>
      </c>
      <c r="BG310" s="27"/>
      <c r="BH310" s="27"/>
      <c r="BI310" s="27"/>
      <c r="CA310" s="20">
        <f t="shared" si="1846"/>
        <v>270</v>
      </c>
      <c r="CB310" s="20">
        <f t="shared" si="1847"/>
        <v>27000</v>
      </c>
    </row>
    <row r="311" spans="1:80" x14ac:dyDescent="0.15">
      <c r="A311">
        <v>3502</v>
      </c>
      <c r="B311" s="3" t="s">
        <v>115</v>
      </c>
      <c r="C311" s="4" t="s">
        <v>109</v>
      </c>
      <c r="D311" s="6" t="s">
        <v>110</v>
      </c>
      <c r="E311" s="5">
        <v>3</v>
      </c>
      <c r="F311" s="7" t="s">
        <v>142</v>
      </c>
      <c r="G311" s="5">
        <v>3</v>
      </c>
      <c r="H311" s="7" t="s">
        <v>188</v>
      </c>
      <c r="I311" s="5">
        <v>0</v>
      </c>
      <c r="J311" s="5">
        <v>0</v>
      </c>
      <c r="K311">
        <v>2</v>
      </c>
      <c r="L311">
        <v>1.5</v>
      </c>
      <c r="M311" s="5">
        <v>1.5</v>
      </c>
      <c r="N311" s="5">
        <v>10</v>
      </c>
      <c r="O311" s="5">
        <f t="shared" si="1827"/>
        <v>39460</v>
      </c>
      <c r="P311" s="5">
        <f t="shared" si="1828"/>
        <v>213840000</v>
      </c>
      <c r="Q311" s="5">
        <f t="shared" si="1829"/>
        <v>3564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70021</v>
      </c>
      <c r="X311" s="6" t="s">
        <v>180</v>
      </c>
      <c r="Y311" s="5">
        <v>300</v>
      </c>
      <c r="Z311" s="5">
        <v>1</v>
      </c>
      <c r="AA311" s="5">
        <v>31537266</v>
      </c>
      <c r="AB311" s="16" t="s">
        <v>111</v>
      </c>
      <c r="AC311" s="7" t="s">
        <v>112</v>
      </c>
      <c r="AD311" s="7" t="s">
        <v>112</v>
      </c>
      <c r="AE311" s="7" t="s">
        <v>112</v>
      </c>
      <c r="AF311" s="6" t="s">
        <v>113</v>
      </c>
      <c r="AG311" s="26" t="str">
        <f t="shared" ref="AG311" si="2195">CM$5</f>
        <v>4,33,28,33,6,4,33,28,33,6</v>
      </c>
      <c r="AH311" s="26" t="str">
        <f t="shared" ref="AH311" si="2196">CN$5</f>
        <v>0,7,0,7,1,0,7,0,7,1</v>
      </c>
      <c r="AI311" s="26" t="str">
        <f t="shared" ref="AI311" si="2197">CO$5</f>
        <v>0,0,0,0,1,0,0,0,0,1</v>
      </c>
      <c r="AJ311" s="26" t="str">
        <f t="shared" ref="AJ311" si="2198">CP$5</f>
        <v>0,0,0,0,5,0,0,0,0,5</v>
      </c>
      <c r="AK311" s="26" t="str">
        <f t="shared" ref="AK311" si="2199">CQ$5</f>
        <v>100,1,1000,2,5,200,1,1000,2,5</v>
      </c>
      <c r="AL311" s="26" t="str">
        <f t="shared" ref="AL311" si="2200">CR$5</f>
        <v>5,5,5,5,5,5,5,5,5,5</v>
      </c>
      <c r="AM311" s="7">
        <v>2001</v>
      </c>
      <c r="AO311">
        <f t="shared" ref="AO311" si="2201">AQ311*100+2</f>
        <v>3502</v>
      </c>
      <c r="AP311">
        <v>307</v>
      </c>
      <c r="AQ311">
        <f t="shared" si="1837"/>
        <v>35</v>
      </c>
      <c r="AR311" s="17">
        <v>8</v>
      </c>
      <c r="AS311" s="17">
        <f t="shared" si="1918"/>
        <v>215</v>
      </c>
      <c r="AT311" s="17">
        <v>7</v>
      </c>
      <c r="AU311">
        <f t="shared" si="1838"/>
        <v>26</v>
      </c>
      <c r="AV311">
        <v>150</v>
      </c>
      <c r="AW311">
        <f t="shared" si="1839"/>
        <v>39460.608</v>
      </c>
      <c r="AX311">
        <f t="shared" si="1968"/>
        <v>213840000.00000003</v>
      </c>
      <c r="AY311">
        <f t="shared" si="1840"/>
        <v>3564.0000000000005</v>
      </c>
      <c r="AZ311">
        <f t="shared" si="1841"/>
        <v>7128.0000000000009</v>
      </c>
      <c r="BA311">
        <f t="shared" si="1842"/>
        <v>47520.000000000007</v>
      </c>
      <c r="BB311">
        <f t="shared" si="1843"/>
        <v>1782.0000000000002</v>
      </c>
      <c r="BC311">
        <f t="shared" si="1969"/>
        <v>213840000.00000003</v>
      </c>
      <c r="BD311">
        <f t="shared" si="1844"/>
        <v>0.29411764705882354</v>
      </c>
      <c r="BE311" s="27">
        <f t="shared" si="1970"/>
        <v>136039448.16000006</v>
      </c>
      <c r="BF311" s="30">
        <f t="shared" si="1845"/>
        <v>0.38400000000000001</v>
      </c>
      <c r="BG311" s="27"/>
      <c r="BH311" s="27"/>
      <c r="BI311" s="27"/>
      <c r="CA311" s="20">
        <f t="shared" si="1846"/>
        <v>270</v>
      </c>
      <c r="CB311" s="20">
        <f t="shared" si="1847"/>
        <v>27000</v>
      </c>
    </row>
    <row r="312" spans="1:80" x14ac:dyDescent="0.15">
      <c r="A312">
        <v>3503</v>
      </c>
      <c r="B312" s="3" t="s">
        <v>117</v>
      </c>
      <c r="C312" s="4" t="s">
        <v>109</v>
      </c>
      <c r="D312" s="4" t="s">
        <v>110</v>
      </c>
      <c r="E312" s="5">
        <v>1</v>
      </c>
      <c r="F312" s="7" t="s">
        <v>144</v>
      </c>
      <c r="G312" s="5">
        <v>3</v>
      </c>
      <c r="H312" s="7" t="s">
        <v>189</v>
      </c>
      <c r="I312" s="5">
        <v>0</v>
      </c>
      <c r="J312" s="2">
        <v>0</v>
      </c>
      <c r="K312">
        <v>6</v>
      </c>
      <c r="L312">
        <v>1.5</v>
      </c>
      <c r="M312" s="5">
        <v>1.5</v>
      </c>
      <c r="N312" s="5">
        <v>10</v>
      </c>
      <c r="O312" s="5">
        <f t="shared" si="1827"/>
        <v>40337</v>
      </c>
      <c r="P312" s="5">
        <f t="shared" si="1828"/>
        <v>218592000</v>
      </c>
      <c r="Q312" s="5">
        <f t="shared" si="1829"/>
        <v>3643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70031</v>
      </c>
      <c r="X312" s="6" t="s">
        <v>181</v>
      </c>
      <c r="Y312" s="5">
        <v>300</v>
      </c>
      <c r="Z312" s="5">
        <v>1</v>
      </c>
      <c r="AA312" s="5">
        <v>33175296</v>
      </c>
      <c r="AB312" s="16" t="s">
        <v>111</v>
      </c>
      <c r="AC312" s="7" t="s">
        <v>112</v>
      </c>
      <c r="AD312" s="7" t="s">
        <v>112</v>
      </c>
      <c r="AE312" s="7" t="s">
        <v>112</v>
      </c>
      <c r="AF312" s="6" t="s">
        <v>113</v>
      </c>
      <c r="AG312" s="26" t="str">
        <f t="shared" ref="AG312" si="2202">CM$6</f>
        <v>4,28,6,28,6,4,28,6,28,6</v>
      </c>
      <c r="AH312" s="26" t="str">
        <f t="shared" ref="AH312" si="2203">CN$6</f>
        <v>0,0,1,0,1,0,0,1,0,1</v>
      </c>
      <c r="AI312" s="26" t="str">
        <f t="shared" ref="AI312" si="2204">CO$6</f>
        <v>0,0,0,0,1,0,0,0,0,1</v>
      </c>
      <c r="AJ312" s="26" t="str">
        <f t="shared" ref="AJ312" si="2205">CP$6</f>
        <v>0,0,5,0,5,0,0,5,0,5</v>
      </c>
      <c r="AK312" s="26" t="str">
        <f t="shared" ref="AK312" si="2206">CQ$6</f>
        <v>100,1000,5,1500,5,200,1000,5,1500,5</v>
      </c>
      <c r="AL312" s="26" t="str">
        <f t="shared" ref="AL312" si="2207">CR$6</f>
        <v>5,5,5,5,5,5,5,5,5,5</v>
      </c>
      <c r="AM312" s="7">
        <v>2001</v>
      </c>
      <c r="AO312">
        <f t="shared" ref="AO312" si="2208">AQ312*100+3</f>
        <v>3503</v>
      </c>
      <c r="AP312">
        <v>308</v>
      </c>
      <c r="AQ312">
        <f t="shared" si="1837"/>
        <v>35</v>
      </c>
      <c r="AR312" s="17">
        <v>8</v>
      </c>
      <c r="AS312" s="17">
        <f t="shared" si="1918"/>
        <v>220</v>
      </c>
      <c r="AT312" s="17">
        <v>7</v>
      </c>
      <c r="AU312">
        <f t="shared" si="1838"/>
        <v>26</v>
      </c>
      <c r="AV312">
        <v>150</v>
      </c>
      <c r="AW312">
        <f t="shared" si="1839"/>
        <v>40337.510399999999</v>
      </c>
      <c r="AX312">
        <f t="shared" si="1968"/>
        <v>218592000.00000003</v>
      </c>
      <c r="AY312">
        <f t="shared" si="1840"/>
        <v>3643.2000000000003</v>
      </c>
      <c r="AZ312">
        <f t="shared" si="1841"/>
        <v>7286.4000000000005</v>
      </c>
      <c r="BA312">
        <f t="shared" si="1842"/>
        <v>48576.000000000007</v>
      </c>
      <c r="BB312">
        <f t="shared" si="1843"/>
        <v>1821.6000000000001</v>
      </c>
      <c r="BC312">
        <f t="shared" si="1969"/>
        <v>218592000.00000003</v>
      </c>
      <c r="BD312">
        <f t="shared" si="1844"/>
        <v>0.29411764705882354</v>
      </c>
      <c r="BE312" s="27">
        <f t="shared" si="1970"/>
        <v>142152825.83040008</v>
      </c>
      <c r="BF312" s="30">
        <f t="shared" si="1845"/>
        <v>0.38400000000000001</v>
      </c>
      <c r="BG312" s="27"/>
      <c r="BH312" s="27"/>
      <c r="BI312" s="27"/>
      <c r="CA312" s="20">
        <f t="shared" si="1846"/>
        <v>270</v>
      </c>
      <c r="CB312" s="20">
        <f t="shared" si="1847"/>
        <v>27000</v>
      </c>
    </row>
    <row r="313" spans="1:80" x14ac:dyDescent="0.15">
      <c r="A313">
        <v>3504</v>
      </c>
      <c r="B313" s="3" t="s">
        <v>119</v>
      </c>
      <c r="C313" s="4" t="s">
        <v>109</v>
      </c>
      <c r="D313" s="6" t="s">
        <v>120</v>
      </c>
      <c r="E313" s="5">
        <v>3</v>
      </c>
      <c r="F313" s="7" t="s">
        <v>145</v>
      </c>
      <c r="G313" s="5">
        <v>3</v>
      </c>
      <c r="H313" s="7" t="s">
        <v>190</v>
      </c>
      <c r="I313" s="5">
        <v>0</v>
      </c>
      <c r="J313" s="5">
        <v>0</v>
      </c>
      <c r="K313">
        <v>2</v>
      </c>
      <c r="L313">
        <v>1.5</v>
      </c>
      <c r="M313" s="5">
        <v>1.5</v>
      </c>
      <c r="N313" s="5">
        <v>10</v>
      </c>
      <c r="O313" s="5">
        <f t="shared" si="1827"/>
        <v>41214</v>
      </c>
      <c r="P313" s="5">
        <f t="shared" si="1828"/>
        <v>223344000</v>
      </c>
      <c r="Q313" s="5">
        <f t="shared" si="1829"/>
        <v>3722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70041</v>
      </c>
      <c r="X313" s="6" t="s">
        <v>182</v>
      </c>
      <c r="Y313" s="5">
        <v>300</v>
      </c>
      <c r="Z313" s="5">
        <v>1</v>
      </c>
      <c r="AA313" s="5">
        <v>34854795</v>
      </c>
      <c r="AB313" s="16" t="s">
        <v>111</v>
      </c>
      <c r="AC313" s="7" t="s">
        <v>112</v>
      </c>
      <c r="AD313" s="7" t="s">
        <v>112</v>
      </c>
      <c r="AE313" s="7" t="s">
        <v>112</v>
      </c>
      <c r="AF313" s="6" t="s">
        <v>113</v>
      </c>
      <c r="AG313" s="26" t="str">
        <f t="shared" ref="AG313" si="2209">CM$7</f>
        <v>4,14,28,14,6,4,14,28,14,6</v>
      </c>
      <c r="AH313" s="26" t="str">
        <f t="shared" ref="AH313" si="2210">CN$7</f>
        <v>0,0,0,0,1,0,0,0,0,1</v>
      </c>
      <c r="AI313" s="26" t="str">
        <f t="shared" ref="AI313" si="2211">CO$7</f>
        <v>0,0,0,0,1,0,0,0,0,1</v>
      </c>
      <c r="AJ313" s="26" t="str">
        <f t="shared" ref="AJ313" si="2212">CP$7</f>
        <v>0,0,0,0,5,0,0,0,0,5</v>
      </c>
      <c r="AK313" s="26" t="str">
        <f t="shared" ref="AK313" si="2213">CQ$7</f>
        <v>100,1,1000,2,5,200,1,1000,2,5</v>
      </c>
      <c r="AL313" s="26" t="str">
        <f t="shared" ref="AL313" si="2214">CR$7</f>
        <v>5,5,5,5,5,5,5,5,5,5</v>
      </c>
      <c r="AM313" s="7">
        <v>2001</v>
      </c>
      <c r="AO313">
        <f t="shared" ref="AO313" si="2215">AQ313*100+4</f>
        <v>3504</v>
      </c>
      <c r="AP313">
        <v>309</v>
      </c>
      <c r="AQ313">
        <f t="shared" si="1837"/>
        <v>35</v>
      </c>
      <c r="AR313" s="17">
        <v>8</v>
      </c>
      <c r="AS313" s="17">
        <f t="shared" si="1918"/>
        <v>225</v>
      </c>
      <c r="AT313" s="17">
        <v>7</v>
      </c>
      <c r="AU313">
        <f t="shared" si="1838"/>
        <v>26</v>
      </c>
      <c r="AV313">
        <v>150</v>
      </c>
      <c r="AW313">
        <f t="shared" si="1839"/>
        <v>41214.412800000006</v>
      </c>
      <c r="AX313">
        <f t="shared" si="1968"/>
        <v>223344000</v>
      </c>
      <c r="AY313">
        <f t="shared" si="1840"/>
        <v>3722.4</v>
      </c>
      <c r="AZ313">
        <f t="shared" si="1841"/>
        <v>7444.8</v>
      </c>
      <c r="BA313">
        <f t="shared" si="1842"/>
        <v>49632.000000000007</v>
      </c>
      <c r="BB313">
        <f t="shared" si="1843"/>
        <v>1861.2</v>
      </c>
      <c r="BC313">
        <f t="shared" si="1969"/>
        <v>223344000</v>
      </c>
      <c r="BD313">
        <f t="shared" si="1844"/>
        <v>0.29411764705882348</v>
      </c>
      <c r="BE313" s="27">
        <f t="shared" si="1970"/>
        <v>148400563.44960001</v>
      </c>
      <c r="BF313" s="30">
        <f t="shared" si="1845"/>
        <v>0.38400000000000001</v>
      </c>
      <c r="BG313" s="27"/>
      <c r="BH313" s="27"/>
      <c r="BI313" s="27"/>
      <c r="CA313" s="20">
        <f t="shared" si="1846"/>
        <v>270</v>
      </c>
      <c r="CB313" s="20">
        <f t="shared" si="1847"/>
        <v>27000</v>
      </c>
    </row>
    <row r="314" spans="1:80" x14ac:dyDescent="0.15">
      <c r="A314">
        <v>3505</v>
      </c>
      <c r="B314" s="3" t="s">
        <v>122</v>
      </c>
      <c r="C314" s="4" t="s">
        <v>109</v>
      </c>
      <c r="D314" s="4" t="s">
        <v>110</v>
      </c>
      <c r="E314" s="5">
        <v>2</v>
      </c>
      <c r="F314" s="7" t="s">
        <v>146</v>
      </c>
      <c r="G314" s="5">
        <v>3</v>
      </c>
      <c r="H314" s="7" t="s">
        <v>191</v>
      </c>
      <c r="I314" s="5">
        <v>0</v>
      </c>
      <c r="J314" s="7" t="s">
        <v>148</v>
      </c>
      <c r="K314">
        <v>6</v>
      </c>
      <c r="L314">
        <v>1.5</v>
      </c>
      <c r="M314" s="5">
        <v>1.5</v>
      </c>
      <c r="N314" s="5">
        <v>10</v>
      </c>
      <c r="O314" s="5">
        <f t="shared" si="1827"/>
        <v>42091</v>
      </c>
      <c r="P314" s="5">
        <f t="shared" si="1828"/>
        <v>228096000</v>
      </c>
      <c r="Q314" s="5">
        <f t="shared" si="1829"/>
        <v>3801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70051</v>
      </c>
      <c r="X314" s="6" t="s">
        <v>183</v>
      </c>
      <c r="Y314" s="5">
        <v>300</v>
      </c>
      <c r="Z314" s="5">
        <v>1</v>
      </c>
      <c r="AA314" s="5">
        <v>36575764</v>
      </c>
      <c r="AB314" s="16" t="s">
        <v>111</v>
      </c>
      <c r="AC314" s="7" t="s">
        <v>112</v>
      </c>
      <c r="AD314" s="7" t="s">
        <v>112</v>
      </c>
      <c r="AE314" s="7" t="s">
        <v>112</v>
      </c>
      <c r="AF314" s="6" t="s">
        <v>113</v>
      </c>
      <c r="AG314" s="26" t="str">
        <f t="shared" ref="AG314" si="2216">CM$8</f>
        <v>4,19,28,19,6,4,19,28,19,6</v>
      </c>
      <c r="AH314" s="26" t="str">
        <f t="shared" ref="AH314" si="2217">CN$8</f>
        <v>0,0,0,0,1,0,0,0,0,1</v>
      </c>
      <c r="AI314" s="26" t="str">
        <f t="shared" ref="AI314" si="2218">CO$8</f>
        <v>0,0,0,0,1,0,0,0,0,1</v>
      </c>
      <c r="AJ314" s="26" t="str">
        <f t="shared" ref="AJ314" si="2219">CP$8</f>
        <v>0,0,0,0,5,0,0,0,0,5</v>
      </c>
      <c r="AK314" s="26" t="str">
        <f t="shared" ref="AK314" si="2220">CQ$8</f>
        <v>200,100,1000,200,5,200,100,1000,200,5</v>
      </c>
      <c r="AL314" s="26" t="str">
        <f t="shared" ref="AL314" si="2221">CR$8</f>
        <v>5,5,5,5,5,5,5,5,5,5</v>
      </c>
      <c r="AM314" s="7">
        <v>2001</v>
      </c>
      <c r="AO314">
        <f t="shared" ref="AO314" si="2222">AQ314*100+5</f>
        <v>3505</v>
      </c>
      <c r="AP314">
        <v>310</v>
      </c>
      <c r="AQ314">
        <f t="shared" si="1837"/>
        <v>35</v>
      </c>
      <c r="AR314" s="17">
        <v>8</v>
      </c>
      <c r="AS314" s="17">
        <f t="shared" si="1918"/>
        <v>230</v>
      </c>
      <c r="AT314" s="17">
        <v>7</v>
      </c>
      <c r="AU314">
        <f t="shared" si="1838"/>
        <v>26</v>
      </c>
      <c r="AV314">
        <v>150</v>
      </c>
      <c r="AW314">
        <f t="shared" si="1839"/>
        <v>42091.315199999997</v>
      </c>
      <c r="AX314">
        <f t="shared" si="1968"/>
        <v>228096000</v>
      </c>
      <c r="AY314">
        <f t="shared" si="1840"/>
        <v>3801.6</v>
      </c>
      <c r="AZ314">
        <f t="shared" si="1841"/>
        <v>7603.2</v>
      </c>
      <c r="BA314">
        <f t="shared" si="1842"/>
        <v>50688.000000000007</v>
      </c>
      <c r="BB314">
        <f t="shared" si="1843"/>
        <v>1900.8</v>
      </c>
      <c r="BC314">
        <f t="shared" si="1969"/>
        <v>228096000</v>
      </c>
      <c r="BD314">
        <f t="shared" si="1844"/>
        <v>0.29411764705882354</v>
      </c>
      <c r="BE314" s="27">
        <f t="shared" si="1970"/>
        <v>154782661.01760003</v>
      </c>
      <c r="BF314" s="30">
        <f t="shared" si="1845"/>
        <v>0.38400000000000001</v>
      </c>
      <c r="BG314" s="27"/>
      <c r="BH314" s="27"/>
      <c r="BI314" s="27"/>
      <c r="CA314" s="20">
        <f t="shared" si="1846"/>
        <v>270</v>
      </c>
      <c r="CB314" s="20">
        <f t="shared" si="1847"/>
        <v>27000</v>
      </c>
    </row>
    <row r="315" spans="1:80" x14ac:dyDescent="0.15">
      <c r="A315">
        <v>3506</v>
      </c>
      <c r="B315" s="3" t="s">
        <v>124</v>
      </c>
      <c r="C315" s="4" t="s">
        <v>109</v>
      </c>
      <c r="D315" s="6" t="s">
        <v>120</v>
      </c>
      <c r="E315" s="5">
        <v>1</v>
      </c>
      <c r="F315" s="7" t="s">
        <v>147</v>
      </c>
      <c r="G315" s="5">
        <v>3</v>
      </c>
      <c r="H315" s="7" t="s">
        <v>192</v>
      </c>
      <c r="I315" s="5">
        <v>0</v>
      </c>
      <c r="J315" s="7" t="s">
        <v>149</v>
      </c>
      <c r="K315">
        <v>6</v>
      </c>
      <c r="L315">
        <v>1.5</v>
      </c>
      <c r="M315" s="5">
        <v>1.5</v>
      </c>
      <c r="N315" s="5">
        <v>10</v>
      </c>
      <c r="O315" s="5">
        <f t="shared" si="1827"/>
        <v>42968</v>
      </c>
      <c r="P315" s="5">
        <f t="shared" si="1828"/>
        <v>232848000</v>
      </c>
      <c r="Q315" s="5">
        <f t="shared" si="1829"/>
        <v>3880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70061</v>
      </c>
      <c r="X315" s="6" t="s">
        <v>184</v>
      </c>
      <c r="Y315" s="5">
        <v>300</v>
      </c>
      <c r="Z315" s="5">
        <v>1</v>
      </c>
      <c r="AA315" s="5">
        <v>38338201</v>
      </c>
      <c r="AB315" s="16" t="s">
        <v>111</v>
      </c>
      <c r="AC315" s="7" t="s">
        <v>112</v>
      </c>
      <c r="AD315" s="7" t="s">
        <v>112</v>
      </c>
      <c r="AE315" s="7" t="s">
        <v>112</v>
      </c>
      <c r="AF315" s="6" t="s">
        <v>113</v>
      </c>
      <c r="AG315" s="26" t="str">
        <f t="shared" ref="AG315" si="2223">CM$9</f>
        <v>4,33,28,33,6,4,33,28,33,6</v>
      </c>
      <c r="AH315" s="26" t="str">
        <f t="shared" ref="AH315" si="2224">CN$9</f>
        <v>0,6,0,6,1,0,6,0,6,1</v>
      </c>
      <c r="AI315" s="26" t="str">
        <f t="shared" ref="AI315" si="2225">CO$9</f>
        <v>0,0,0,0,1,0,0,0,0,1</v>
      </c>
      <c r="AJ315" s="26" t="str">
        <f t="shared" ref="AJ315" si="2226">CP$9</f>
        <v>0,0,0,0,5,0,0,0,0,5</v>
      </c>
      <c r="AK315" s="26" t="str">
        <f t="shared" ref="AK315" si="2227">CQ$9</f>
        <v>200,1,1000,2,5,200,1,1000,2,5</v>
      </c>
      <c r="AL315" s="26" t="str">
        <f t="shared" ref="AL315" si="2228">CR$9</f>
        <v>5,5,5,5,5,5,5,5,5,5</v>
      </c>
      <c r="AM315" s="7">
        <v>2001</v>
      </c>
      <c r="AO315">
        <f t="shared" ref="AO315" si="2229">AQ315*100+6</f>
        <v>3506</v>
      </c>
      <c r="AP315">
        <v>311</v>
      </c>
      <c r="AQ315">
        <f t="shared" si="1837"/>
        <v>35</v>
      </c>
      <c r="AR315" s="17">
        <v>8</v>
      </c>
      <c r="AS315" s="17">
        <f t="shared" si="1918"/>
        <v>235</v>
      </c>
      <c r="AT315" s="17">
        <v>7</v>
      </c>
      <c r="AU315">
        <f t="shared" si="1838"/>
        <v>26</v>
      </c>
      <c r="AV315">
        <v>150</v>
      </c>
      <c r="AW315">
        <f t="shared" si="1839"/>
        <v>42968.217599999996</v>
      </c>
      <c r="AX315">
        <f t="shared" si="1968"/>
        <v>232848000</v>
      </c>
      <c r="AY315">
        <f t="shared" si="1840"/>
        <v>3880.8</v>
      </c>
      <c r="AZ315">
        <f t="shared" si="1841"/>
        <v>7761.6</v>
      </c>
      <c r="BA315">
        <f t="shared" si="1842"/>
        <v>51744.000000000007</v>
      </c>
      <c r="BB315">
        <f t="shared" si="1843"/>
        <v>1940.4</v>
      </c>
      <c r="BC315">
        <f t="shared" si="1969"/>
        <v>232848000</v>
      </c>
      <c r="BD315">
        <f t="shared" si="1844"/>
        <v>0.29411764705882348</v>
      </c>
      <c r="BE315" s="27">
        <f t="shared" si="1970"/>
        <v>161299118.53439999</v>
      </c>
      <c r="BF315" s="30">
        <f t="shared" si="1845"/>
        <v>0.38400000000000001</v>
      </c>
      <c r="BG315" s="27"/>
      <c r="BH315" s="27"/>
      <c r="BI315" s="27"/>
      <c r="CA315" s="20">
        <f t="shared" si="1846"/>
        <v>270</v>
      </c>
      <c r="CB315" s="20">
        <f t="shared" si="1847"/>
        <v>27000</v>
      </c>
    </row>
    <row r="316" spans="1:80" x14ac:dyDescent="0.15">
      <c r="A316">
        <v>3507</v>
      </c>
      <c r="B316" s="3" t="s">
        <v>126</v>
      </c>
      <c r="C316" s="4" t="s">
        <v>109</v>
      </c>
      <c r="D316" s="4" t="s">
        <v>110</v>
      </c>
      <c r="E316" s="5">
        <v>2</v>
      </c>
      <c r="F316" s="7" t="s">
        <v>143</v>
      </c>
      <c r="G316" s="5">
        <v>3</v>
      </c>
      <c r="H316" s="7" t="s">
        <v>193</v>
      </c>
      <c r="I316" s="5">
        <v>0</v>
      </c>
      <c r="J316" s="5">
        <v>0</v>
      </c>
      <c r="K316">
        <v>2</v>
      </c>
      <c r="L316">
        <v>1.5</v>
      </c>
      <c r="M316" s="5">
        <v>1.5</v>
      </c>
      <c r="N316" s="5">
        <v>10</v>
      </c>
      <c r="O316" s="5">
        <f t="shared" si="1827"/>
        <v>43845</v>
      </c>
      <c r="P316" s="5">
        <f t="shared" si="1828"/>
        <v>237600000</v>
      </c>
      <c r="Q316" s="5">
        <f t="shared" si="1829"/>
        <v>3960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70071</v>
      </c>
      <c r="X316" s="6" t="s">
        <v>185</v>
      </c>
      <c r="Y316" s="5">
        <v>300</v>
      </c>
      <c r="Z316" s="5">
        <v>1</v>
      </c>
      <c r="AA316" s="5">
        <v>40142108</v>
      </c>
      <c r="AB316" s="16" t="s">
        <v>111</v>
      </c>
      <c r="AC316" s="7" t="s">
        <v>112</v>
      </c>
      <c r="AD316" s="7" t="s">
        <v>112</v>
      </c>
      <c r="AE316" s="7" t="s">
        <v>112</v>
      </c>
      <c r="AF316" s="6" t="s">
        <v>113</v>
      </c>
      <c r="AG316" s="26" t="str">
        <f t="shared" ref="AG316" si="2230">CM$10</f>
        <v>4,14,28,14,6,4,14,28,14,6</v>
      </c>
      <c r="AH316" s="26" t="str">
        <f t="shared" ref="AH316" si="2231">CN$10</f>
        <v>0,0,0,0,1,0,0,0,0,1</v>
      </c>
      <c r="AI316" s="26" t="str">
        <f t="shared" ref="AI316" si="2232">CO$10</f>
        <v>0,0,0,0,1,0,0,0,0,1</v>
      </c>
      <c r="AJ316" s="26" t="str">
        <f t="shared" ref="AJ316" si="2233">CP$10</f>
        <v>0,0,0,0,5,0,0,0,0,5</v>
      </c>
      <c r="AK316" s="26" t="str">
        <f t="shared" ref="AK316" si="2234">CQ$10</f>
        <v>200,1,1000,2,5,200,1,1000,2,5</v>
      </c>
      <c r="AL316" s="26" t="str">
        <f t="shared" ref="AL316" si="2235">CR$10</f>
        <v>5,5,5,5,5,5,5,5,5,5</v>
      </c>
      <c r="AM316" s="7">
        <v>2001</v>
      </c>
      <c r="AO316">
        <f t="shared" ref="AO316" si="2236">AQ316*100+7</f>
        <v>3507</v>
      </c>
      <c r="AP316">
        <v>312</v>
      </c>
      <c r="AQ316">
        <f t="shared" si="1837"/>
        <v>35</v>
      </c>
      <c r="AR316" s="17">
        <v>8</v>
      </c>
      <c r="AS316" s="17">
        <f t="shared" si="1918"/>
        <v>240</v>
      </c>
      <c r="AT316" s="17">
        <v>7</v>
      </c>
      <c r="AU316">
        <f t="shared" si="1838"/>
        <v>26</v>
      </c>
      <c r="AV316">
        <v>150</v>
      </c>
      <c r="AW316">
        <f t="shared" si="1839"/>
        <v>43845.120000000003</v>
      </c>
      <c r="AX316">
        <f t="shared" si="1968"/>
        <v>237600000</v>
      </c>
      <c r="AY316">
        <f t="shared" si="1840"/>
        <v>3960</v>
      </c>
      <c r="AZ316">
        <f t="shared" si="1841"/>
        <v>7920</v>
      </c>
      <c r="BA316">
        <f t="shared" si="1842"/>
        <v>52800.000000000007</v>
      </c>
      <c r="BB316">
        <f t="shared" si="1843"/>
        <v>1980</v>
      </c>
      <c r="BC316">
        <f t="shared" si="1969"/>
        <v>237600000</v>
      </c>
      <c r="BD316">
        <f t="shared" si="1844"/>
        <v>0.29411764705882354</v>
      </c>
      <c r="BE316" s="27">
        <f t="shared" si="1970"/>
        <v>167949936</v>
      </c>
      <c r="BF316" s="30">
        <f t="shared" si="1845"/>
        <v>0.38400000000000001</v>
      </c>
      <c r="BG316" s="27"/>
      <c r="BH316" s="27"/>
      <c r="BI316" s="27"/>
      <c r="CA316" s="20">
        <f t="shared" si="1846"/>
        <v>270</v>
      </c>
      <c r="CB316" s="20">
        <f t="shared" si="1847"/>
        <v>27000</v>
      </c>
    </row>
    <row r="317" spans="1:80" x14ac:dyDescent="0.15">
      <c r="A317">
        <v>3508</v>
      </c>
      <c r="B317" s="3" t="s">
        <v>128</v>
      </c>
      <c r="C317" s="4" t="s">
        <v>109</v>
      </c>
      <c r="D317" s="4" t="s">
        <v>110</v>
      </c>
      <c r="E317" s="5">
        <v>5</v>
      </c>
      <c r="F317" s="7" t="s">
        <v>129</v>
      </c>
      <c r="G317" s="5">
        <v>2</v>
      </c>
      <c r="H317" s="7" t="s">
        <v>130</v>
      </c>
      <c r="I317" s="5">
        <v>0</v>
      </c>
      <c r="J317" s="5">
        <v>0</v>
      </c>
      <c r="K317">
        <v>2</v>
      </c>
      <c r="L317">
        <v>1.5</v>
      </c>
      <c r="M317" s="5">
        <v>1.5</v>
      </c>
      <c r="N317" s="5">
        <v>10</v>
      </c>
      <c r="O317" s="5">
        <f t="shared" si="1827"/>
        <v>44722</v>
      </c>
      <c r="P317" s="5">
        <f t="shared" si="1828"/>
        <v>242352000</v>
      </c>
      <c r="Q317" s="5">
        <f t="shared" si="1829"/>
        <v>4039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70081</v>
      </c>
      <c r="X317" s="6" t="s">
        <v>186</v>
      </c>
      <c r="Y317" s="5">
        <v>300</v>
      </c>
      <c r="Z317" s="5">
        <v>1</v>
      </c>
      <c r="AA317" s="5">
        <v>41987484</v>
      </c>
      <c r="AB317" s="16" t="s">
        <v>111</v>
      </c>
      <c r="AC317" s="7" t="s">
        <v>112</v>
      </c>
      <c r="AD317" s="7" t="s">
        <v>112</v>
      </c>
      <c r="AE317" s="7" t="s">
        <v>112</v>
      </c>
      <c r="AF317" s="6" t="s">
        <v>113</v>
      </c>
      <c r="AG317" s="26" t="str">
        <f t="shared" ref="AG317" si="2237">CM$11</f>
        <v>4,28,6,28,6,4,28,6,28,6</v>
      </c>
      <c r="AH317" s="26" t="str">
        <f t="shared" ref="AH317" si="2238">CN$11</f>
        <v>0,0,1,0,1,0,0,1,0,1</v>
      </c>
      <c r="AI317" s="26" t="str">
        <f t="shared" ref="AI317" si="2239">CO$11</f>
        <v>0,0,1,0,1,0,0,1,0,1</v>
      </c>
      <c r="AJ317" s="26" t="str">
        <f t="shared" ref="AJ317" si="2240">CP$11</f>
        <v>0,0,5,0,5,0,0,5,0,5</v>
      </c>
      <c r="AK317" s="26" t="str">
        <f t="shared" ref="AK317" si="2241">CQ$11</f>
        <v>100,1000,5,1500,5,200,1000,5,1500,5</v>
      </c>
      <c r="AL317" s="26" t="str">
        <f t="shared" ref="AL317" si="2242">CR$11</f>
        <v>5,5,5,5,5,5,5,5,5,5</v>
      </c>
      <c r="AM317" s="7">
        <v>2001</v>
      </c>
      <c r="AO317">
        <f t="shared" ref="AO317" si="2243">AQ317*100+8</f>
        <v>3508</v>
      </c>
      <c r="AP317">
        <v>313</v>
      </c>
      <c r="AQ317">
        <f t="shared" si="1837"/>
        <v>35</v>
      </c>
      <c r="AR317" s="17">
        <v>8</v>
      </c>
      <c r="AS317" s="17">
        <f t="shared" si="1918"/>
        <v>245</v>
      </c>
      <c r="AT317" s="17">
        <v>7</v>
      </c>
      <c r="AU317">
        <f t="shared" si="1838"/>
        <v>26</v>
      </c>
      <c r="AV317">
        <v>150</v>
      </c>
      <c r="AW317">
        <f t="shared" si="1839"/>
        <v>44722.022400000002</v>
      </c>
      <c r="AX317">
        <f t="shared" si="1968"/>
        <v>242352000.00000006</v>
      </c>
      <c r="AY317">
        <f t="shared" si="1840"/>
        <v>4039.2000000000003</v>
      </c>
      <c r="AZ317">
        <f t="shared" si="1841"/>
        <v>8078.4000000000005</v>
      </c>
      <c r="BA317">
        <f t="shared" si="1842"/>
        <v>53856.000000000007</v>
      </c>
      <c r="BB317">
        <f t="shared" si="1843"/>
        <v>2019.6000000000001</v>
      </c>
      <c r="BC317">
        <f t="shared" si="1969"/>
        <v>242352000.00000006</v>
      </c>
      <c r="BD317">
        <f t="shared" si="1844"/>
        <v>0.29411764705882354</v>
      </c>
      <c r="BE317" s="27">
        <f t="shared" si="1970"/>
        <v>174735113.4144001</v>
      </c>
      <c r="BF317" s="30">
        <f t="shared" si="1845"/>
        <v>0.38400000000000001</v>
      </c>
      <c r="BG317" s="27"/>
      <c r="BH317" s="27"/>
      <c r="BI317" s="27"/>
      <c r="CA317" s="20">
        <f t="shared" si="1846"/>
        <v>270</v>
      </c>
      <c r="CB317" s="20">
        <f t="shared" si="1847"/>
        <v>27000</v>
      </c>
    </row>
    <row r="318" spans="1:80" x14ac:dyDescent="0.15">
      <c r="A318">
        <v>3509</v>
      </c>
      <c r="B318" s="3" t="s">
        <v>132</v>
      </c>
      <c r="C318" s="4" t="s">
        <v>109</v>
      </c>
      <c r="D318" s="4" t="s">
        <v>110</v>
      </c>
      <c r="E318" s="5">
        <v>5</v>
      </c>
      <c r="F318" s="7" t="s">
        <v>140</v>
      </c>
      <c r="G318" s="5">
        <v>3</v>
      </c>
      <c r="H318" s="7" t="s">
        <v>140</v>
      </c>
      <c r="I318" s="5">
        <v>0</v>
      </c>
      <c r="J318" s="7">
        <v>0</v>
      </c>
      <c r="K318">
        <v>6</v>
      </c>
      <c r="L318">
        <v>1.5</v>
      </c>
      <c r="M318" s="5">
        <v>1.5</v>
      </c>
      <c r="N318" s="5">
        <v>10</v>
      </c>
      <c r="O318" s="5">
        <f t="shared" si="1827"/>
        <v>45598</v>
      </c>
      <c r="P318" s="5">
        <f t="shared" si="1828"/>
        <v>247104000</v>
      </c>
      <c r="Q318" s="5">
        <f t="shared" si="1829"/>
        <v>4118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70091</v>
      </c>
      <c r="X318" s="6" t="s">
        <v>187</v>
      </c>
      <c r="Y318" s="5">
        <v>300</v>
      </c>
      <c r="Z318" s="5">
        <v>1</v>
      </c>
      <c r="AA318" s="5">
        <v>43874329</v>
      </c>
      <c r="AB318" s="16" t="s">
        <v>111</v>
      </c>
      <c r="AC318" s="7" t="s">
        <v>112</v>
      </c>
      <c r="AD318" s="7" t="s">
        <v>112</v>
      </c>
      <c r="AE318" s="7" t="s">
        <v>112</v>
      </c>
      <c r="AF318" s="6" t="s">
        <v>113</v>
      </c>
      <c r="AG318" s="26" t="str">
        <f t="shared" ref="AG318" si="2244">CM$12</f>
        <v>4,33,28,33,6,4,33,28,33,6</v>
      </c>
      <c r="AH318" s="26" t="str">
        <f t="shared" ref="AH318" si="2245">CN$12</f>
        <v>0,5,0,5,1,0,5,0,5,1</v>
      </c>
      <c r="AI318" s="26" t="str">
        <f t="shared" ref="AI318" si="2246">CO$12</f>
        <v>0,0,0,0,1,0,0,0,0,1</v>
      </c>
      <c r="AJ318" s="26" t="str">
        <f t="shared" ref="AJ318" si="2247">CP$12</f>
        <v>0,0,0,0,5,0,0,0,0,5</v>
      </c>
      <c r="AK318" s="26" t="str">
        <f t="shared" ref="AK318" si="2248">CQ$12</f>
        <v>100,1,1000,2,5,200,1,1000,2,5</v>
      </c>
      <c r="AL318" s="26" t="str">
        <f t="shared" ref="AL318" si="2249">CR$12</f>
        <v>5,5,5,5,5,5,5,5,5,5</v>
      </c>
      <c r="AM318" s="7">
        <v>2001</v>
      </c>
      <c r="AO318">
        <f t="shared" ref="AO318" si="2250">AQ318*100+9</f>
        <v>3509</v>
      </c>
      <c r="AP318">
        <v>314</v>
      </c>
      <c r="AQ318">
        <f t="shared" si="1837"/>
        <v>35</v>
      </c>
      <c r="AR318" s="17">
        <v>8</v>
      </c>
      <c r="AS318" s="17">
        <f t="shared" si="1918"/>
        <v>250</v>
      </c>
      <c r="AT318" s="17">
        <v>7</v>
      </c>
      <c r="AU318">
        <f t="shared" si="1838"/>
        <v>26</v>
      </c>
      <c r="AV318">
        <v>150</v>
      </c>
      <c r="AW318">
        <f t="shared" si="1839"/>
        <v>45598.924800000001</v>
      </c>
      <c r="AX318">
        <f t="shared" si="1968"/>
        <v>247104000.00000006</v>
      </c>
      <c r="AY318">
        <f t="shared" si="1840"/>
        <v>4118.4000000000005</v>
      </c>
      <c r="AZ318">
        <f t="shared" si="1841"/>
        <v>8236.8000000000011</v>
      </c>
      <c r="BA318">
        <f t="shared" si="1842"/>
        <v>54912.000000000007</v>
      </c>
      <c r="BB318">
        <f t="shared" si="1843"/>
        <v>2059.2000000000003</v>
      </c>
      <c r="BC318">
        <f t="shared" si="1969"/>
        <v>247104000.00000006</v>
      </c>
      <c r="BD318">
        <f t="shared" si="1844"/>
        <v>0.29411764705882354</v>
      </c>
      <c r="BE318" s="27">
        <f t="shared" si="1970"/>
        <v>181654650.77760008</v>
      </c>
      <c r="BF318" s="30">
        <f t="shared" si="1845"/>
        <v>0.38400000000000001</v>
      </c>
      <c r="BG318" s="27"/>
      <c r="BH318" s="27"/>
      <c r="BI318" s="27"/>
      <c r="CA318" s="20">
        <f t="shared" si="1846"/>
        <v>270</v>
      </c>
      <c r="CB318" s="20">
        <f t="shared" si="1847"/>
        <v>27000</v>
      </c>
    </row>
    <row r="319" spans="1:80" x14ac:dyDescent="0.15">
      <c r="A319">
        <v>3601</v>
      </c>
      <c r="B319" s="3" t="s">
        <v>108</v>
      </c>
      <c r="C319" s="4" t="s">
        <v>109</v>
      </c>
      <c r="D319" s="4" t="s">
        <v>110</v>
      </c>
      <c r="E319" s="5">
        <v>3</v>
      </c>
      <c r="F319" s="7" t="s">
        <v>141</v>
      </c>
      <c r="G319" s="5">
        <v>2.5</v>
      </c>
      <c r="H319" s="7" t="s">
        <v>194</v>
      </c>
      <c r="I319" s="5">
        <v>0</v>
      </c>
      <c r="J319" s="5">
        <v>0</v>
      </c>
      <c r="K319">
        <v>2</v>
      </c>
      <c r="L319">
        <v>1.5</v>
      </c>
      <c r="M319" s="5">
        <v>1.5</v>
      </c>
      <c r="N319" s="5">
        <v>10</v>
      </c>
      <c r="O319" s="5">
        <f t="shared" si="1827"/>
        <v>39529</v>
      </c>
      <c r="P319" s="5">
        <f t="shared" si="1828"/>
        <v>213840000</v>
      </c>
      <c r="Q319" s="5">
        <f t="shared" si="1829"/>
        <v>3564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70011</v>
      </c>
      <c r="X319" s="6" t="s">
        <v>179</v>
      </c>
      <c r="Y319" s="5">
        <v>300</v>
      </c>
      <c r="Z319" s="5">
        <v>1</v>
      </c>
      <c r="AA319" s="5">
        <v>45802643</v>
      </c>
      <c r="AB319" s="16" t="s">
        <v>111</v>
      </c>
      <c r="AC319" s="7" t="s">
        <v>112</v>
      </c>
      <c r="AD319" s="7" t="s">
        <v>112</v>
      </c>
      <c r="AE319" s="7" t="s">
        <v>112</v>
      </c>
      <c r="AF319" s="6" t="s">
        <v>113</v>
      </c>
      <c r="AG319" s="26" t="str">
        <f t="shared" ref="AG319" si="2251">CM$4</f>
        <v>4,33,28,33,6,4,33,28,33,6</v>
      </c>
      <c r="AH319" s="26" t="str">
        <f t="shared" ref="AH319" si="2252">CN$4</f>
        <v>0,8,0,8,1,0,8,0,8,1</v>
      </c>
      <c r="AI319" s="26" t="str">
        <f t="shared" ref="AI319" si="2253">CO$4</f>
        <v>0,0,0,0,1,0,0,0,0,1</v>
      </c>
      <c r="AJ319" s="26" t="str">
        <f t="shared" ref="AJ319" si="2254">CP$4</f>
        <v>0,0,0,0,5,0,0,0,0,5</v>
      </c>
      <c r="AK319" s="26" t="str">
        <f t="shared" ref="AK319" si="2255">CQ$4</f>
        <v>100,1,1000,2,5,200,1,1000,2,5</v>
      </c>
      <c r="AL319" s="26" t="str">
        <f t="shared" ref="AL319" si="2256">CR$4</f>
        <v>5,5,5,5,5,5,5,5,5,5</v>
      </c>
      <c r="AM319" s="7">
        <v>2001</v>
      </c>
      <c r="AO319">
        <f t="shared" ref="AO319" si="2257">AQ319*100+1</f>
        <v>3601</v>
      </c>
      <c r="AP319">
        <v>315</v>
      </c>
      <c r="AQ319">
        <f t="shared" si="1837"/>
        <v>36</v>
      </c>
      <c r="AR319" s="17">
        <v>8</v>
      </c>
      <c r="AS319" s="17">
        <f t="shared" si="1918"/>
        <v>215</v>
      </c>
      <c r="AT319" s="17">
        <v>7</v>
      </c>
      <c r="AU319">
        <f t="shared" si="1838"/>
        <v>26</v>
      </c>
      <c r="AV319">
        <v>150</v>
      </c>
      <c r="AW319">
        <f t="shared" si="1839"/>
        <v>39529.036800000009</v>
      </c>
      <c r="AX319">
        <f t="shared" si="1968"/>
        <v>213840000.00000003</v>
      </c>
      <c r="AY319">
        <f t="shared" si="1840"/>
        <v>3564.0000000000005</v>
      </c>
      <c r="AZ319">
        <f t="shared" si="1841"/>
        <v>7128.0000000000009</v>
      </c>
      <c r="BA319">
        <f t="shared" si="1842"/>
        <v>47520.000000000007</v>
      </c>
      <c r="BB319">
        <f t="shared" si="1843"/>
        <v>1782.0000000000002</v>
      </c>
      <c r="BC319">
        <f t="shared" si="1969"/>
        <v>213840000.00000003</v>
      </c>
      <c r="BD319">
        <f t="shared" si="1844"/>
        <v>0.29411764705882354</v>
      </c>
      <c r="BE319" s="27">
        <f t="shared" si="1970"/>
        <v>136039448.16000006</v>
      </c>
      <c r="BF319" s="30">
        <f t="shared" si="1845"/>
        <v>0.38639999999999997</v>
      </c>
      <c r="BG319" s="27"/>
      <c r="BH319" s="27"/>
      <c r="BI319" s="27"/>
      <c r="CA319" s="20">
        <f t="shared" si="1846"/>
        <v>275</v>
      </c>
      <c r="CB319" s="20">
        <f t="shared" si="1847"/>
        <v>27500</v>
      </c>
    </row>
    <row r="320" spans="1:80" x14ac:dyDescent="0.15">
      <c r="A320">
        <v>3602</v>
      </c>
      <c r="B320" s="3" t="s">
        <v>115</v>
      </c>
      <c r="C320" s="4" t="s">
        <v>109</v>
      </c>
      <c r="D320" s="6" t="s">
        <v>110</v>
      </c>
      <c r="E320" s="5">
        <v>3</v>
      </c>
      <c r="F320" s="7" t="s">
        <v>142</v>
      </c>
      <c r="G320" s="5">
        <v>3</v>
      </c>
      <c r="H320" s="7" t="s">
        <v>188</v>
      </c>
      <c r="I320" s="5">
        <v>0</v>
      </c>
      <c r="J320" s="5">
        <v>0</v>
      </c>
      <c r="K320">
        <v>2</v>
      </c>
      <c r="L320">
        <v>1.5</v>
      </c>
      <c r="M320" s="5">
        <v>1.5</v>
      </c>
      <c r="N320" s="5">
        <v>10</v>
      </c>
      <c r="O320" s="5">
        <f t="shared" si="1827"/>
        <v>40407</v>
      </c>
      <c r="P320" s="5">
        <f t="shared" si="1828"/>
        <v>218592000</v>
      </c>
      <c r="Q320" s="5">
        <f t="shared" si="1829"/>
        <v>3643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70021</v>
      </c>
      <c r="X320" s="6" t="s">
        <v>180</v>
      </c>
      <c r="Y320" s="5">
        <v>300</v>
      </c>
      <c r="Z320" s="5">
        <v>1</v>
      </c>
      <c r="AA320" s="5">
        <v>33175296</v>
      </c>
      <c r="AB320" s="16" t="s">
        <v>111</v>
      </c>
      <c r="AC320" s="7" t="s">
        <v>112</v>
      </c>
      <c r="AD320" s="7" t="s">
        <v>112</v>
      </c>
      <c r="AE320" s="7" t="s">
        <v>112</v>
      </c>
      <c r="AF320" s="6" t="s">
        <v>113</v>
      </c>
      <c r="AG320" s="26" t="str">
        <f t="shared" ref="AG320" si="2258">CM$5</f>
        <v>4,33,28,33,6,4,33,28,33,6</v>
      </c>
      <c r="AH320" s="26" t="str">
        <f t="shared" ref="AH320" si="2259">CN$5</f>
        <v>0,7,0,7,1,0,7,0,7,1</v>
      </c>
      <c r="AI320" s="26" t="str">
        <f t="shared" ref="AI320" si="2260">CO$5</f>
        <v>0,0,0,0,1,0,0,0,0,1</v>
      </c>
      <c r="AJ320" s="26" t="str">
        <f t="shared" ref="AJ320" si="2261">CP$5</f>
        <v>0,0,0,0,5,0,0,0,0,5</v>
      </c>
      <c r="AK320" s="26" t="str">
        <f t="shared" ref="AK320" si="2262">CQ$5</f>
        <v>100,1,1000,2,5,200,1,1000,2,5</v>
      </c>
      <c r="AL320" s="26" t="str">
        <f t="shared" ref="AL320" si="2263">CR$5</f>
        <v>5,5,5,5,5,5,5,5,5,5</v>
      </c>
      <c r="AM320" s="7">
        <v>2001</v>
      </c>
      <c r="AO320">
        <f t="shared" ref="AO320" si="2264">AQ320*100+2</f>
        <v>3602</v>
      </c>
      <c r="AP320">
        <v>316</v>
      </c>
      <c r="AQ320">
        <f t="shared" si="1837"/>
        <v>36</v>
      </c>
      <c r="AR320" s="17">
        <v>8</v>
      </c>
      <c r="AS320" s="17">
        <f t="shared" si="1918"/>
        <v>220</v>
      </c>
      <c r="AT320" s="17">
        <v>7</v>
      </c>
      <c r="AU320">
        <f t="shared" si="1838"/>
        <v>26</v>
      </c>
      <c r="AV320">
        <v>150</v>
      </c>
      <c r="AW320">
        <f t="shared" si="1839"/>
        <v>40407.459840000003</v>
      </c>
      <c r="AX320">
        <f t="shared" si="1968"/>
        <v>218592000.00000003</v>
      </c>
      <c r="AY320">
        <f t="shared" si="1840"/>
        <v>3643.2000000000003</v>
      </c>
      <c r="AZ320">
        <f t="shared" si="1841"/>
        <v>7286.4000000000005</v>
      </c>
      <c r="BA320">
        <f t="shared" si="1842"/>
        <v>48576.000000000007</v>
      </c>
      <c r="BB320">
        <f t="shared" si="1843"/>
        <v>1821.6000000000001</v>
      </c>
      <c r="BC320">
        <f t="shared" si="1969"/>
        <v>218592000.00000003</v>
      </c>
      <c r="BD320">
        <f t="shared" si="1844"/>
        <v>0.29411764705882354</v>
      </c>
      <c r="BE320" s="27">
        <f t="shared" si="1970"/>
        <v>142152825.83040008</v>
      </c>
      <c r="BF320" s="30">
        <f t="shared" si="1845"/>
        <v>0.38639999999999997</v>
      </c>
      <c r="BG320" s="27"/>
      <c r="BH320" s="27"/>
      <c r="BI320" s="27"/>
      <c r="CA320" s="20">
        <f t="shared" si="1846"/>
        <v>275</v>
      </c>
      <c r="CB320" s="20">
        <f t="shared" si="1847"/>
        <v>27500</v>
      </c>
    </row>
    <row r="321" spans="1:80" x14ac:dyDescent="0.15">
      <c r="A321">
        <v>3603</v>
      </c>
      <c r="B321" s="3" t="s">
        <v>117</v>
      </c>
      <c r="C321" s="4" t="s">
        <v>109</v>
      </c>
      <c r="D321" s="4" t="s">
        <v>110</v>
      </c>
      <c r="E321" s="5">
        <v>1</v>
      </c>
      <c r="F321" s="7" t="s">
        <v>144</v>
      </c>
      <c r="G321" s="5">
        <v>3</v>
      </c>
      <c r="H321" s="7" t="s">
        <v>189</v>
      </c>
      <c r="I321" s="5">
        <v>0</v>
      </c>
      <c r="J321" s="2">
        <v>0</v>
      </c>
      <c r="K321">
        <v>6</v>
      </c>
      <c r="L321">
        <v>1.5</v>
      </c>
      <c r="M321" s="5">
        <v>1.5</v>
      </c>
      <c r="N321" s="5">
        <v>10</v>
      </c>
      <c r="O321" s="5">
        <f t="shared" si="1827"/>
        <v>41285</v>
      </c>
      <c r="P321" s="5">
        <f t="shared" si="1828"/>
        <v>223344000</v>
      </c>
      <c r="Q321" s="5">
        <f t="shared" si="1829"/>
        <v>3722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70031</v>
      </c>
      <c r="X321" s="6" t="s">
        <v>181</v>
      </c>
      <c r="Y321" s="5">
        <v>300</v>
      </c>
      <c r="Z321" s="5">
        <v>1</v>
      </c>
      <c r="AA321" s="5">
        <v>34854795</v>
      </c>
      <c r="AB321" s="16" t="s">
        <v>111</v>
      </c>
      <c r="AC321" s="7" t="s">
        <v>112</v>
      </c>
      <c r="AD321" s="7" t="s">
        <v>112</v>
      </c>
      <c r="AE321" s="7" t="s">
        <v>112</v>
      </c>
      <c r="AF321" s="6" t="s">
        <v>113</v>
      </c>
      <c r="AG321" s="26" t="str">
        <f t="shared" ref="AG321" si="2265">CM$6</f>
        <v>4,28,6,28,6,4,28,6,28,6</v>
      </c>
      <c r="AH321" s="26" t="str">
        <f t="shared" ref="AH321" si="2266">CN$6</f>
        <v>0,0,1,0,1,0,0,1,0,1</v>
      </c>
      <c r="AI321" s="26" t="str">
        <f t="shared" ref="AI321" si="2267">CO$6</f>
        <v>0,0,0,0,1,0,0,0,0,1</v>
      </c>
      <c r="AJ321" s="26" t="str">
        <f t="shared" ref="AJ321" si="2268">CP$6</f>
        <v>0,0,5,0,5,0,0,5,0,5</v>
      </c>
      <c r="AK321" s="26" t="str">
        <f t="shared" ref="AK321" si="2269">CQ$6</f>
        <v>100,1000,5,1500,5,200,1000,5,1500,5</v>
      </c>
      <c r="AL321" s="26" t="str">
        <f t="shared" ref="AL321" si="2270">CR$6</f>
        <v>5,5,5,5,5,5,5,5,5,5</v>
      </c>
      <c r="AM321" s="7">
        <v>2001</v>
      </c>
      <c r="AO321">
        <f t="shared" ref="AO321" si="2271">AQ321*100+3</f>
        <v>3603</v>
      </c>
      <c r="AP321">
        <v>317</v>
      </c>
      <c r="AQ321">
        <f t="shared" si="1837"/>
        <v>36</v>
      </c>
      <c r="AR321" s="17">
        <v>8</v>
      </c>
      <c r="AS321" s="17">
        <f t="shared" si="1918"/>
        <v>225</v>
      </c>
      <c r="AT321" s="17">
        <v>7</v>
      </c>
      <c r="AU321">
        <f t="shared" si="1838"/>
        <v>26</v>
      </c>
      <c r="AV321">
        <v>150</v>
      </c>
      <c r="AW321">
        <f t="shared" si="1839"/>
        <v>41285.882880000012</v>
      </c>
      <c r="AX321">
        <f t="shared" si="1968"/>
        <v>223344000</v>
      </c>
      <c r="AY321">
        <f t="shared" si="1840"/>
        <v>3722.4</v>
      </c>
      <c r="AZ321">
        <f t="shared" si="1841"/>
        <v>7444.8</v>
      </c>
      <c r="BA321">
        <f t="shared" si="1842"/>
        <v>49632.000000000007</v>
      </c>
      <c r="BB321">
        <f t="shared" si="1843"/>
        <v>1861.2</v>
      </c>
      <c r="BC321">
        <f t="shared" si="1969"/>
        <v>223344000</v>
      </c>
      <c r="BD321">
        <f t="shared" si="1844"/>
        <v>0.29411764705882348</v>
      </c>
      <c r="BE321" s="27">
        <f t="shared" si="1970"/>
        <v>148400563.44960001</v>
      </c>
      <c r="BF321" s="30">
        <f t="shared" si="1845"/>
        <v>0.38639999999999997</v>
      </c>
      <c r="BG321" s="27"/>
      <c r="BH321" s="27"/>
      <c r="BI321" s="27"/>
      <c r="CA321" s="20">
        <f t="shared" si="1846"/>
        <v>275</v>
      </c>
      <c r="CB321" s="20">
        <f t="shared" si="1847"/>
        <v>27500</v>
      </c>
    </row>
    <row r="322" spans="1:80" x14ac:dyDescent="0.15">
      <c r="A322">
        <v>3604</v>
      </c>
      <c r="B322" s="3" t="s">
        <v>119</v>
      </c>
      <c r="C322" s="4" t="s">
        <v>109</v>
      </c>
      <c r="D322" s="6" t="s">
        <v>120</v>
      </c>
      <c r="E322" s="5">
        <v>3</v>
      </c>
      <c r="F322" s="7" t="s">
        <v>145</v>
      </c>
      <c r="G322" s="5">
        <v>3</v>
      </c>
      <c r="H322" s="7" t="s">
        <v>190</v>
      </c>
      <c r="I322" s="5">
        <v>0</v>
      </c>
      <c r="J322" s="5">
        <v>0</v>
      </c>
      <c r="K322">
        <v>2</v>
      </c>
      <c r="L322">
        <v>1.5</v>
      </c>
      <c r="M322" s="5">
        <v>1.5</v>
      </c>
      <c r="N322" s="5">
        <v>10</v>
      </c>
      <c r="O322" s="5">
        <f t="shared" si="1827"/>
        <v>42164</v>
      </c>
      <c r="P322" s="5">
        <f t="shared" si="1828"/>
        <v>228096000</v>
      </c>
      <c r="Q322" s="5">
        <f t="shared" si="1829"/>
        <v>3801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70041</v>
      </c>
      <c r="X322" s="6" t="s">
        <v>182</v>
      </c>
      <c r="Y322" s="5">
        <v>300</v>
      </c>
      <c r="Z322" s="5">
        <v>1</v>
      </c>
      <c r="AA322" s="5">
        <v>36575764</v>
      </c>
      <c r="AB322" s="16" t="s">
        <v>111</v>
      </c>
      <c r="AC322" s="7" t="s">
        <v>112</v>
      </c>
      <c r="AD322" s="7" t="s">
        <v>112</v>
      </c>
      <c r="AE322" s="7" t="s">
        <v>112</v>
      </c>
      <c r="AF322" s="6" t="s">
        <v>113</v>
      </c>
      <c r="AG322" s="26" t="str">
        <f t="shared" ref="AG322" si="2272">CM$7</f>
        <v>4,14,28,14,6,4,14,28,14,6</v>
      </c>
      <c r="AH322" s="26" t="str">
        <f t="shared" ref="AH322" si="2273">CN$7</f>
        <v>0,0,0,0,1,0,0,0,0,1</v>
      </c>
      <c r="AI322" s="26" t="str">
        <f t="shared" ref="AI322" si="2274">CO$7</f>
        <v>0,0,0,0,1,0,0,0,0,1</v>
      </c>
      <c r="AJ322" s="26" t="str">
        <f t="shared" ref="AJ322" si="2275">CP$7</f>
        <v>0,0,0,0,5,0,0,0,0,5</v>
      </c>
      <c r="AK322" s="26" t="str">
        <f t="shared" ref="AK322" si="2276">CQ$7</f>
        <v>100,1,1000,2,5,200,1,1000,2,5</v>
      </c>
      <c r="AL322" s="26" t="str">
        <f t="shared" ref="AL322" si="2277">CR$7</f>
        <v>5,5,5,5,5,5,5,5,5,5</v>
      </c>
      <c r="AM322" s="7">
        <v>2001</v>
      </c>
      <c r="AO322">
        <f t="shared" ref="AO322" si="2278">AQ322*100+4</f>
        <v>3604</v>
      </c>
      <c r="AP322">
        <v>318</v>
      </c>
      <c r="AQ322">
        <f t="shared" si="1837"/>
        <v>36</v>
      </c>
      <c r="AR322" s="17">
        <v>8</v>
      </c>
      <c r="AS322" s="17">
        <f t="shared" si="1918"/>
        <v>230</v>
      </c>
      <c r="AT322" s="17">
        <v>7</v>
      </c>
      <c r="AU322">
        <f t="shared" si="1838"/>
        <v>26</v>
      </c>
      <c r="AV322">
        <v>150</v>
      </c>
      <c r="AW322">
        <f t="shared" si="1839"/>
        <v>42164.305920000006</v>
      </c>
      <c r="AX322">
        <f t="shared" si="1968"/>
        <v>228096000</v>
      </c>
      <c r="AY322">
        <f t="shared" si="1840"/>
        <v>3801.6</v>
      </c>
      <c r="AZ322">
        <f t="shared" si="1841"/>
        <v>7603.2</v>
      </c>
      <c r="BA322">
        <f t="shared" si="1842"/>
        <v>50688.000000000007</v>
      </c>
      <c r="BB322">
        <f t="shared" si="1843"/>
        <v>1900.8</v>
      </c>
      <c r="BC322">
        <f t="shared" si="1969"/>
        <v>228096000</v>
      </c>
      <c r="BD322">
        <f t="shared" si="1844"/>
        <v>0.29411764705882354</v>
      </c>
      <c r="BE322" s="27">
        <f t="shared" si="1970"/>
        <v>154782661.01760003</v>
      </c>
      <c r="BF322" s="30">
        <f t="shared" si="1845"/>
        <v>0.38639999999999997</v>
      </c>
      <c r="BG322" s="27"/>
      <c r="BH322" s="27"/>
      <c r="BI322" s="27"/>
      <c r="CA322" s="20">
        <f t="shared" si="1846"/>
        <v>275</v>
      </c>
      <c r="CB322" s="20">
        <f t="shared" si="1847"/>
        <v>27500</v>
      </c>
    </row>
    <row r="323" spans="1:80" x14ac:dyDescent="0.15">
      <c r="A323">
        <v>3605</v>
      </c>
      <c r="B323" s="3" t="s">
        <v>122</v>
      </c>
      <c r="C323" s="4" t="s">
        <v>109</v>
      </c>
      <c r="D323" s="4" t="s">
        <v>110</v>
      </c>
      <c r="E323" s="5">
        <v>2</v>
      </c>
      <c r="F323" s="7" t="s">
        <v>146</v>
      </c>
      <c r="G323" s="5">
        <v>3</v>
      </c>
      <c r="H323" s="7" t="s">
        <v>191</v>
      </c>
      <c r="I323" s="5">
        <v>0</v>
      </c>
      <c r="J323" s="7" t="s">
        <v>148</v>
      </c>
      <c r="K323">
        <v>6</v>
      </c>
      <c r="L323">
        <v>1.5</v>
      </c>
      <c r="M323" s="5">
        <v>1.5</v>
      </c>
      <c r="N323" s="5">
        <v>10</v>
      </c>
      <c r="O323" s="5">
        <f t="shared" si="1827"/>
        <v>43042</v>
      </c>
      <c r="P323" s="5">
        <f t="shared" si="1828"/>
        <v>232848000</v>
      </c>
      <c r="Q323" s="5">
        <f t="shared" si="1829"/>
        <v>3880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70051</v>
      </c>
      <c r="X323" s="6" t="s">
        <v>183</v>
      </c>
      <c r="Y323" s="5">
        <v>300</v>
      </c>
      <c r="Z323" s="5">
        <v>1</v>
      </c>
      <c r="AA323" s="5">
        <v>38338201</v>
      </c>
      <c r="AB323" s="16" t="s">
        <v>111</v>
      </c>
      <c r="AC323" s="7" t="s">
        <v>112</v>
      </c>
      <c r="AD323" s="7" t="s">
        <v>112</v>
      </c>
      <c r="AE323" s="7" t="s">
        <v>112</v>
      </c>
      <c r="AF323" s="6" t="s">
        <v>113</v>
      </c>
      <c r="AG323" s="26" t="str">
        <f t="shared" ref="AG323" si="2279">CM$8</f>
        <v>4,19,28,19,6,4,19,28,19,6</v>
      </c>
      <c r="AH323" s="26" t="str">
        <f t="shared" ref="AH323" si="2280">CN$8</f>
        <v>0,0,0,0,1,0,0,0,0,1</v>
      </c>
      <c r="AI323" s="26" t="str">
        <f t="shared" ref="AI323" si="2281">CO$8</f>
        <v>0,0,0,0,1,0,0,0,0,1</v>
      </c>
      <c r="AJ323" s="26" t="str">
        <f t="shared" ref="AJ323" si="2282">CP$8</f>
        <v>0,0,0,0,5,0,0,0,0,5</v>
      </c>
      <c r="AK323" s="26" t="str">
        <f t="shared" ref="AK323" si="2283">CQ$8</f>
        <v>200,100,1000,200,5,200,100,1000,200,5</v>
      </c>
      <c r="AL323" s="26" t="str">
        <f t="shared" ref="AL323" si="2284">CR$8</f>
        <v>5,5,5,5,5,5,5,5,5,5</v>
      </c>
      <c r="AM323" s="7">
        <v>2001</v>
      </c>
      <c r="AO323">
        <f t="shared" ref="AO323" si="2285">AQ323*100+5</f>
        <v>3605</v>
      </c>
      <c r="AP323">
        <v>319</v>
      </c>
      <c r="AQ323">
        <f t="shared" si="1837"/>
        <v>36</v>
      </c>
      <c r="AR323" s="17">
        <v>8</v>
      </c>
      <c r="AS323" s="17">
        <f t="shared" si="1918"/>
        <v>235</v>
      </c>
      <c r="AT323" s="17">
        <v>7</v>
      </c>
      <c r="AU323">
        <f t="shared" si="1838"/>
        <v>26</v>
      </c>
      <c r="AV323">
        <v>150</v>
      </c>
      <c r="AW323">
        <f t="shared" si="1839"/>
        <v>43042.728960000008</v>
      </c>
      <c r="AX323">
        <f t="shared" si="1968"/>
        <v>232848000</v>
      </c>
      <c r="AY323">
        <f t="shared" si="1840"/>
        <v>3880.8</v>
      </c>
      <c r="AZ323">
        <f t="shared" si="1841"/>
        <v>7761.6</v>
      </c>
      <c r="BA323">
        <f t="shared" si="1842"/>
        <v>51744.000000000007</v>
      </c>
      <c r="BB323">
        <f t="shared" si="1843"/>
        <v>1940.4</v>
      </c>
      <c r="BC323">
        <f t="shared" si="1969"/>
        <v>232848000</v>
      </c>
      <c r="BD323">
        <f t="shared" si="1844"/>
        <v>0.29411764705882348</v>
      </c>
      <c r="BE323" s="27">
        <f t="shared" si="1970"/>
        <v>161299118.53439999</v>
      </c>
      <c r="BF323" s="30">
        <f t="shared" si="1845"/>
        <v>0.38639999999999997</v>
      </c>
      <c r="BG323" s="27"/>
      <c r="BH323" s="27"/>
      <c r="BI323" s="27"/>
      <c r="CA323" s="20">
        <f t="shared" si="1846"/>
        <v>275</v>
      </c>
      <c r="CB323" s="20">
        <f t="shared" si="1847"/>
        <v>27500</v>
      </c>
    </row>
    <row r="324" spans="1:80" x14ac:dyDescent="0.15">
      <c r="A324">
        <v>3606</v>
      </c>
      <c r="B324" s="3" t="s">
        <v>124</v>
      </c>
      <c r="C324" s="4" t="s">
        <v>109</v>
      </c>
      <c r="D324" s="6" t="s">
        <v>120</v>
      </c>
      <c r="E324" s="5">
        <v>1</v>
      </c>
      <c r="F324" s="7" t="s">
        <v>147</v>
      </c>
      <c r="G324" s="5">
        <v>3</v>
      </c>
      <c r="H324" s="7" t="s">
        <v>192</v>
      </c>
      <c r="I324" s="5">
        <v>0</v>
      </c>
      <c r="J324" s="7" t="s">
        <v>149</v>
      </c>
      <c r="K324">
        <v>6</v>
      </c>
      <c r="L324">
        <v>1.5</v>
      </c>
      <c r="M324" s="5">
        <v>1.5</v>
      </c>
      <c r="N324" s="5">
        <v>10</v>
      </c>
      <c r="O324" s="5">
        <f t="shared" si="1827"/>
        <v>43921</v>
      </c>
      <c r="P324" s="5">
        <f t="shared" si="1828"/>
        <v>237600000</v>
      </c>
      <c r="Q324" s="5">
        <f t="shared" si="1829"/>
        <v>3960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70061</v>
      </c>
      <c r="X324" s="6" t="s">
        <v>184</v>
      </c>
      <c r="Y324" s="5">
        <v>300</v>
      </c>
      <c r="Z324" s="5">
        <v>1</v>
      </c>
      <c r="AA324" s="5">
        <v>40142108</v>
      </c>
      <c r="AB324" s="16" t="s">
        <v>111</v>
      </c>
      <c r="AC324" s="7" t="s">
        <v>112</v>
      </c>
      <c r="AD324" s="7" t="s">
        <v>112</v>
      </c>
      <c r="AE324" s="7" t="s">
        <v>112</v>
      </c>
      <c r="AF324" s="6" t="s">
        <v>113</v>
      </c>
      <c r="AG324" s="26" t="str">
        <f t="shared" ref="AG324" si="2286">CM$9</f>
        <v>4,33,28,33,6,4,33,28,33,6</v>
      </c>
      <c r="AH324" s="26" t="str">
        <f t="shared" ref="AH324" si="2287">CN$9</f>
        <v>0,6,0,6,1,0,6,0,6,1</v>
      </c>
      <c r="AI324" s="26" t="str">
        <f t="shared" ref="AI324" si="2288">CO$9</f>
        <v>0,0,0,0,1,0,0,0,0,1</v>
      </c>
      <c r="AJ324" s="26" t="str">
        <f t="shared" ref="AJ324" si="2289">CP$9</f>
        <v>0,0,0,0,5,0,0,0,0,5</v>
      </c>
      <c r="AK324" s="26" t="str">
        <f t="shared" ref="AK324" si="2290">CQ$9</f>
        <v>200,1,1000,2,5,200,1,1000,2,5</v>
      </c>
      <c r="AL324" s="26" t="str">
        <f t="shared" ref="AL324" si="2291">CR$9</f>
        <v>5,5,5,5,5,5,5,5,5,5</v>
      </c>
      <c r="AM324" s="7">
        <v>2001</v>
      </c>
      <c r="AO324">
        <f t="shared" ref="AO324" si="2292">AQ324*100+6</f>
        <v>3606</v>
      </c>
      <c r="AP324">
        <v>320</v>
      </c>
      <c r="AQ324">
        <f t="shared" si="1837"/>
        <v>36</v>
      </c>
      <c r="AR324" s="17">
        <v>8</v>
      </c>
      <c r="AS324" s="17">
        <f t="shared" si="1918"/>
        <v>240</v>
      </c>
      <c r="AT324" s="17">
        <v>7</v>
      </c>
      <c r="AU324">
        <f t="shared" si="1838"/>
        <v>26</v>
      </c>
      <c r="AV324">
        <v>150</v>
      </c>
      <c r="AW324">
        <f t="shared" si="1839"/>
        <v>43921.152000000009</v>
      </c>
      <c r="AX324">
        <f t="shared" si="1968"/>
        <v>237600000</v>
      </c>
      <c r="AY324">
        <f t="shared" si="1840"/>
        <v>3960</v>
      </c>
      <c r="AZ324">
        <f t="shared" si="1841"/>
        <v>7920</v>
      </c>
      <c r="BA324">
        <f t="shared" si="1842"/>
        <v>52800.000000000007</v>
      </c>
      <c r="BB324">
        <f t="shared" si="1843"/>
        <v>1980</v>
      </c>
      <c r="BC324">
        <f t="shared" si="1969"/>
        <v>237600000</v>
      </c>
      <c r="BD324">
        <f t="shared" si="1844"/>
        <v>0.29411764705882354</v>
      </c>
      <c r="BE324" s="27">
        <f t="shared" si="1970"/>
        <v>167949936</v>
      </c>
      <c r="BF324" s="30">
        <f t="shared" si="1845"/>
        <v>0.38639999999999997</v>
      </c>
      <c r="BG324" s="27"/>
      <c r="BH324" s="27"/>
      <c r="BI324" s="27"/>
      <c r="CA324" s="20">
        <f t="shared" si="1846"/>
        <v>275</v>
      </c>
      <c r="CB324" s="20">
        <f t="shared" si="1847"/>
        <v>27500</v>
      </c>
    </row>
    <row r="325" spans="1:80" x14ac:dyDescent="0.15">
      <c r="A325">
        <v>3607</v>
      </c>
      <c r="B325" s="3" t="s">
        <v>126</v>
      </c>
      <c r="C325" s="4" t="s">
        <v>109</v>
      </c>
      <c r="D325" s="4" t="s">
        <v>110</v>
      </c>
      <c r="E325" s="5">
        <v>2</v>
      </c>
      <c r="F325" s="7" t="s">
        <v>143</v>
      </c>
      <c r="G325" s="5">
        <v>3</v>
      </c>
      <c r="H325" s="7" t="s">
        <v>193</v>
      </c>
      <c r="I325" s="5">
        <v>0</v>
      </c>
      <c r="J325" s="5">
        <v>0</v>
      </c>
      <c r="K325">
        <v>2</v>
      </c>
      <c r="L325">
        <v>1.5</v>
      </c>
      <c r="M325" s="5">
        <v>1.5</v>
      </c>
      <c r="N325" s="5">
        <v>10</v>
      </c>
      <c r="O325" s="5">
        <f t="shared" ref="O325:O388" si="2293">FLOOR(AW325,1)</f>
        <v>44799</v>
      </c>
      <c r="P325" s="5">
        <f t="shared" ref="P325:P388" si="2294">FLOOR(BC325,1)</f>
        <v>242352000</v>
      </c>
      <c r="Q325" s="5">
        <f t="shared" ref="Q325:Q388" si="2295">FLOOR(AY325,1)</f>
        <v>4039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70071</v>
      </c>
      <c r="X325" s="6" t="s">
        <v>185</v>
      </c>
      <c r="Y325" s="5">
        <v>300</v>
      </c>
      <c r="Z325" s="5">
        <v>1</v>
      </c>
      <c r="AA325" s="5">
        <v>41987484</v>
      </c>
      <c r="AB325" s="16" t="s">
        <v>111</v>
      </c>
      <c r="AC325" s="7" t="s">
        <v>112</v>
      </c>
      <c r="AD325" s="7" t="s">
        <v>112</v>
      </c>
      <c r="AE325" s="7" t="s">
        <v>112</v>
      </c>
      <c r="AF325" s="6" t="s">
        <v>113</v>
      </c>
      <c r="AG325" s="26" t="str">
        <f t="shared" ref="AG325" si="2296">CM$10</f>
        <v>4,14,28,14,6,4,14,28,14,6</v>
      </c>
      <c r="AH325" s="26" t="str">
        <f t="shared" ref="AH325" si="2297">CN$10</f>
        <v>0,0,0,0,1,0,0,0,0,1</v>
      </c>
      <c r="AI325" s="26" t="str">
        <f t="shared" ref="AI325" si="2298">CO$10</f>
        <v>0,0,0,0,1,0,0,0,0,1</v>
      </c>
      <c r="AJ325" s="26" t="str">
        <f t="shared" ref="AJ325" si="2299">CP$10</f>
        <v>0,0,0,0,5,0,0,0,0,5</v>
      </c>
      <c r="AK325" s="26" t="str">
        <f t="shared" ref="AK325" si="2300">CQ$10</f>
        <v>200,1,1000,2,5,200,1,1000,2,5</v>
      </c>
      <c r="AL325" s="26" t="str">
        <f t="shared" ref="AL325" si="2301">CR$10</f>
        <v>5,5,5,5,5,5,5,5,5,5</v>
      </c>
      <c r="AM325" s="7">
        <v>2001</v>
      </c>
      <c r="AO325">
        <f t="shared" ref="AO325" si="2302">AQ325*100+7</f>
        <v>3607</v>
      </c>
      <c r="AP325">
        <v>321</v>
      </c>
      <c r="AQ325">
        <f t="shared" ref="AQ325:AQ388" si="2303">FLOOR(AP325/9+1,1)</f>
        <v>36</v>
      </c>
      <c r="AR325" s="17">
        <v>8</v>
      </c>
      <c r="AS325" s="17">
        <f t="shared" si="1918"/>
        <v>245</v>
      </c>
      <c r="AT325" s="17">
        <v>7</v>
      </c>
      <c r="AU325">
        <f t="shared" ref="AU325:AU388" si="2304">20+FLOOR(AQ325/10,1)*2</f>
        <v>26</v>
      </c>
      <c r="AV325">
        <v>150</v>
      </c>
      <c r="AW325">
        <f t="shared" ref="AW325:AW388" si="2305">BA325*0.6*(1+BF325)</f>
        <v>44799.575040000003</v>
      </c>
      <c r="AX325">
        <f t="shared" si="1968"/>
        <v>242352000.00000006</v>
      </c>
      <c r="AY325">
        <f t="shared" ref="AY325:AY388" si="2306">BB325*2</f>
        <v>4039.2000000000003</v>
      </c>
      <c r="AZ325">
        <f t="shared" ref="AZ325:AZ388" si="2307">(INDEX($BO$2:$BO$15,MATCH($AR325,$BK$2:$BK$15,0))+INDEX($BP$2:$BP$15,MATCH($AR325,$BK$2:$BK$15,0))*$AS325)*(1+INDEX($BZ$2:$BZ$15,MATCH($AT325,$BX$2:$BX$15,0)))</f>
        <v>8078.4000000000005</v>
      </c>
      <c r="BA325">
        <f t="shared" ref="BA325:BA388" si="2308">INDEX($BQ$2:$BQ$15,MATCH($AR325,$BK$2:$BK$15,0))+INDEX($BR$2:$BR$15,MATCH($AR325,$BK$2:$BK$15,0))*$AS325</f>
        <v>53856.000000000007</v>
      </c>
      <c r="BB325">
        <f t="shared" ref="BB325:BB388" si="2309">(INDEX($BS$2:$BS$15,MATCH($AR325,$BK$2:$BK$15,0))+INDEX($BT$2:$BT$15,MATCH($AR325,$BK$2:$BK$15,0))*$AS325)*(1+INDEX($BZ$2:$BZ$15,MATCH($AT325,$BX$2:$BX$15,0)))</f>
        <v>2019.6000000000001</v>
      </c>
      <c r="BC325">
        <f t="shared" si="1969"/>
        <v>242352000.00000006</v>
      </c>
      <c r="BD325">
        <f t="shared" ref="BD325:BD388" si="2310">1/(1+AZ325*3/(5*BB325))</f>
        <v>0.29411764705882354</v>
      </c>
      <c r="BE325" s="27">
        <f t="shared" si="1970"/>
        <v>174735113.4144001</v>
      </c>
      <c r="BF325" s="30">
        <f t="shared" ref="BF325:BF388" si="2311">0.3+AQ325*0.0024</f>
        <v>0.38639999999999997</v>
      </c>
      <c r="BG325" s="27"/>
      <c r="BH325" s="27"/>
      <c r="BI325" s="27"/>
      <c r="CA325" s="20">
        <f t="shared" ref="CA325:CA388" si="2312">$CA$2+(AQ325-1)*5</f>
        <v>275</v>
      </c>
      <c r="CB325" s="20">
        <f t="shared" ref="CB325:CB388" si="2313">$CB$2+(AQ325-1)*500</f>
        <v>27500</v>
      </c>
    </row>
    <row r="326" spans="1:80" x14ac:dyDescent="0.15">
      <c r="A326">
        <v>3608</v>
      </c>
      <c r="B326" s="3" t="s">
        <v>128</v>
      </c>
      <c r="C326" s="4" t="s">
        <v>109</v>
      </c>
      <c r="D326" s="4" t="s">
        <v>110</v>
      </c>
      <c r="E326" s="5">
        <v>5</v>
      </c>
      <c r="F326" s="7" t="s">
        <v>129</v>
      </c>
      <c r="G326" s="5">
        <v>2</v>
      </c>
      <c r="H326" s="7" t="s">
        <v>130</v>
      </c>
      <c r="I326" s="5">
        <v>0</v>
      </c>
      <c r="J326" s="5">
        <v>0</v>
      </c>
      <c r="K326">
        <v>2</v>
      </c>
      <c r="L326">
        <v>1.5</v>
      </c>
      <c r="M326" s="5">
        <v>1.5</v>
      </c>
      <c r="N326" s="5">
        <v>10</v>
      </c>
      <c r="O326" s="5">
        <f t="shared" si="2293"/>
        <v>45677</v>
      </c>
      <c r="P326" s="5">
        <f t="shared" si="2294"/>
        <v>247104000</v>
      </c>
      <c r="Q326" s="5">
        <f t="shared" si="2295"/>
        <v>4118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70081</v>
      </c>
      <c r="X326" s="6" t="s">
        <v>186</v>
      </c>
      <c r="Y326" s="5">
        <v>300</v>
      </c>
      <c r="Z326" s="5">
        <v>1</v>
      </c>
      <c r="AA326" s="5">
        <v>43874329</v>
      </c>
      <c r="AB326" s="16" t="s">
        <v>111</v>
      </c>
      <c r="AC326" s="7" t="s">
        <v>112</v>
      </c>
      <c r="AD326" s="7" t="s">
        <v>112</v>
      </c>
      <c r="AE326" s="7" t="s">
        <v>112</v>
      </c>
      <c r="AF326" s="6" t="s">
        <v>113</v>
      </c>
      <c r="AG326" s="26" t="str">
        <f t="shared" ref="AG326" si="2314">CM$11</f>
        <v>4,28,6,28,6,4,28,6,28,6</v>
      </c>
      <c r="AH326" s="26" t="str">
        <f t="shared" ref="AH326" si="2315">CN$11</f>
        <v>0,0,1,0,1,0,0,1,0,1</v>
      </c>
      <c r="AI326" s="26" t="str">
        <f t="shared" ref="AI326" si="2316">CO$11</f>
        <v>0,0,1,0,1,0,0,1,0,1</v>
      </c>
      <c r="AJ326" s="26" t="str">
        <f t="shared" ref="AJ326" si="2317">CP$11</f>
        <v>0,0,5,0,5,0,0,5,0,5</v>
      </c>
      <c r="AK326" s="26" t="str">
        <f t="shared" ref="AK326" si="2318">CQ$11</f>
        <v>100,1000,5,1500,5,200,1000,5,1500,5</v>
      </c>
      <c r="AL326" s="26" t="str">
        <f t="shared" ref="AL326" si="2319">CR$11</f>
        <v>5,5,5,5,5,5,5,5,5,5</v>
      </c>
      <c r="AM326" s="7">
        <v>2001</v>
      </c>
      <c r="AO326">
        <f t="shared" ref="AO326" si="2320">AQ326*100+8</f>
        <v>3608</v>
      </c>
      <c r="AP326">
        <v>322</v>
      </c>
      <c r="AQ326">
        <f t="shared" si="2303"/>
        <v>36</v>
      </c>
      <c r="AR326" s="17">
        <v>8</v>
      </c>
      <c r="AS326" s="17">
        <f t="shared" si="1918"/>
        <v>250</v>
      </c>
      <c r="AT326" s="17">
        <v>7</v>
      </c>
      <c r="AU326">
        <f t="shared" si="2304"/>
        <v>26</v>
      </c>
      <c r="AV326">
        <v>150</v>
      </c>
      <c r="AW326">
        <f t="shared" si="2305"/>
        <v>45677.998080000012</v>
      </c>
      <c r="AX326">
        <f t="shared" si="1968"/>
        <v>247104000.00000006</v>
      </c>
      <c r="AY326">
        <f t="shared" si="2306"/>
        <v>4118.4000000000005</v>
      </c>
      <c r="AZ326">
        <f t="shared" si="2307"/>
        <v>8236.8000000000011</v>
      </c>
      <c r="BA326">
        <f t="shared" si="2308"/>
        <v>54912.000000000007</v>
      </c>
      <c r="BB326">
        <f t="shared" si="2309"/>
        <v>2059.2000000000003</v>
      </c>
      <c r="BC326">
        <f t="shared" si="1969"/>
        <v>247104000.00000006</v>
      </c>
      <c r="BD326">
        <f t="shared" si="2310"/>
        <v>0.29411764705882354</v>
      </c>
      <c r="BE326" s="27">
        <f t="shared" si="1970"/>
        <v>181654650.77760008</v>
      </c>
      <c r="BF326" s="30">
        <f t="shared" si="2311"/>
        <v>0.38639999999999997</v>
      </c>
      <c r="BG326" s="27"/>
      <c r="BH326" s="27"/>
      <c r="BI326" s="27"/>
      <c r="CA326" s="20">
        <f t="shared" si="2312"/>
        <v>275</v>
      </c>
      <c r="CB326" s="20">
        <f t="shared" si="2313"/>
        <v>27500</v>
      </c>
    </row>
    <row r="327" spans="1:80" x14ac:dyDescent="0.15">
      <c r="A327">
        <v>3609</v>
      </c>
      <c r="B327" s="3" t="s">
        <v>132</v>
      </c>
      <c r="C327" s="4" t="s">
        <v>109</v>
      </c>
      <c r="D327" s="4" t="s">
        <v>110</v>
      </c>
      <c r="E327" s="5">
        <v>5</v>
      </c>
      <c r="F327" s="7" t="s">
        <v>140</v>
      </c>
      <c r="G327" s="5">
        <v>3</v>
      </c>
      <c r="H327" s="7" t="s">
        <v>140</v>
      </c>
      <c r="I327" s="5">
        <v>0</v>
      </c>
      <c r="J327" s="7">
        <v>0</v>
      </c>
      <c r="K327">
        <v>6</v>
      </c>
      <c r="L327">
        <v>1.5</v>
      </c>
      <c r="M327" s="5">
        <v>1.5</v>
      </c>
      <c r="N327" s="5">
        <v>10</v>
      </c>
      <c r="O327" s="5">
        <f t="shared" si="2293"/>
        <v>46556</v>
      </c>
      <c r="P327" s="5">
        <f t="shared" si="2294"/>
        <v>251856000</v>
      </c>
      <c r="Q327" s="5">
        <f t="shared" si="2295"/>
        <v>4197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70091</v>
      </c>
      <c r="X327" s="6" t="s">
        <v>187</v>
      </c>
      <c r="Y327" s="5">
        <v>300</v>
      </c>
      <c r="Z327" s="5">
        <v>1</v>
      </c>
      <c r="AA327" s="5">
        <v>45802643</v>
      </c>
      <c r="AB327" s="16" t="s">
        <v>111</v>
      </c>
      <c r="AC327" s="7" t="s">
        <v>112</v>
      </c>
      <c r="AD327" s="7" t="s">
        <v>112</v>
      </c>
      <c r="AE327" s="7" t="s">
        <v>112</v>
      </c>
      <c r="AF327" s="6" t="s">
        <v>113</v>
      </c>
      <c r="AG327" s="26" t="str">
        <f t="shared" ref="AG327" si="2321">CM$12</f>
        <v>4,33,28,33,6,4,33,28,33,6</v>
      </c>
      <c r="AH327" s="26" t="str">
        <f t="shared" ref="AH327" si="2322">CN$12</f>
        <v>0,5,0,5,1,0,5,0,5,1</v>
      </c>
      <c r="AI327" s="26" t="str">
        <f t="shared" ref="AI327" si="2323">CO$12</f>
        <v>0,0,0,0,1,0,0,0,0,1</v>
      </c>
      <c r="AJ327" s="26" t="str">
        <f t="shared" ref="AJ327" si="2324">CP$12</f>
        <v>0,0,0,0,5,0,0,0,0,5</v>
      </c>
      <c r="AK327" s="26" t="str">
        <f t="shared" ref="AK327" si="2325">CQ$12</f>
        <v>100,1,1000,2,5,200,1,1000,2,5</v>
      </c>
      <c r="AL327" s="26" t="str">
        <f t="shared" ref="AL327" si="2326">CR$12</f>
        <v>5,5,5,5,5,5,5,5,5,5</v>
      </c>
      <c r="AM327" s="7">
        <v>2001</v>
      </c>
      <c r="AO327">
        <f t="shared" ref="AO327" si="2327">AQ327*100+9</f>
        <v>3609</v>
      </c>
      <c r="AP327">
        <v>323</v>
      </c>
      <c r="AQ327">
        <f t="shared" si="2303"/>
        <v>36</v>
      </c>
      <c r="AR327" s="17">
        <v>8</v>
      </c>
      <c r="AS327" s="17">
        <f t="shared" si="1918"/>
        <v>255</v>
      </c>
      <c r="AT327" s="17">
        <v>7</v>
      </c>
      <c r="AU327">
        <f t="shared" si="2304"/>
        <v>26</v>
      </c>
      <c r="AV327">
        <v>150</v>
      </c>
      <c r="AW327">
        <f t="shared" si="2305"/>
        <v>46556.421120000006</v>
      </c>
      <c r="AX327">
        <f t="shared" si="1968"/>
        <v>251856000.00000006</v>
      </c>
      <c r="AY327">
        <f t="shared" si="2306"/>
        <v>4197.6000000000004</v>
      </c>
      <c r="AZ327">
        <f t="shared" si="2307"/>
        <v>8395.2000000000007</v>
      </c>
      <c r="BA327">
        <f t="shared" si="2308"/>
        <v>55968.000000000007</v>
      </c>
      <c r="BB327">
        <f t="shared" si="2309"/>
        <v>2098.8000000000002</v>
      </c>
      <c r="BC327">
        <f t="shared" si="1969"/>
        <v>251856000.00000006</v>
      </c>
      <c r="BD327">
        <f t="shared" si="2310"/>
        <v>0.29411764705882348</v>
      </c>
      <c r="BE327" s="27">
        <f t="shared" si="1970"/>
        <v>188708548.08960006</v>
      </c>
      <c r="BF327" s="30">
        <f t="shared" si="2311"/>
        <v>0.38639999999999997</v>
      </c>
      <c r="BG327" s="27"/>
      <c r="BH327" s="27"/>
      <c r="BI327" s="27"/>
      <c r="CA327" s="20">
        <f t="shared" si="2312"/>
        <v>275</v>
      </c>
      <c r="CB327" s="20">
        <f t="shared" si="2313"/>
        <v>27500</v>
      </c>
    </row>
    <row r="328" spans="1:80" x14ac:dyDescent="0.15">
      <c r="A328">
        <v>3701</v>
      </c>
      <c r="B328" s="3" t="s">
        <v>108</v>
      </c>
      <c r="C328" s="4" t="s">
        <v>109</v>
      </c>
      <c r="D328" s="4" t="s">
        <v>110</v>
      </c>
      <c r="E328" s="5">
        <v>3</v>
      </c>
      <c r="F328" s="7" t="s">
        <v>141</v>
      </c>
      <c r="G328" s="5">
        <v>2.5</v>
      </c>
      <c r="H328" s="7" t="s">
        <v>194</v>
      </c>
      <c r="I328" s="5">
        <v>0</v>
      </c>
      <c r="J328" s="5">
        <v>0</v>
      </c>
      <c r="K328">
        <v>2</v>
      </c>
      <c r="L328">
        <v>1.5</v>
      </c>
      <c r="M328" s="5">
        <v>1.5</v>
      </c>
      <c r="N328" s="5">
        <v>10</v>
      </c>
      <c r="O328" s="5">
        <f t="shared" si="2293"/>
        <v>40477</v>
      </c>
      <c r="P328" s="5">
        <f t="shared" si="2294"/>
        <v>218592000</v>
      </c>
      <c r="Q328" s="5">
        <f t="shared" si="2295"/>
        <v>3643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70011</v>
      </c>
      <c r="X328" s="6" t="s">
        <v>179</v>
      </c>
      <c r="Y328" s="5">
        <v>300</v>
      </c>
      <c r="Z328" s="5">
        <v>1</v>
      </c>
      <c r="AA328" s="5">
        <v>47772426</v>
      </c>
      <c r="AB328" s="16" t="s">
        <v>111</v>
      </c>
      <c r="AC328" s="7" t="s">
        <v>112</v>
      </c>
      <c r="AD328" s="7" t="s">
        <v>112</v>
      </c>
      <c r="AE328" s="7" t="s">
        <v>112</v>
      </c>
      <c r="AF328" s="6" t="s">
        <v>113</v>
      </c>
      <c r="AG328" s="26" t="str">
        <f t="shared" ref="AG328" si="2328">CM$4</f>
        <v>4,33,28,33,6,4,33,28,33,6</v>
      </c>
      <c r="AH328" s="26" t="str">
        <f t="shared" ref="AH328" si="2329">CN$4</f>
        <v>0,8,0,8,1,0,8,0,8,1</v>
      </c>
      <c r="AI328" s="26" t="str">
        <f t="shared" ref="AI328" si="2330">CO$4</f>
        <v>0,0,0,0,1,0,0,0,0,1</v>
      </c>
      <c r="AJ328" s="26" t="str">
        <f t="shared" ref="AJ328" si="2331">CP$4</f>
        <v>0,0,0,0,5,0,0,0,0,5</v>
      </c>
      <c r="AK328" s="26" t="str">
        <f t="shared" ref="AK328" si="2332">CQ$4</f>
        <v>100,1,1000,2,5,200,1,1000,2,5</v>
      </c>
      <c r="AL328" s="26" t="str">
        <f t="shared" ref="AL328" si="2333">CR$4</f>
        <v>5,5,5,5,5,5,5,5,5,5</v>
      </c>
      <c r="AM328" s="7">
        <v>2001</v>
      </c>
      <c r="AO328">
        <f t="shared" ref="AO328" si="2334">AQ328*100+1</f>
        <v>3701</v>
      </c>
      <c r="AP328">
        <v>324</v>
      </c>
      <c r="AQ328">
        <f t="shared" si="2303"/>
        <v>37</v>
      </c>
      <c r="AR328" s="17">
        <v>8</v>
      </c>
      <c r="AS328" s="17">
        <f t="shared" si="1918"/>
        <v>220</v>
      </c>
      <c r="AT328" s="17">
        <v>7</v>
      </c>
      <c r="AU328">
        <f t="shared" si="2304"/>
        <v>26</v>
      </c>
      <c r="AV328">
        <v>150</v>
      </c>
      <c r="AW328">
        <f t="shared" si="2305"/>
        <v>40477.409280000007</v>
      </c>
      <c r="AX328">
        <f t="shared" si="1968"/>
        <v>218592000.00000003</v>
      </c>
      <c r="AY328">
        <f t="shared" si="2306"/>
        <v>3643.2000000000003</v>
      </c>
      <c r="AZ328">
        <f t="shared" si="2307"/>
        <v>7286.4000000000005</v>
      </c>
      <c r="BA328">
        <f t="shared" si="2308"/>
        <v>48576.000000000007</v>
      </c>
      <c r="BB328">
        <f t="shared" si="2309"/>
        <v>1821.6000000000001</v>
      </c>
      <c r="BC328">
        <f t="shared" si="1969"/>
        <v>218592000.00000003</v>
      </c>
      <c r="BD328">
        <f t="shared" si="2310"/>
        <v>0.29411764705882354</v>
      </c>
      <c r="BE328" s="27">
        <f t="shared" si="1970"/>
        <v>142152825.83040008</v>
      </c>
      <c r="BF328" s="30">
        <f t="shared" si="2311"/>
        <v>0.38879999999999998</v>
      </c>
      <c r="BG328" s="27"/>
      <c r="BH328" s="27"/>
      <c r="BI328" s="27"/>
      <c r="CA328" s="20">
        <f t="shared" si="2312"/>
        <v>280</v>
      </c>
      <c r="CB328" s="20">
        <f t="shared" si="2313"/>
        <v>28000</v>
      </c>
    </row>
    <row r="329" spans="1:80" x14ac:dyDescent="0.15">
      <c r="A329">
        <v>3702</v>
      </c>
      <c r="B329" s="3" t="s">
        <v>115</v>
      </c>
      <c r="C329" s="4" t="s">
        <v>109</v>
      </c>
      <c r="D329" s="6" t="s">
        <v>110</v>
      </c>
      <c r="E329" s="5">
        <v>3</v>
      </c>
      <c r="F329" s="7" t="s">
        <v>142</v>
      </c>
      <c r="G329" s="5">
        <v>3</v>
      </c>
      <c r="H329" s="7" t="s">
        <v>188</v>
      </c>
      <c r="I329" s="5">
        <v>0</v>
      </c>
      <c r="J329" s="5">
        <v>0</v>
      </c>
      <c r="K329">
        <v>2</v>
      </c>
      <c r="L329">
        <v>1.5</v>
      </c>
      <c r="M329" s="5">
        <v>1.5</v>
      </c>
      <c r="N329" s="5">
        <v>10</v>
      </c>
      <c r="O329" s="5">
        <f t="shared" si="2293"/>
        <v>41357</v>
      </c>
      <c r="P329" s="5">
        <f t="shared" si="2294"/>
        <v>223344000</v>
      </c>
      <c r="Q329" s="5">
        <f t="shared" si="2295"/>
        <v>3722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70021</v>
      </c>
      <c r="X329" s="6" t="s">
        <v>180</v>
      </c>
      <c r="Y329" s="5">
        <v>300</v>
      </c>
      <c r="Z329" s="5">
        <v>1</v>
      </c>
      <c r="AA329" s="5">
        <v>34854795</v>
      </c>
      <c r="AB329" s="16" t="s">
        <v>111</v>
      </c>
      <c r="AC329" s="7" t="s">
        <v>112</v>
      </c>
      <c r="AD329" s="7" t="s">
        <v>112</v>
      </c>
      <c r="AE329" s="7" t="s">
        <v>112</v>
      </c>
      <c r="AF329" s="6" t="s">
        <v>113</v>
      </c>
      <c r="AG329" s="26" t="str">
        <f t="shared" ref="AG329" si="2335">CM$5</f>
        <v>4,33,28,33,6,4,33,28,33,6</v>
      </c>
      <c r="AH329" s="26" t="str">
        <f t="shared" ref="AH329" si="2336">CN$5</f>
        <v>0,7,0,7,1,0,7,0,7,1</v>
      </c>
      <c r="AI329" s="26" t="str">
        <f t="shared" ref="AI329" si="2337">CO$5</f>
        <v>0,0,0,0,1,0,0,0,0,1</v>
      </c>
      <c r="AJ329" s="26" t="str">
        <f t="shared" ref="AJ329" si="2338">CP$5</f>
        <v>0,0,0,0,5,0,0,0,0,5</v>
      </c>
      <c r="AK329" s="26" t="str">
        <f t="shared" ref="AK329" si="2339">CQ$5</f>
        <v>100,1,1000,2,5,200,1,1000,2,5</v>
      </c>
      <c r="AL329" s="26" t="str">
        <f t="shared" ref="AL329" si="2340">CR$5</f>
        <v>5,5,5,5,5,5,5,5,5,5</v>
      </c>
      <c r="AM329" s="7">
        <v>2001</v>
      </c>
      <c r="AO329">
        <f t="shared" ref="AO329" si="2341">AQ329*100+2</f>
        <v>3702</v>
      </c>
      <c r="AP329">
        <v>325</v>
      </c>
      <c r="AQ329">
        <f t="shared" si="2303"/>
        <v>37</v>
      </c>
      <c r="AR329" s="17">
        <v>8</v>
      </c>
      <c r="AS329" s="17">
        <f t="shared" si="1918"/>
        <v>225</v>
      </c>
      <c r="AT329" s="17">
        <v>7</v>
      </c>
      <c r="AU329">
        <f t="shared" si="2304"/>
        <v>26</v>
      </c>
      <c r="AV329">
        <v>150</v>
      </c>
      <c r="AW329">
        <f t="shared" si="2305"/>
        <v>41357.352960000004</v>
      </c>
      <c r="AX329">
        <f t="shared" si="1968"/>
        <v>223344000</v>
      </c>
      <c r="AY329">
        <f t="shared" si="2306"/>
        <v>3722.4</v>
      </c>
      <c r="AZ329">
        <f t="shared" si="2307"/>
        <v>7444.8</v>
      </c>
      <c r="BA329">
        <f t="shared" si="2308"/>
        <v>49632.000000000007</v>
      </c>
      <c r="BB329">
        <f t="shared" si="2309"/>
        <v>1861.2</v>
      </c>
      <c r="BC329">
        <f t="shared" si="1969"/>
        <v>223344000</v>
      </c>
      <c r="BD329">
        <f t="shared" si="2310"/>
        <v>0.29411764705882348</v>
      </c>
      <c r="BE329" s="27">
        <f t="shared" si="1970"/>
        <v>148400563.44960001</v>
      </c>
      <c r="BF329" s="30">
        <f t="shared" si="2311"/>
        <v>0.38879999999999998</v>
      </c>
      <c r="BG329" s="27"/>
      <c r="BH329" s="27"/>
      <c r="BI329" s="27"/>
      <c r="CA329" s="20">
        <f t="shared" si="2312"/>
        <v>280</v>
      </c>
      <c r="CB329" s="20">
        <f t="shared" si="2313"/>
        <v>28000</v>
      </c>
    </row>
    <row r="330" spans="1:80" x14ac:dyDescent="0.15">
      <c r="A330">
        <v>3703</v>
      </c>
      <c r="B330" s="3" t="s">
        <v>117</v>
      </c>
      <c r="C330" s="4" t="s">
        <v>109</v>
      </c>
      <c r="D330" s="4" t="s">
        <v>110</v>
      </c>
      <c r="E330" s="5">
        <v>1</v>
      </c>
      <c r="F330" s="7" t="s">
        <v>144</v>
      </c>
      <c r="G330" s="5">
        <v>3</v>
      </c>
      <c r="H330" s="7" t="s">
        <v>189</v>
      </c>
      <c r="I330" s="5">
        <v>0</v>
      </c>
      <c r="J330" s="2">
        <v>0</v>
      </c>
      <c r="K330">
        <v>6</v>
      </c>
      <c r="L330">
        <v>1.5</v>
      </c>
      <c r="M330" s="5">
        <v>1.5</v>
      </c>
      <c r="N330" s="5">
        <v>10</v>
      </c>
      <c r="O330" s="5">
        <f t="shared" si="2293"/>
        <v>42237</v>
      </c>
      <c r="P330" s="5">
        <f t="shared" si="2294"/>
        <v>228096000</v>
      </c>
      <c r="Q330" s="5">
        <f t="shared" si="2295"/>
        <v>3801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70031</v>
      </c>
      <c r="X330" s="6" t="s">
        <v>181</v>
      </c>
      <c r="Y330" s="5">
        <v>300</v>
      </c>
      <c r="Z330" s="5">
        <v>1</v>
      </c>
      <c r="AA330" s="5">
        <v>36575764</v>
      </c>
      <c r="AB330" s="16" t="s">
        <v>111</v>
      </c>
      <c r="AC330" s="7" t="s">
        <v>112</v>
      </c>
      <c r="AD330" s="7" t="s">
        <v>112</v>
      </c>
      <c r="AE330" s="7" t="s">
        <v>112</v>
      </c>
      <c r="AF330" s="6" t="s">
        <v>113</v>
      </c>
      <c r="AG330" s="26" t="str">
        <f t="shared" ref="AG330" si="2342">CM$6</f>
        <v>4,28,6,28,6,4,28,6,28,6</v>
      </c>
      <c r="AH330" s="26" t="str">
        <f t="shared" ref="AH330" si="2343">CN$6</f>
        <v>0,0,1,0,1,0,0,1,0,1</v>
      </c>
      <c r="AI330" s="26" t="str">
        <f t="shared" ref="AI330" si="2344">CO$6</f>
        <v>0,0,0,0,1,0,0,0,0,1</v>
      </c>
      <c r="AJ330" s="26" t="str">
        <f t="shared" ref="AJ330" si="2345">CP$6</f>
        <v>0,0,5,0,5,0,0,5,0,5</v>
      </c>
      <c r="AK330" s="26" t="str">
        <f t="shared" ref="AK330" si="2346">CQ$6</f>
        <v>100,1000,5,1500,5,200,1000,5,1500,5</v>
      </c>
      <c r="AL330" s="26" t="str">
        <f t="shared" ref="AL330" si="2347">CR$6</f>
        <v>5,5,5,5,5,5,5,5,5,5</v>
      </c>
      <c r="AM330" s="7">
        <v>2001</v>
      </c>
      <c r="AO330">
        <f t="shared" ref="AO330" si="2348">AQ330*100+3</f>
        <v>3703</v>
      </c>
      <c r="AP330">
        <v>326</v>
      </c>
      <c r="AQ330">
        <f t="shared" si="2303"/>
        <v>37</v>
      </c>
      <c r="AR330" s="17">
        <v>8</v>
      </c>
      <c r="AS330" s="17">
        <f t="shared" si="1918"/>
        <v>230</v>
      </c>
      <c r="AT330" s="17">
        <v>7</v>
      </c>
      <c r="AU330">
        <f t="shared" si="2304"/>
        <v>26</v>
      </c>
      <c r="AV330">
        <v>150</v>
      </c>
      <c r="AW330">
        <f t="shared" si="2305"/>
        <v>42237.296640000008</v>
      </c>
      <c r="AX330">
        <f t="shared" si="1968"/>
        <v>228096000</v>
      </c>
      <c r="AY330">
        <f t="shared" si="2306"/>
        <v>3801.6</v>
      </c>
      <c r="AZ330">
        <f t="shared" si="2307"/>
        <v>7603.2</v>
      </c>
      <c r="BA330">
        <f t="shared" si="2308"/>
        <v>50688.000000000007</v>
      </c>
      <c r="BB330">
        <f t="shared" si="2309"/>
        <v>1900.8</v>
      </c>
      <c r="BC330">
        <f t="shared" si="1969"/>
        <v>228096000</v>
      </c>
      <c r="BD330">
        <f t="shared" si="2310"/>
        <v>0.29411764705882354</v>
      </c>
      <c r="BE330" s="27">
        <f t="shared" si="1970"/>
        <v>154782661.01760003</v>
      </c>
      <c r="BF330" s="30">
        <f t="shared" si="2311"/>
        <v>0.38879999999999998</v>
      </c>
      <c r="BG330" s="27"/>
      <c r="BH330" s="27"/>
      <c r="BI330" s="27"/>
      <c r="CA330" s="20">
        <f t="shared" si="2312"/>
        <v>280</v>
      </c>
      <c r="CB330" s="20">
        <f t="shared" si="2313"/>
        <v>28000</v>
      </c>
    </row>
    <row r="331" spans="1:80" x14ac:dyDescent="0.15">
      <c r="A331">
        <v>3704</v>
      </c>
      <c r="B331" s="3" t="s">
        <v>119</v>
      </c>
      <c r="C331" s="4" t="s">
        <v>109</v>
      </c>
      <c r="D331" s="6" t="s">
        <v>120</v>
      </c>
      <c r="E331" s="5">
        <v>3</v>
      </c>
      <c r="F331" s="7" t="s">
        <v>145</v>
      </c>
      <c r="G331" s="5">
        <v>3</v>
      </c>
      <c r="H331" s="7" t="s">
        <v>190</v>
      </c>
      <c r="I331" s="5">
        <v>0</v>
      </c>
      <c r="J331" s="5">
        <v>0</v>
      </c>
      <c r="K331">
        <v>2</v>
      </c>
      <c r="L331">
        <v>1.5</v>
      </c>
      <c r="M331" s="5">
        <v>1.5</v>
      </c>
      <c r="N331" s="5">
        <v>10</v>
      </c>
      <c r="O331" s="5">
        <f t="shared" si="2293"/>
        <v>43117</v>
      </c>
      <c r="P331" s="5">
        <f t="shared" si="2294"/>
        <v>232848000</v>
      </c>
      <c r="Q331" s="5">
        <f t="shared" si="2295"/>
        <v>3880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70041</v>
      </c>
      <c r="X331" s="6" t="s">
        <v>182</v>
      </c>
      <c r="Y331" s="5">
        <v>300</v>
      </c>
      <c r="Z331" s="5">
        <v>1</v>
      </c>
      <c r="AA331" s="5">
        <v>38338201</v>
      </c>
      <c r="AB331" s="16" t="s">
        <v>111</v>
      </c>
      <c r="AC331" s="7" t="s">
        <v>112</v>
      </c>
      <c r="AD331" s="7" t="s">
        <v>112</v>
      </c>
      <c r="AE331" s="7" t="s">
        <v>112</v>
      </c>
      <c r="AF331" s="6" t="s">
        <v>113</v>
      </c>
      <c r="AG331" s="26" t="str">
        <f t="shared" ref="AG331" si="2349">CM$7</f>
        <v>4,14,28,14,6,4,14,28,14,6</v>
      </c>
      <c r="AH331" s="26" t="str">
        <f t="shared" ref="AH331" si="2350">CN$7</f>
        <v>0,0,0,0,1,0,0,0,0,1</v>
      </c>
      <c r="AI331" s="26" t="str">
        <f t="shared" ref="AI331" si="2351">CO$7</f>
        <v>0,0,0,0,1,0,0,0,0,1</v>
      </c>
      <c r="AJ331" s="26" t="str">
        <f t="shared" ref="AJ331" si="2352">CP$7</f>
        <v>0,0,0,0,5,0,0,0,0,5</v>
      </c>
      <c r="AK331" s="26" t="str">
        <f t="shared" ref="AK331" si="2353">CQ$7</f>
        <v>100,1,1000,2,5,200,1,1000,2,5</v>
      </c>
      <c r="AL331" s="26" t="str">
        <f t="shared" ref="AL331" si="2354">CR$7</f>
        <v>5,5,5,5,5,5,5,5,5,5</v>
      </c>
      <c r="AM331" s="7">
        <v>2001</v>
      </c>
      <c r="AO331">
        <f t="shared" ref="AO331" si="2355">AQ331*100+4</f>
        <v>3704</v>
      </c>
      <c r="AP331">
        <v>327</v>
      </c>
      <c r="AQ331">
        <f t="shared" si="2303"/>
        <v>37</v>
      </c>
      <c r="AR331" s="17">
        <v>8</v>
      </c>
      <c r="AS331" s="17">
        <f t="shared" si="1918"/>
        <v>235</v>
      </c>
      <c r="AT331" s="17">
        <v>7</v>
      </c>
      <c r="AU331">
        <f t="shared" si="2304"/>
        <v>26</v>
      </c>
      <c r="AV331">
        <v>150</v>
      </c>
      <c r="AW331">
        <f t="shared" si="2305"/>
        <v>43117.240320000004</v>
      </c>
      <c r="AX331">
        <f t="shared" si="1968"/>
        <v>232848000</v>
      </c>
      <c r="AY331">
        <f t="shared" si="2306"/>
        <v>3880.8</v>
      </c>
      <c r="AZ331">
        <f t="shared" si="2307"/>
        <v>7761.6</v>
      </c>
      <c r="BA331">
        <f t="shared" si="2308"/>
        <v>51744.000000000007</v>
      </c>
      <c r="BB331">
        <f t="shared" si="2309"/>
        <v>1940.4</v>
      </c>
      <c r="BC331">
        <f t="shared" si="1969"/>
        <v>232848000</v>
      </c>
      <c r="BD331">
        <f t="shared" si="2310"/>
        <v>0.29411764705882348</v>
      </c>
      <c r="BE331" s="27">
        <f t="shared" si="1970"/>
        <v>161299118.53439999</v>
      </c>
      <c r="BF331" s="30">
        <f t="shared" si="2311"/>
        <v>0.38879999999999998</v>
      </c>
      <c r="BG331" s="27"/>
      <c r="BH331" s="27"/>
      <c r="BI331" s="27"/>
      <c r="CA331" s="20">
        <f t="shared" si="2312"/>
        <v>280</v>
      </c>
      <c r="CB331" s="20">
        <f t="shared" si="2313"/>
        <v>28000</v>
      </c>
    </row>
    <row r="332" spans="1:80" x14ac:dyDescent="0.15">
      <c r="A332">
        <v>3705</v>
      </c>
      <c r="B332" s="3" t="s">
        <v>122</v>
      </c>
      <c r="C332" s="4" t="s">
        <v>109</v>
      </c>
      <c r="D332" s="4" t="s">
        <v>110</v>
      </c>
      <c r="E332" s="5">
        <v>2</v>
      </c>
      <c r="F332" s="7" t="s">
        <v>146</v>
      </c>
      <c r="G332" s="5">
        <v>3</v>
      </c>
      <c r="H332" s="7" t="s">
        <v>191</v>
      </c>
      <c r="I332" s="5">
        <v>0</v>
      </c>
      <c r="J332" s="7" t="s">
        <v>148</v>
      </c>
      <c r="K332">
        <v>6</v>
      </c>
      <c r="L332">
        <v>1.5</v>
      </c>
      <c r="M332" s="5">
        <v>1.5</v>
      </c>
      <c r="N332" s="5">
        <v>10</v>
      </c>
      <c r="O332" s="5">
        <f t="shared" si="2293"/>
        <v>43997</v>
      </c>
      <c r="P332" s="5">
        <f t="shared" si="2294"/>
        <v>237600000</v>
      </c>
      <c r="Q332" s="5">
        <f t="shared" si="2295"/>
        <v>3960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70051</v>
      </c>
      <c r="X332" s="6" t="s">
        <v>183</v>
      </c>
      <c r="Y332" s="5">
        <v>300</v>
      </c>
      <c r="Z332" s="5">
        <v>1</v>
      </c>
      <c r="AA332" s="5">
        <v>40142108</v>
      </c>
      <c r="AB332" s="16" t="s">
        <v>111</v>
      </c>
      <c r="AC332" s="7" t="s">
        <v>112</v>
      </c>
      <c r="AD332" s="7" t="s">
        <v>112</v>
      </c>
      <c r="AE332" s="7" t="s">
        <v>112</v>
      </c>
      <c r="AF332" s="6" t="s">
        <v>113</v>
      </c>
      <c r="AG332" s="26" t="str">
        <f t="shared" ref="AG332" si="2356">CM$8</f>
        <v>4,19,28,19,6,4,19,28,19,6</v>
      </c>
      <c r="AH332" s="26" t="str">
        <f t="shared" ref="AH332" si="2357">CN$8</f>
        <v>0,0,0,0,1,0,0,0,0,1</v>
      </c>
      <c r="AI332" s="26" t="str">
        <f t="shared" ref="AI332" si="2358">CO$8</f>
        <v>0,0,0,0,1,0,0,0,0,1</v>
      </c>
      <c r="AJ332" s="26" t="str">
        <f t="shared" ref="AJ332" si="2359">CP$8</f>
        <v>0,0,0,0,5,0,0,0,0,5</v>
      </c>
      <c r="AK332" s="26" t="str">
        <f t="shared" ref="AK332" si="2360">CQ$8</f>
        <v>200,100,1000,200,5,200,100,1000,200,5</v>
      </c>
      <c r="AL332" s="26" t="str">
        <f t="shared" ref="AL332" si="2361">CR$8</f>
        <v>5,5,5,5,5,5,5,5,5,5</v>
      </c>
      <c r="AM332" s="7">
        <v>2001</v>
      </c>
      <c r="AO332">
        <f t="shared" ref="AO332" si="2362">AQ332*100+5</f>
        <v>3705</v>
      </c>
      <c r="AP332">
        <v>328</v>
      </c>
      <c r="AQ332">
        <f t="shared" si="2303"/>
        <v>37</v>
      </c>
      <c r="AR332" s="17">
        <v>8</v>
      </c>
      <c r="AS332" s="17">
        <f t="shared" si="1918"/>
        <v>240</v>
      </c>
      <c r="AT332" s="17">
        <v>7</v>
      </c>
      <c r="AU332">
        <f t="shared" si="2304"/>
        <v>26</v>
      </c>
      <c r="AV332">
        <v>150</v>
      </c>
      <c r="AW332">
        <f t="shared" si="2305"/>
        <v>43997.184000000008</v>
      </c>
      <c r="AX332">
        <f t="shared" si="1968"/>
        <v>237600000</v>
      </c>
      <c r="AY332">
        <f t="shared" si="2306"/>
        <v>3960</v>
      </c>
      <c r="AZ332">
        <f t="shared" si="2307"/>
        <v>7920</v>
      </c>
      <c r="BA332">
        <f t="shared" si="2308"/>
        <v>52800.000000000007</v>
      </c>
      <c r="BB332">
        <f t="shared" si="2309"/>
        <v>1980</v>
      </c>
      <c r="BC332">
        <f t="shared" si="1969"/>
        <v>237600000</v>
      </c>
      <c r="BD332">
        <f t="shared" si="2310"/>
        <v>0.29411764705882354</v>
      </c>
      <c r="BE332" s="27">
        <f t="shared" si="1970"/>
        <v>167949936</v>
      </c>
      <c r="BF332" s="30">
        <f t="shared" si="2311"/>
        <v>0.38879999999999998</v>
      </c>
      <c r="BG332" s="27"/>
      <c r="BH332" s="27"/>
      <c r="BI332" s="27"/>
      <c r="CA332" s="20">
        <f t="shared" si="2312"/>
        <v>280</v>
      </c>
      <c r="CB332" s="20">
        <f t="shared" si="2313"/>
        <v>28000</v>
      </c>
    </row>
    <row r="333" spans="1:80" x14ac:dyDescent="0.15">
      <c r="A333">
        <v>3706</v>
      </c>
      <c r="B333" s="3" t="s">
        <v>124</v>
      </c>
      <c r="C333" s="4" t="s">
        <v>109</v>
      </c>
      <c r="D333" s="6" t="s">
        <v>120</v>
      </c>
      <c r="E333" s="5">
        <v>1</v>
      </c>
      <c r="F333" s="7" t="s">
        <v>147</v>
      </c>
      <c r="G333" s="5">
        <v>3</v>
      </c>
      <c r="H333" s="7" t="s">
        <v>192</v>
      </c>
      <c r="I333" s="5">
        <v>0</v>
      </c>
      <c r="J333" s="7" t="s">
        <v>149</v>
      </c>
      <c r="K333">
        <v>6</v>
      </c>
      <c r="L333">
        <v>1.5</v>
      </c>
      <c r="M333" s="5">
        <v>1.5</v>
      </c>
      <c r="N333" s="5">
        <v>10</v>
      </c>
      <c r="O333" s="5">
        <f t="shared" si="2293"/>
        <v>44877</v>
      </c>
      <c r="P333" s="5">
        <f t="shared" si="2294"/>
        <v>242352000</v>
      </c>
      <c r="Q333" s="5">
        <f t="shared" si="2295"/>
        <v>4039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70061</v>
      </c>
      <c r="X333" s="6" t="s">
        <v>184</v>
      </c>
      <c r="Y333" s="5">
        <v>300</v>
      </c>
      <c r="Z333" s="5">
        <v>1</v>
      </c>
      <c r="AA333" s="5">
        <v>41987484</v>
      </c>
      <c r="AB333" s="16" t="s">
        <v>111</v>
      </c>
      <c r="AC333" s="7" t="s">
        <v>112</v>
      </c>
      <c r="AD333" s="7" t="s">
        <v>112</v>
      </c>
      <c r="AE333" s="7" t="s">
        <v>112</v>
      </c>
      <c r="AF333" s="6" t="s">
        <v>113</v>
      </c>
      <c r="AG333" s="26" t="str">
        <f t="shared" ref="AG333" si="2363">CM$9</f>
        <v>4,33,28,33,6,4,33,28,33,6</v>
      </c>
      <c r="AH333" s="26" t="str">
        <f t="shared" ref="AH333" si="2364">CN$9</f>
        <v>0,6,0,6,1,0,6,0,6,1</v>
      </c>
      <c r="AI333" s="26" t="str">
        <f t="shared" ref="AI333" si="2365">CO$9</f>
        <v>0,0,0,0,1,0,0,0,0,1</v>
      </c>
      <c r="AJ333" s="26" t="str">
        <f t="shared" ref="AJ333" si="2366">CP$9</f>
        <v>0,0,0,0,5,0,0,0,0,5</v>
      </c>
      <c r="AK333" s="26" t="str">
        <f t="shared" ref="AK333" si="2367">CQ$9</f>
        <v>200,1,1000,2,5,200,1,1000,2,5</v>
      </c>
      <c r="AL333" s="26" t="str">
        <f t="shared" ref="AL333" si="2368">CR$9</f>
        <v>5,5,5,5,5,5,5,5,5,5</v>
      </c>
      <c r="AM333" s="7">
        <v>2001</v>
      </c>
      <c r="AO333">
        <f t="shared" ref="AO333" si="2369">AQ333*100+6</f>
        <v>3706</v>
      </c>
      <c r="AP333">
        <v>329</v>
      </c>
      <c r="AQ333">
        <f t="shared" si="2303"/>
        <v>37</v>
      </c>
      <c r="AR333" s="17">
        <v>8</v>
      </c>
      <c r="AS333" s="17">
        <f t="shared" si="1918"/>
        <v>245</v>
      </c>
      <c r="AT333" s="17">
        <v>7</v>
      </c>
      <c r="AU333">
        <f t="shared" si="2304"/>
        <v>26</v>
      </c>
      <c r="AV333">
        <v>150</v>
      </c>
      <c r="AW333">
        <f t="shared" si="2305"/>
        <v>44877.127680000005</v>
      </c>
      <c r="AX333">
        <f t="shared" si="1968"/>
        <v>242352000.00000006</v>
      </c>
      <c r="AY333">
        <f t="shared" si="2306"/>
        <v>4039.2000000000003</v>
      </c>
      <c r="AZ333">
        <f t="shared" si="2307"/>
        <v>8078.4000000000005</v>
      </c>
      <c r="BA333">
        <f t="shared" si="2308"/>
        <v>53856.000000000007</v>
      </c>
      <c r="BB333">
        <f t="shared" si="2309"/>
        <v>2019.6000000000001</v>
      </c>
      <c r="BC333">
        <f t="shared" si="1969"/>
        <v>242352000.00000006</v>
      </c>
      <c r="BD333">
        <f t="shared" si="2310"/>
        <v>0.29411764705882354</v>
      </c>
      <c r="BE333" s="27">
        <f t="shared" si="1970"/>
        <v>174735113.4144001</v>
      </c>
      <c r="BF333" s="30">
        <f t="shared" si="2311"/>
        <v>0.38879999999999998</v>
      </c>
      <c r="BG333" s="27"/>
      <c r="BH333" s="27"/>
      <c r="BI333" s="27"/>
      <c r="CA333" s="20">
        <f t="shared" si="2312"/>
        <v>280</v>
      </c>
      <c r="CB333" s="20">
        <f t="shared" si="2313"/>
        <v>28000</v>
      </c>
    </row>
    <row r="334" spans="1:80" x14ac:dyDescent="0.15">
      <c r="A334">
        <v>3707</v>
      </c>
      <c r="B334" s="3" t="s">
        <v>126</v>
      </c>
      <c r="C334" s="4" t="s">
        <v>109</v>
      </c>
      <c r="D334" s="4" t="s">
        <v>110</v>
      </c>
      <c r="E334" s="5">
        <v>2</v>
      </c>
      <c r="F334" s="7" t="s">
        <v>143</v>
      </c>
      <c r="G334" s="5">
        <v>3</v>
      </c>
      <c r="H334" s="7" t="s">
        <v>193</v>
      </c>
      <c r="I334" s="5">
        <v>0</v>
      </c>
      <c r="J334" s="5">
        <v>0</v>
      </c>
      <c r="K334">
        <v>2</v>
      </c>
      <c r="L334">
        <v>1.5</v>
      </c>
      <c r="M334" s="5">
        <v>1.5</v>
      </c>
      <c r="N334" s="5">
        <v>10</v>
      </c>
      <c r="O334" s="5">
        <f t="shared" si="2293"/>
        <v>45757</v>
      </c>
      <c r="P334" s="5">
        <f t="shared" si="2294"/>
        <v>247104000</v>
      </c>
      <c r="Q334" s="5">
        <f t="shared" si="2295"/>
        <v>4118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70071</v>
      </c>
      <c r="X334" s="6" t="s">
        <v>185</v>
      </c>
      <c r="Y334" s="5">
        <v>300</v>
      </c>
      <c r="Z334" s="5">
        <v>1</v>
      </c>
      <c r="AA334" s="5">
        <v>43874329</v>
      </c>
      <c r="AB334" s="16" t="s">
        <v>111</v>
      </c>
      <c r="AC334" s="7" t="s">
        <v>112</v>
      </c>
      <c r="AD334" s="7" t="s">
        <v>112</v>
      </c>
      <c r="AE334" s="7" t="s">
        <v>112</v>
      </c>
      <c r="AF334" s="6" t="s">
        <v>113</v>
      </c>
      <c r="AG334" s="26" t="str">
        <f t="shared" ref="AG334" si="2370">CM$10</f>
        <v>4,14,28,14,6,4,14,28,14,6</v>
      </c>
      <c r="AH334" s="26" t="str">
        <f t="shared" ref="AH334" si="2371">CN$10</f>
        <v>0,0,0,0,1,0,0,0,0,1</v>
      </c>
      <c r="AI334" s="26" t="str">
        <f t="shared" ref="AI334" si="2372">CO$10</f>
        <v>0,0,0,0,1,0,0,0,0,1</v>
      </c>
      <c r="AJ334" s="26" t="str">
        <f t="shared" ref="AJ334" si="2373">CP$10</f>
        <v>0,0,0,0,5,0,0,0,0,5</v>
      </c>
      <c r="AK334" s="26" t="str">
        <f t="shared" ref="AK334" si="2374">CQ$10</f>
        <v>200,1,1000,2,5,200,1,1000,2,5</v>
      </c>
      <c r="AL334" s="26" t="str">
        <f t="shared" ref="AL334" si="2375">CR$10</f>
        <v>5,5,5,5,5,5,5,5,5,5</v>
      </c>
      <c r="AM334" s="7">
        <v>2001</v>
      </c>
      <c r="AO334">
        <f t="shared" ref="AO334" si="2376">AQ334*100+7</f>
        <v>3707</v>
      </c>
      <c r="AP334">
        <v>330</v>
      </c>
      <c r="AQ334">
        <f t="shared" si="2303"/>
        <v>37</v>
      </c>
      <c r="AR334" s="17">
        <v>8</v>
      </c>
      <c r="AS334" s="17">
        <f t="shared" si="1918"/>
        <v>250</v>
      </c>
      <c r="AT334" s="17">
        <v>7</v>
      </c>
      <c r="AU334">
        <f t="shared" si="2304"/>
        <v>26</v>
      </c>
      <c r="AV334">
        <v>150</v>
      </c>
      <c r="AW334">
        <f t="shared" si="2305"/>
        <v>45757.071360000009</v>
      </c>
      <c r="AX334">
        <f t="shared" si="1968"/>
        <v>247104000.00000006</v>
      </c>
      <c r="AY334">
        <f t="shared" si="2306"/>
        <v>4118.4000000000005</v>
      </c>
      <c r="AZ334">
        <f t="shared" si="2307"/>
        <v>8236.8000000000011</v>
      </c>
      <c r="BA334">
        <f t="shared" si="2308"/>
        <v>54912.000000000007</v>
      </c>
      <c r="BB334">
        <f t="shared" si="2309"/>
        <v>2059.2000000000003</v>
      </c>
      <c r="BC334">
        <f t="shared" si="1969"/>
        <v>247104000.00000006</v>
      </c>
      <c r="BD334">
        <f t="shared" si="2310"/>
        <v>0.29411764705882354</v>
      </c>
      <c r="BE334" s="27">
        <f t="shared" si="1970"/>
        <v>181654650.77760008</v>
      </c>
      <c r="BF334" s="30">
        <f t="shared" si="2311"/>
        <v>0.38879999999999998</v>
      </c>
      <c r="BG334" s="27"/>
      <c r="BH334" s="27"/>
      <c r="BI334" s="27"/>
      <c r="CA334" s="20">
        <f t="shared" si="2312"/>
        <v>280</v>
      </c>
      <c r="CB334" s="20">
        <f t="shared" si="2313"/>
        <v>28000</v>
      </c>
    </row>
    <row r="335" spans="1:80" x14ac:dyDescent="0.15">
      <c r="A335">
        <v>3708</v>
      </c>
      <c r="B335" s="3" t="s">
        <v>128</v>
      </c>
      <c r="C335" s="4" t="s">
        <v>109</v>
      </c>
      <c r="D335" s="4" t="s">
        <v>110</v>
      </c>
      <c r="E335" s="5">
        <v>5</v>
      </c>
      <c r="F335" s="7" t="s">
        <v>129</v>
      </c>
      <c r="G335" s="5">
        <v>2</v>
      </c>
      <c r="H335" s="7" t="s">
        <v>130</v>
      </c>
      <c r="I335" s="5">
        <v>0</v>
      </c>
      <c r="J335" s="5">
        <v>0</v>
      </c>
      <c r="K335">
        <v>2</v>
      </c>
      <c r="L335">
        <v>1.5</v>
      </c>
      <c r="M335" s="5">
        <v>1.5</v>
      </c>
      <c r="N335" s="5">
        <v>10</v>
      </c>
      <c r="O335" s="5">
        <f t="shared" si="2293"/>
        <v>46637</v>
      </c>
      <c r="P335" s="5">
        <f t="shared" si="2294"/>
        <v>251856000</v>
      </c>
      <c r="Q335" s="5">
        <f t="shared" si="2295"/>
        <v>4197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70081</v>
      </c>
      <c r="X335" s="6" t="s">
        <v>186</v>
      </c>
      <c r="Y335" s="5">
        <v>300</v>
      </c>
      <c r="Z335" s="5">
        <v>1</v>
      </c>
      <c r="AA335" s="5">
        <v>45802643</v>
      </c>
      <c r="AB335" s="16" t="s">
        <v>111</v>
      </c>
      <c r="AC335" s="7" t="s">
        <v>112</v>
      </c>
      <c r="AD335" s="7" t="s">
        <v>112</v>
      </c>
      <c r="AE335" s="7" t="s">
        <v>112</v>
      </c>
      <c r="AF335" s="6" t="s">
        <v>113</v>
      </c>
      <c r="AG335" s="26" t="str">
        <f t="shared" ref="AG335" si="2377">CM$11</f>
        <v>4,28,6,28,6,4,28,6,28,6</v>
      </c>
      <c r="AH335" s="26" t="str">
        <f t="shared" ref="AH335" si="2378">CN$11</f>
        <v>0,0,1,0,1,0,0,1,0,1</v>
      </c>
      <c r="AI335" s="26" t="str">
        <f t="shared" ref="AI335" si="2379">CO$11</f>
        <v>0,0,1,0,1,0,0,1,0,1</v>
      </c>
      <c r="AJ335" s="26" t="str">
        <f t="shared" ref="AJ335" si="2380">CP$11</f>
        <v>0,0,5,0,5,0,0,5,0,5</v>
      </c>
      <c r="AK335" s="26" t="str">
        <f t="shared" ref="AK335" si="2381">CQ$11</f>
        <v>100,1000,5,1500,5,200,1000,5,1500,5</v>
      </c>
      <c r="AL335" s="26" t="str">
        <f t="shared" ref="AL335" si="2382">CR$11</f>
        <v>5,5,5,5,5,5,5,5,5,5</v>
      </c>
      <c r="AM335" s="7">
        <v>2001</v>
      </c>
      <c r="AO335">
        <f t="shared" ref="AO335" si="2383">AQ335*100+8</f>
        <v>3708</v>
      </c>
      <c r="AP335">
        <v>331</v>
      </c>
      <c r="AQ335">
        <f t="shared" si="2303"/>
        <v>37</v>
      </c>
      <c r="AR335" s="17">
        <v>8</v>
      </c>
      <c r="AS335" s="17">
        <f t="shared" ref="AS335:AS398" si="2384">AS326+5</f>
        <v>255</v>
      </c>
      <c r="AT335" s="17">
        <v>7</v>
      </c>
      <c r="AU335">
        <f t="shared" si="2304"/>
        <v>26</v>
      </c>
      <c r="AV335">
        <v>150</v>
      </c>
      <c r="AW335">
        <f t="shared" si="2305"/>
        <v>46637.015040000006</v>
      </c>
      <c r="AX335">
        <f t="shared" si="1968"/>
        <v>251856000.00000006</v>
      </c>
      <c r="AY335">
        <f t="shared" si="2306"/>
        <v>4197.6000000000004</v>
      </c>
      <c r="AZ335">
        <f t="shared" si="2307"/>
        <v>8395.2000000000007</v>
      </c>
      <c r="BA335">
        <f t="shared" si="2308"/>
        <v>55968.000000000007</v>
      </c>
      <c r="BB335">
        <f t="shared" si="2309"/>
        <v>2098.8000000000002</v>
      </c>
      <c r="BC335">
        <f t="shared" si="1969"/>
        <v>251856000.00000006</v>
      </c>
      <c r="BD335">
        <f t="shared" si="2310"/>
        <v>0.29411764705882348</v>
      </c>
      <c r="BE335" s="27">
        <f t="shared" si="1970"/>
        <v>188708548.08960006</v>
      </c>
      <c r="BF335" s="30">
        <f t="shared" si="2311"/>
        <v>0.38879999999999998</v>
      </c>
      <c r="BG335" s="27"/>
      <c r="BH335" s="27"/>
      <c r="BI335" s="27"/>
      <c r="CA335" s="20">
        <f t="shared" si="2312"/>
        <v>280</v>
      </c>
      <c r="CB335" s="20">
        <f t="shared" si="2313"/>
        <v>28000</v>
      </c>
    </row>
    <row r="336" spans="1:80" x14ac:dyDescent="0.15">
      <c r="A336">
        <v>3709</v>
      </c>
      <c r="B336" s="3" t="s">
        <v>132</v>
      </c>
      <c r="C336" s="4" t="s">
        <v>109</v>
      </c>
      <c r="D336" s="4" t="s">
        <v>110</v>
      </c>
      <c r="E336" s="5">
        <v>5</v>
      </c>
      <c r="F336" s="7" t="s">
        <v>140</v>
      </c>
      <c r="G336" s="5">
        <v>3</v>
      </c>
      <c r="H336" s="7" t="s">
        <v>140</v>
      </c>
      <c r="I336" s="5">
        <v>0</v>
      </c>
      <c r="J336" s="7">
        <v>0</v>
      </c>
      <c r="K336">
        <v>6</v>
      </c>
      <c r="L336">
        <v>1.5</v>
      </c>
      <c r="M336" s="5">
        <v>1.5</v>
      </c>
      <c r="N336" s="5">
        <v>10</v>
      </c>
      <c r="O336" s="5">
        <f t="shared" si="2293"/>
        <v>47516</v>
      </c>
      <c r="P336" s="5">
        <f t="shared" si="2294"/>
        <v>256608000</v>
      </c>
      <c r="Q336" s="5">
        <f t="shared" si="2295"/>
        <v>4276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70091</v>
      </c>
      <c r="X336" s="6" t="s">
        <v>187</v>
      </c>
      <c r="Y336" s="5">
        <v>300</v>
      </c>
      <c r="Z336" s="5">
        <v>1</v>
      </c>
      <c r="AA336" s="5">
        <v>47772426</v>
      </c>
      <c r="AB336" s="16" t="s">
        <v>111</v>
      </c>
      <c r="AC336" s="7" t="s">
        <v>112</v>
      </c>
      <c r="AD336" s="7" t="s">
        <v>112</v>
      </c>
      <c r="AE336" s="7" t="s">
        <v>112</v>
      </c>
      <c r="AF336" s="6" t="s">
        <v>113</v>
      </c>
      <c r="AG336" s="26" t="str">
        <f t="shared" ref="AG336" si="2385">CM$12</f>
        <v>4,33,28,33,6,4,33,28,33,6</v>
      </c>
      <c r="AH336" s="26" t="str">
        <f t="shared" ref="AH336" si="2386">CN$12</f>
        <v>0,5,0,5,1,0,5,0,5,1</v>
      </c>
      <c r="AI336" s="26" t="str">
        <f t="shared" ref="AI336" si="2387">CO$12</f>
        <v>0,0,0,0,1,0,0,0,0,1</v>
      </c>
      <c r="AJ336" s="26" t="str">
        <f t="shared" ref="AJ336" si="2388">CP$12</f>
        <v>0,0,0,0,5,0,0,0,0,5</v>
      </c>
      <c r="AK336" s="26" t="str">
        <f t="shared" ref="AK336" si="2389">CQ$12</f>
        <v>100,1,1000,2,5,200,1,1000,2,5</v>
      </c>
      <c r="AL336" s="26" t="str">
        <f t="shared" ref="AL336" si="2390">CR$12</f>
        <v>5,5,5,5,5,5,5,5,5,5</v>
      </c>
      <c r="AM336" s="7">
        <v>2001</v>
      </c>
      <c r="AO336">
        <f t="shared" ref="AO336" si="2391">AQ336*100+9</f>
        <v>3709</v>
      </c>
      <c r="AP336">
        <v>332</v>
      </c>
      <c r="AQ336">
        <f t="shared" si="2303"/>
        <v>37</v>
      </c>
      <c r="AR336" s="17">
        <v>8</v>
      </c>
      <c r="AS336" s="17">
        <f t="shared" si="2384"/>
        <v>260</v>
      </c>
      <c r="AT336" s="17">
        <v>7</v>
      </c>
      <c r="AU336">
        <f t="shared" si="2304"/>
        <v>26</v>
      </c>
      <c r="AV336">
        <v>150</v>
      </c>
      <c r="AW336">
        <f t="shared" si="2305"/>
        <v>47516.958720000002</v>
      </c>
      <c r="AX336">
        <f t="shared" si="1968"/>
        <v>256608000</v>
      </c>
      <c r="AY336">
        <f t="shared" si="2306"/>
        <v>4276.8</v>
      </c>
      <c r="AZ336">
        <f t="shared" si="2307"/>
        <v>8553.6</v>
      </c>
      <c r="BA336">
        <f t="shared" si="2308"/>
        <v>57024.000000000007</v>
      </c>
      <c r="BB336">
        <f t="shared" si="2309"/>
        <v>2138.4</v>
      </c>
      <c r="BC336">
        <f t="shared" si="1969"/>
        <v>256608000</v>
      </c>
      <c r="BD336">
        <f t="shared" si="2310"/>
        <v>0.29411764705882348</v>
      </c>
      <c r="BE336" s="27">
        <f t="shared" si="1970"/>
        <v>195896805.3504</v>
      </c>
      <c r="BF336" s="30">
        <f t="shared" si="2311"/>
        <v>0.38879999999999998</v>
      </c>
      <c r="BG336" s="27"/>
      <c r="BH336" s="27"/>
      <c r="BI336" s="27"/>
      <c r="CA336" s="20">
        <f t="shared" si="2312"/>
        <v>280</v>
      </c>
      <c r="CB336" s="20">
        <f t="shared" si="2313"/>
        <v>28000</v>
      </c>
    </row>
    <row r="337" spans="1:80" x14ac:dyDescent="0.15">
      <c r="A337">
        <v>3801</v>
      </c>
      <c r="B337" s="3" t="s">
        <v>108</v>
      </c>
      <c r="C337" s="4" t="s">
        <v>109</v>
      </c>
      <c r="D337" s="4" t="s">
        <v>110</v>
      </c>
      <c r="E337" s="5">
        <v>3</v>
      </c>
      <c r="F337" s="7" t="s">
        <v>141</v>
      </c>
      <c r="G337" s="5">
        <v>2.5</v>
      </c>
      <c r="H337" s="7" t="s">
        <v>194</v>
      </c>
      <c r="I337" s="5">
        <v>0</v>
      </c>
      <c r="J337" s="5">
        <v>0</v>
      </c>
      <c r="K337">
        <v>2</v>
      </c>
      <c r="L337">
        <v>1.5</v>
      </c>
      <c r="M337" s="5">
        <v>1.5</v>
      </c>
      <c r="N337" s="5">
        <v>10</v>
      </c>
      <c r="O337" s="5">
        <f t="shared" si="2293"/>
        <v>41428</v>
      </c>
      <c r="P337" s="5">
        <f t="shared" si="2294"/>
        <v>223344000</v>
      </c>
      <c r="Q337" s="5">
        <f t="shared" si="2295"/>
        <v>3722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70011</v>
      </c>
      <c r="X337" s="6" t="s">
        <v>179</v>
      </c>
      <c r="Y337" s="5">
        <v>300</v>
      </c>
      <c r="Z337" s="5">
        <v>1</v>
      </c>
      <c r="AA337" s="5">
        <v>49783679</v>
      </c>
      <c r="AB337" s="16" t="s">
        <v>111</v>
      </c>
      <c r="AC337" s="7" t="s">
        <v>112</v>
      </c>
      <c r="AD337" s="7" t="s">
        <v>112</v>
      </c>
      <c r="AE337" s="7" t="s">
        <v>112</v>
      </c>
      <c r="AF337" s="6" t="s">
        <v>113</v>
      </c>
      <c r="AG337" s="26" t="str">
        <f t="shared" ref="AG337" si="2392">CM$4</f>
        <v>4,33,28,33,6,4,33,28,33,6</v>
      </c>
      <c r="AH337" s="26" t="str">
        <f t="shared" ref="AH337" si="2393">CN$4</f>
        <v>0,8,0,8,1,0,8,0,8,1</v>
      </c>
      <c r="AI337" s="26" t="str">
        <f t="shared" ref="AI337" si="2394">CO$4</f>
        <v>0,0,0,0,1,0,0,0,0,1</v>
      </c>
      <c r="AJ337" s="26" t="str">
        <f t="shared" ref="AJ337" si="2395">CP$4</f>
        <v>0,0,0,0,5,0,0,0,0,5</v>
      </c>
      <c r="AK337" s="26" t="str">
        <f t="shared" ref="AK337" si="2396">CQ$4</f>
        <v>100,1,1000,2,5,200,1,1000,2,5</v>
      </c>
      <c r="AL337" s="26" t="str">
        <f t="shared" ref="AL337" si="2397">CR$4</f>
        <v>5,5,5,5,5,5,5,5,5,5</v>
      </c>
      <c r="AM337" s="7">
        <v>2001</v>
      </c>
      <c r="AO337">
        <f t="shared" ref="AO337" si="2398">AQ337*100+1</f>
        <v>3801</v>
      </c>
      <c r="AP337">
        <v>333</v>
      </c>
      <c r="AQ337">
        <f t="shared" si="2303"/>
        <v>38</v>
      </c>
      <c r="AR337" s="17">
        <v>8</v>
      </c>
      <c r="AS337" s="17">
        <f t="shared" si="2384"/>
        <v>225</v>
      </c>
      <c r="AT337" s="17">
        <v>7</v>
      </c>
      <c r="AU337">
        <f t="shared" si="2304"/>
        <v>26</v>
      </c>
      <c r="AV337">
        <v>150</v>
      </c>
      <c r="AW337">
        <f t="shared" si="2305"/>
        <v>41428.823040000003</v>
      </c>
      <c r="AX337">
        <f t="shared" si="1968"/>
        <v>223344000</v>
      </c>
      <c r="AY337">
        <f t="shared" si="2306"/>
        <v>3722.4</v>
      </c>
      <c r="AZ337">
        <f t="shared" si="2307"/>
        <v>7444.8</v>
      </c>
      <c r="BA337">
        <f t="shared" si="2308"/>
        <v>49632.000000000007</v>
      </c>
      <c r="BB337">
        <f t="shared" si="2309"/>
        <v>1861.2</v>
      </c>
      <c r="BC337">
        <f t="shared" si="1969"/>
        <v>223344000</v>
      </c>
      <c r="BD337">
        <f t="shared" si="2310"/>
        <v>0.29411764705882348</v>
      </c>
      <c r="BE337" s="27">
        <f t="shared" si="1970"/>
        <v>148400563.44960001</v>
      </c>
      <c r="BF337" s="30">
        <f t="shared" si="2311"/>
        <v>0.39119999999999999</v>
      </c>
      <c r="BG337" s="27"/>
      <c r="BH337" s="27"/>
      <c r="BI337" s="27"/>
      <c r="CA337" s="20">
        <f t="shared" si="2312"/>
        <v>285</v>
      </c>
      <c r="CB337" s="20">
        <f t="shared" si="2313"/>
        <v>28500</v>
      </c>
    </row>
    <row r="338" spans="1:80" x14ac:dyDescent="0.15">
      <c r="A338">
        <v>3802</v>
      </c>
      <c r="B338" s="3" t="s">
        <v>115</v>
      </c>
      <c r="C338" s="4" t="s">
        <v>109</v>
      </c>
      <c r="D338" s="6" t="s">
        <v>110</v>
      </c>
      <c r="E338" s="5">
        <v>3</v>
      </c>
      <c r="F338" s="7" t="s">
        <v>142</v>
      </c>
      <c r="G338" s="5">
        <v>3</v>
      </c>
      <c r="H338" s="7" t="s">
        <v>188</v>
      </c>
      <c r="I338" s="5">
        <v>0</v>
      </c>
      <c r="J338" s="5">
        <v>0</v>
      </c>
      <c r="K338">
        <v>2</v>
      </c>
      <c r="L338">
        <v>1.5</v>
      </c>
      <c r="M338" s="5">
        <v>1.5</v>
      </c>
      <c r="N338" s="5">
        <v>10</v>
      </c>
      <c r="O338" s="5">
        <f t="shared" si="2293"/>
        <v>42310</v>
      </c>
      <c r="P338" s="5">
        <f t="shared" si="2294"/>
        <v>228096000</v>
      </c>
      <c r="Q338" s="5">
        <f t="shared" si="2295"/>
        <v>3801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70021</v>
      </c>
      <c r="X338" s="6" t="s">
        <v>180</v>
      </c>
      <c r="Y338" s="5">
        <v>300</v>
      </c>
      <c r="Z338" s="5">
        <v>1</v>
      </c>
      <c r="AA338" s="5">
        <v>36575764</v>
      </c>
      <c r="AB338" s="16" t="s">
        <v>111</v>
      </c>
      <c r="AC338" s="7" t="s">
        <v>112</v>
      </c>
      <c r="AD338" s="7" t="s">
        <v>112</v>
      </c>
      <c r="AE338" s="7" t="s">
        <v>112</v>
      </c>
      <c r="AF338" s="6" t="s">
        <v>113</v>
      </c>
      <c r="AG338" s="26" t="str">
        <f t="shared" ref="AG338" si="2399">CM$5</f>
        <v>4,33,28,33,6,4,33,28,33,6</v>
      </c>
      <c r="AH338" s="26" t="str">
        <f t="shared" ref="AH338" si="2400">CN$5</f>
        <v>0,7,0,7,1,0,7,0,7,1</v>
      </c>
      <c r="AI338" s="26" t="str">
        <f t="shared" ref="AI338" si="2401">CO$5</f>
        <v>0,0,0,0,1,0,0,0,0,1</v>
      </c>
      <c r="AJ338" s="26" t="str">
        <f t="shared" ref="AJ338" si="2402">CP$5</f>
        <v>0,0,0,0,5,0,0,0,0,5</v>
      </c>
      <c r="AK338" s="26" t="str">
        <f t="shared" ref="AK338" si="2403">CQ$5</f>
        <v>100,1,1000,2,5,200,1,1000,2,5</v>
      </c>
      <c r="AL338" s="26" t="str">
        <f t="shared" ref="AL338" si="2404">CR$5</f>
        <v>5,5,5,5,5,5,5,5,5,5</v>
      </c>
      <c r="AM338" s="7">
        <v>2001</v>
      </c>
      <c r="AO338">
        <f t="shared" ref="AO338" si="2405">AQ338*100+2</f>
        <v>3802</v>
      </c>
      <c r="AP338">
        <v>334</v>
      </c>
      <c r="AQ338">
        <f t="shared" si="2303"/>
        <v>38</v>
      </c>
      <c r="AR338" s="17">
        <v>8</v>
      </c>
      <c r="AS338" s="17">
        <f t="shared" si="2384"/>
        <v>230</v>
      </c>
      <c r="AT338" s="17">
        <v>7</v>
      </c>
      <c r="AU338">
        <f t="shared" si="2304"/>
        <v>26</v>
      </c>
      <c r="AV338">
        <v>150</v>
      </c>
      <c r="AW338">
        <f t="shared" si="2305"/>
        <v>42310.287360000002</v>
      </c>
      <c r="AX338">
        <f t="shared" si="1968"/>
        <v>228096000</v>
      </c>
      <c r="AY338">
        <f t="shared" si="2306"/>
        <v>3801.6</v>
      </c>
      <c r="AZ338">
        <f t="shared" si="2307"/>
        <v>7603.2</v>
      </c>
      <c r="BA338">
        <f t="shared" si="2308"/>
        <v>50688.000000000007</v>
      </c>
      <c r="BB338">
        <f t="shared" si="2309"/>
        <v>1900.8</v>
      </c>
      <c r="BC338">
        <f t="shared" si="1969"/>
        <v>228096000</v>
      </c>
      <c r="BD338">
        <f t="shared" si="2310"/>
        <v>0.29411764705882354</v>
      </c>
      <c r="BE338" s="27">
        <f t="shared" si="1970"/>
        <v>154782661.01760003</v>
      </c>
      <c r="BF338" s="30">
        <f t="shared" si="2311"/>
        <v>0.39119999999999999</v>
      </c>
      <c r="BG338" s="27"/>
      <c r="BH338" s="27"/>
      <c r="BI338" s="27"/>
      <c r="CA338" s="20">
        <f t="shared" si="2312"/>
        <v>285</v>
      </c>
      <c r="CB338" s="20">
        <f t="shared" si="2313"/>
        <v>28500</v>
      </c>
    </row>
    <row r="339" spans="1:80" x14ac:dyDescent="0.15">
      <c r="A339">
        <v>3803</v>
      </c>
      <c r="B339" s="3" t="s">
        <v>117</v>
      </c>
      <c r="C339" s="4" t="s">
        <v>109</v>
      </c>
      <c r="D339" s="4" t="s">
        <v>110</v>
      </c>
      <c r="E339" s="5">
        <v>1</v>
      </c>
      <c r="F339" s="7" t="s">
        <v>144</v>
      </c>
      <c r="G339" s="5">
        <v>3</v>
      </c>
      <c r="H339" s="7" t="s">
        <v>189</v>
      </c>
      <c r="I339" s="5">
        <v>0</v>
      </c>
      <c r="J339" s="2">
        <v>0</v>
      </c>
      <c r="K339">
        <v>6</v>
      </c>
      <c r="L339">
        <v>1.5</v>
      </c>
      <c r="M339" s="5">
        <v>1.5</v>
      </c>
      <c r="N339" s="5">
        <v>10</v>
      </c>
      <c r="O339" s="5">
        <f t="shared" si="2293"/>
        <v>43191</v>
      </c>
      <c r="P339" s="5">
        <f t="shared" si="2294"/>
        <v>232848000</v>
      </c>
      <c r="Q339" s="5">
        <f t="shared" si="2295"/>
        <v>3880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70031</v>
      </c>
      <c r="X339" s="6" t="s">
        <v>181</v>
      </c>
      <c r="Y339" s="5">
        <v>300</v>
      </c>
      <c r="Z339" s="5">
        <v>1</v>
      </c>
      <c r="AA339" s="5">
        <v>38338201</v>
      </c>
      <c r="AB339" s="16" t="s">
        <v>111</v>
      </c>
      <c r="AC339" s="7" t="s">
        <v>112</v>
      </c>
      <c r="AD339" s="7" t="s">
        <v>112</v>
      </c>
      <c r="AE339" s="7" t="s">
        <v>112</v>
      </c>
      <c r="AF339" s="6" t="s">
        <v>113</v>
      </c>
      <c r="AG339" s="26" t="str">
        <f t="shared" ref="AG339" si="2406">CM$6</f>
        <v>4,28,6,28,6,4,28,6,28,6</v>
      </c>
      <c r="AH339" s="26" t="str">
        <f t="shared" ref="AH339" si="2407">CN$6</f>
        <v>0,0,1,0,1,0,0,1,0,1</v>
      </c>
      <c r="AI339" s="26" t="str">
        <f t="shared" ref="AI339" si="2408">CO$6</f>
        <v>0,0,0,0,1,0,0,0,0,1</v>
      </c>
      <c r="AJ339" s="26" t="str">
        <f t="shared" ref="AJ339" si="2409">CP$6</f>
        <v>0,0,5,0,5,0,0,5,0,5</v>
      </c>
      <c r="AK339" s="26" t="str">
        <f t="shared" ref="AK339" si="2410">CQ$6</f>
        <v>100,1000,5,1500,5,200,1000,5,1500,5</v>
      </c>
      <c r="AL339" s="26" t="str">
        <f t="shared" ref="AL339" si="2411">CR$6</f>
        <v>5,5,5,5,5,5,5,5,5,5</v>
      </c>
      <c r="AM339" s="7">
        <v>2001</v>
      </c>
      <c r="AO339">
        <f t="shared" ref="AO339" si="2412">AQ339*100+3</f>
        <v>3803</v>
      </c>
      <c r="AP339">
        <v>335</v>
      </c>
      <c r="AQ339">
        <f t="shared" si="2303"/>
        <v>38</v>
      </c>
      <c r="AR339" s="17">
        <v>8</v>
      </c>
      <c r="AS339" s="17">
        <f t="shared" si="2384"/>
        <v>235</v>
      </c>
      <c r="AT339" s="17">
        <v>7</v>
      </c>
      <c r="AU339">
        <f t="shared" si="2304"/>
        <v>26</v>
      </c>
      <c r="AV339">
        <v>150</v>
      </c>
      <c r="AW339">
        <f t="shared" si="2305"/>
        <v>43191.751680000001</v>
      </c>
      <c r="AX339">
        <f t="shared" si="1968"/>
        <v>232848000</v>
      </c>
      <c r="AY339">
        <f t="shared" si="2306"/>
        <v>3880.8</v>
      </c>
      <c r="AZ339">
        <f t="shared" si="2307"/>
        <v>7761.6</v>
      </c>
      <c r="BA339">
        <f t="shared" si="2308"/>
        <v>51744.000000000007</v>
      </c>
      <c r="BB339">
        <f t="shared" si="2309"/>
        <v>1940.4</v>
      </c>
      <c r="BC339">
        <f t="shared" si="1969"/>
        <v>232848000</v>
      </c>
      <c r="BD339">
        <f t="shared" si="2310"/>
        <v>0.29411764705882348</v>
      </c>
      <c r="BE339" s="27">
        <f t="shared" si="1970"/>
        <v>161299118.53439999</v>
      </c>
      <c r="BF339" s="30">
        <f t="shared" si="2311"/>
        <v>0.39119999999999999</v>
      </c>
      <c r="BG339" s="27"/>
      <c r="BH339" s="27"/>
      <c r="BI339" s="27"/>
      <c r="CA339" s="20">
        <f t="shared" si="2312"/>
        <v>285</v>
      </c>
      <c r="CB339" s="20">
        <f t="shared" si="2313"/>
        <v>28500</v>
      </c>
    </row>
    <row r="340" spans="1:80" x14ac:dyDescent="0.15">
      <c r="A340">
        <v>3804</v>
      </c>
      <c r="B340" s="3" t="s">
        <v>119</v>
      </c>
      <c r="C340" s="4" t="s">
        <v>109</v>
      </c>
      <c r="D340" s="6" t="s">
        <v>120</v>
      </c>
      <c r="E340" s="5">
        <v>3</v>
      </c>
      <c r="F340" s="7" t="s">
        <v>145</v>
      </c>
      <c r="G340" s="5">
        <v>3</v>
      </c>
      <c r="H340" s="7" t="s">
        <v>190</v>
      </c>
      <c r="I340" s="5">
        <v>0</v>
      </c>
      <c r="J340" s="5">
        <v>0</v>
      </c>
      <c r="K340">
        <v>2</v>
      </c>
      <c r="L340">
        <v>1.5</v>
      </c>
      <c r="M340" s="5">
        <v>1.5</v>
      </c>
      <c r="N340" s="5">
        <v>10</v>
      </c>
      <c r="O340" s="5">
        <f t="shared" si="2293"/>
        <v>44073</v>
      </c>
      <c r="P340" s="5">
        <f t="shared" si="2294"/>
        <v>237600000</v>
      </c>
      <c r="Q340" s="5">
        <f t="shared" si="2295"/>
        <v>3960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70041</v>
      </c>
      <c r="X340" s="6" t="s">
        <v>182</v>
      </c>
      <c r="Y340" s="5">
        <v>300</v>
      </c>
      <c r="Z340" s="5">
        <v>1</v>
      </c>
      <c r="AA340" s="5">
        <v>40142108</v>
      </c>
      <c r="AB340" s="16" t="s">
        <v>111</v>
      </c>
      <c r="AC340" s="7" t="s">
        <v>112</v>
      </c>
      <c r="AD340" s="7" t="s">
        <v>112</v>
      </c>
      <c r="AE340" s="7" t="s">
        <v>112</v>
      </c>
      <c r="AF340" s="6" t="s">
        <v>113</v>
      </c>
      <c r="AG340" s="26" t="str">
        <f t="shared" ref="AG340" si="2413">CM$7</f>
        <v>4,14,28,14,6,4,14,28,14,6</v>
      </c>
      <c r="AH340" s="26" t="str">
        <f t="shared" ref="AH340" si="2414">CN$7</f>
        <v>0,0,0,0,1,0,0,0,0,1</v>
      </c>
      <c r="AI340" s="26" t="str">
        <f t="shared" ref="AI340" si="2415">CO$7</f>
        <v>0,0,0,0,1,0,0,0,0,1</v>
      </c>
      <c r="AJ340" s="26" t="str">
        <f t="shared" ref="AJ340" si="2416">CP$7</f>
        <v>0,0,0,0,5,0,0,0,0,5</v>
      </c>
      <c r="AK340" s="26" t="str">
        <f t="shared" ref="AK340" si="2417">CQ$7</f>
        <v>100,1,1000,2,5,200,1,1000,2,5</v>
      </c>
      <c r="AL340" s="26" t="str">
        <f t="shared" ref="AL340" si="2418">CR$7</f>
        <v>5,5,5,5,5,5,5,5,5,5</v>
      </c>
      <c r="AM340" s="7">
        <v>2001</v>
      </c>
      <c r="AO340">
        <f t="shared" ref="AO340" si="2419">AQ340*100+4</f>
        <v>3804</v>
      </c>
      <c r="AP340">
        <v>336</v>
      </c>
      <c r="AQ340">
        <f t="shared" si="2303"/>
        <v>38</v>
      </c>
      <c r="AR340" s="17">
        <v>8</v>
      </c>
      <c r="AS340" s="17">
        <f t="shared" si="2384"/>
        <v>240</v>
      </c>
      <c r="AT340" s="17">
        <v>7</v>
      </c>
      <c r="AU340">
        <f t="shared" si="2304"/>
        <v>26</v>
      </c>
      <c r="AV340">
        <v>150</v>
      </c>
      <c r="AW340">
        <f t="shared" si="2305"/>
        <v>44073.216000000008</v>
      </c>
      <c r="AX340">
        <f t="shared" si="1968"/>
        <v>237600000</v>
      </c>
      <c r="AY340">
        <f t="shared" si="2306"/>
        <v>3960</v>
      </c>
      <c r="AZ340">
        <f t="shared" si="2307"/>
        <v>7920</v>
      </c>
      <c r="BA340">
        <f t="shared" si="2308"/>
        <v>52800.000000000007</v>
      </c>
      <c r="BB340">
        <f t="shared" si="2309"/>
        <v>1980</v>
      </c>
      <c r="BC340">
        <f t="shared" si="1969"/>
        <v>237600000</v>
      </c>
      <c r="BD340">
        <f t="shared" si="2310"/>
        <v>0.29411764705882354</v>
      </c>
      <c r="BE340" s="27">
        <f t="shared" si="1970"/>
        <v>167949936</v>
      </c>
      <c r="BF340" s="30">
        <f t="shared" si="2311"/>
        <v>0.39119999999999999</v>
      </c>
      <c r="BG340" s="27"/>
      <c r="BH340" s="27"/>
      <c r="BI340" s="27"/>
      <c r="CA340" s="20">
        <f t="shared" si="2312"/>
        <v>285</v>
      </c>
      <c r="CB340" s="20">
        <f t="shared" si="2313"/>
        <v>28500</v>
      </c>
    </row>
    <row r="341" spans="1:80" x14ac:dyDescent="0.15">
      <c r="A341">
        <v>3805</v>
      </c>
      <c r="B341" s="3" t="s">
        <v>122</v>
      </c>
      <c r="C341" s="4" t="s">
        <v>109</v>
      </c>
      <c r="D341" s="4" t="s">
        <v>110</v>
      </c>
      <c r="E341" s="5">
        <v>2</v>
      </c>
      <c r="F341" s="7" t="s">
        <v>146</v>
      </c>
      <c r="G341" s="5">
        <v>3</v>
      </c>
      <c r="H341" s="7" t="s">
        <v>191</v>
      </c>
      <c r="I341" s="5">
        <v>0</v>
      </c>
      <c r="J341" s="7" t="s">
        <v>148</v>
      </c>
      <c r="K341">
        <v>6</v>
      </c>
      <c r="L341">
        <v>1.5</v>
      </c>
      <c r="M341" s="5">
        <v>1.5</v>
      </c>
      <c r="N341" s="5">
        <v>10</v>
      </c>
      <c r="O341" s="5">
        <f t="shared" si="2293"/>
        <v>44954</v>
      </c>
      <c r="P341" s="5">
        <f t="shared" si="2294"/>
        <v>242352000</v>
      </c>
      <c r="Q341" s="5">
        <f t="shared" si="2295"/>
        <v>4039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70051</v>
      </c>
      <c r="X341" s="6" t="s">
        <v>183</v>
      </c>
      <c r="Y341" s="5">
        <v>300</v>
      </c>
      <c r="Z341" s="5">
        <v>1</v>
      </c>
      <c r="AA341" s="5">
        <v>41987484</v>
      </c>
      <c r="AB341" s="16" t="s">
        <v>111</v>
      </c>
      <c r="AC341" s="7" t="s">
        <v>112</v>
      </c>
      <c r="AD341" s="7" t="s">
        <v>112</v>
      </c>
      <c r="AE341" s="7" t="s">
        <v>112</v>
      </c>
      <c r="AF341" s="6" t="s">
        <v>113</v>
      </c>
      <c r="AG341" s="26" t="str">
        <f t="shared" ref="AG341" si="2420">CM$8</f>
        <v>4,19,28,19,6,4,19,28,19,6</v>
      </c>
      <c r="AH341" s="26" t="str">
        <f t="shared" ref="AH341" si="2421">CN$8</f>
        <v>0,0,0,0,1,0,0,0,0,1</v>
      </c>
      <c r="AI341" s="26" t="str">
        <f t="shared" ref="AI341" si="2422">CO$8</f>
        <v>0,0,0,0,1,0,0,0,0,1</v>
      </c>
      <c r="AJ341" s="26" t="str">
        <f t="shared" ref="AJ341" si="2423">CP$8</f>
        <v>0,0,0,0,5,0,0,0,0,5</v>
      </c>
      <c r="AK341" s="26" t="str">
        <f t="shared" ref="AK341" si="2424">CQ$8</f>
        <v>200,100,1000,200,5,200,100,1000,200,5</v>
      </c>
      <c r="AL341" s="26" t="str">
        <f t="shared" ref="AL341" si="2425">CR$8</f>
        <v>5,5,5,5,5,5,5,5,5,5</v>
      </c>
      <c r="AM341" s="7">
        <v>2001</v>
      </c>
      <c r="AO341">
        <f t="shared" ref="AO341" si="2426">AQ341*100+5</f>
        <v>3805</v>
      </c>
      <c r="AP341">
        <v>337</v>
      </c>
      <c r="AQ341">
        <f t="shared" si="2303"/>
        <v>38</v>
      </c>
      <c r="AR341" s="17">
        <v>8</v>
      </c>
      <c r="AS341" s="17">
        <f t="shared" si="2384"/>
        <v>245</v>
      </c>
      <c r="AT341" s="17">
        <v>7</v>
      </c>
      <c r="AU341">
        <f t="shared" si="2304"/>
        <v>26</v>
      </c>
      <c r="AV341">
        <v>150</v>
      </c>
      <c r="AW341">
        <f t="shared" si="2305"/>
        <v>44954.680319999999</v>
      </c>
      <c r="AX341">
        <f t="shared" si="1968"/>
        <v>242352000.00000006</v>
      </c>
      <c r="AY341">
        <f t="shared" si="2306"/>
        <v>4039.2000000000003</v>
      </c>
      <c r="AZ341">
        <f t="shared" si="2307"/>
        <v>8078.4000000000005</v>
      </c>
      <c r="BA341">
        <f t="shared" si="2308"/>
        <v>53856.000000000007</v>
      </c>
      <c r="BB341">
        <f t="shared" si="2309"/>
        <v>2019.6000000000001</v>
      </c>
      <c r="BC341">
        <f t="shared" si="1969"/>
        <v>242352000.00000006</v>
      </c>
      <c r="BD341">
        <f t="shared" si="2310"/>
        <v>0.29411764705882354</v>
      </c>
      <c r="BE341" s="27">
        <f t="shared" si="1970"/>
        <v>174735113.4144001</v>
      </c>
      <c r="BF341" s="30">
        <f t="shared" si="2311"/>
        <v>0.39119999999999999</v>
      </c>
      <c r="BG341" s="27"/>
      <c r="BH341" s="27"/>
      <c r="BI341" s="27"/>
      <c r="CA341" s="20">
        <f t="shared" si="2312"/>
        <v>285</v>
      </c>
      <c r="CB341" s="20">
        <f t="shared" si="2313"/>
        <v>28500</v>
      </c>
    </row>
    <row r="342" spans="1:80" x14ac:dyDescent="0.15">
      <c r="A342">
        <v>3806</v>
      </c>
      <c r="B342" s="3" t="s">
        <v>124</v>
      </c>
      <c r="C342" s="4" t="s">
        <v>109</v>
      </c>
      <c r="D342" s="6" t="s">
        <v>120</v>
      </c>
      <c r="E342" s="5">
        <v>1</v>
      </c>
      <c r="F342" s="7" t="s">
        <v>147</v>
      </c>
      <c r="G342" s="5">
        <v>3</v>
      </c>
      <c r="H342" s="7" t="s">
        <v>192</v>
      </c>
      <c r="I342" s="5">
        <v>0</v>
      </c>
      <c r="J342" s="7" t="s">
        <v>149</v>
      </c>
      <c r="K342">
        <v>6</v>
      </c>
      <c r="L342">
        <v>1.5</v>
      </c>
      <c r="M342" s="5">
        <v>1.5</v>
      </c>
      <c r="N342" s="5">
        <v>10</v>
      </c>
      <c r="O342" s="5">
        <f t="shared" si="2293"/>
        <v>45836</v>
      </c>
      <c r="P342" s="5">
        <f t="shared" si="2294"/>
        <v>247104000</v>
      </c>
      <c r="Q342" s="5">
        <f t="shared" si="2295"/>
        <v>4118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70061</v>
      </c>
      <c r="X342" s="6" t="s">
        <v>184</v>
      </c>
      <c r="Y342" s="5">
        <v>300</v>
      </c>
      <c r="Z342" s="5">
        <v>1</v>
      </c>
      <c r="AA342" s="5">
        <v>43874329</v>
      </c>
      <c r="AB342" s="16" t="s">
        <v>111</v>
      </c>
      <c r="AC342" s="7" t="s">
        <v>112</v>
      </c>
      <c r="AD342" s="7" t="s">
        <v>112</v>
      </c>
      <c r="AE342" s="7" t="s">
        <v>112</v>
      </c>
      <c r="AF342" s="6" t="s">
        <v>113</v>
      </c>
      <c r="AG342" s="26" t="str">
        <f t="shared" ref="AG342" si="2427">CM$9</f>
        <v>4,33,28,33,6,4,33,28,33,6</v>
      </c>
      <c r="AH342" s="26" t="str">
        <f t="shared" ref="AH342" si="2428">CN$9</f>
        <v>0,6,0,6,1,0,6,0,6,1</v>
      </c>
      <c r="AI342" s="26" t="str">
        <f t="shared" ref="AI342" si="2429">CO$9</f>
        <v>0,0,0,0,1,0,0,0,0,1</v>
      </c>
      <c r="AJ342" s="26" t="str">
        <f t="shared" ref="AJ342" si="2430">CP$9</f>
        <v>0,0,0,0,5,0,0,0,0,5</v>
      </c>
      <c r="AK342" s="26" t="str">
        <f t="shared" ref="AK342" si="2431">CQ$9</f>
        <v>200,1,1000,2,5,200,1,1000,2,5</v>
      </c>
      <c r="AL342" s="26" t="str">
        <f t="shared" ref="AL342" si="2432">CR$9</f>
        <v>5,5,5,5,5,5,5,5,5,5</v>
      </c>
      <c r="AM342" s="7">
        <v>2001</v>
      </c>
      <c r="AO342">
        <f t="shared" ref="AO342" si="2433">AQ342*100+6</f>
        <v>3806</v>
      </c>
      <c r="AP342">
        <v>338</v>
      </c>
      <c r="AQ342">
        <f t="shared" si="2303"/>
        <v>38</v>
      </c>
      <c r="AR342" s="17">
        <v>8</v>
      </c>
      <c r="AS342" s="17">
        <f t="shared" si="2384"/>
        <v>250</v>
      </c>
      <c r="AT342" s="17">
        <v>7</v>
      </c>
      <c r="AU342">
        <f t="shared" si="2304"/>
        <v>26</v>
      </c>
      <c r="AV342">
        <v>150</v>
      </c>
      <c r="AW342">
        <f t="shared" si="2305"/>
        <v>45836.144640000006</v>
      </c>
      <c r="AX342">
        <f t="shared" ref="AX342:AX405" si="2434">BC342</f>
        <v>247104000.00000006</v>
      </c>
      <c r="AY342">
        <f t="shared" si="2306"/>
        <v>4118.4000000000005</v>
      </c>
      <c r="AZ342">
        <f t="shared" si="2307"/>
        <v>8236.8000000000011</v>
      </c>
      <c r="BA342">
        <f t="shared" si="2308"/>
        <v>54912.000000000007</v>
      </c>
      <c r="BB342">
        <f t="shared" si="2309"/>
        <v>2059.2000000000003</v>
      </c>
      <c r="BC342">
        <f t="shared" ref="BC342:BC405" si="2435">90/1.5*AZ342*(1/(1+AZ342/(5*BB342)))*6*AV342</f>
        <v>247104000.00000006</v>
      </c>
      <c r="BD342">
        <f t="shared" si="2310"/>
        <v>0.29411764705882354</v>
      </c>
      <c r="BE342" s="27">
        <f t="shared" ref="BE342:BE405" si="2436">BC342/10000/(1-BD342)/1*AZ342/L342*(1+0.1*0.5)*0.9*1</f>
        <v>181654650.77760008</v>
      </c>
      <c r="BF342" s="30">
        <f t="shared" si="2311"/>
        <v>0.39119999999999999</v>
      </c>
      <c r="BG342" s="27"/>
      <c r="BH342" s="27"/>
      <c r="BI342" s="27"/>
      <c r="CA342" s="20">
        <f t="shared" si="2312"/>
        <v>285</v>
      </c>
      <c r="CB342" s="20">
        <f t="shared" si="2313"/>
        <v>28500</v>
      </c>
    </row>
    <row r="343" spans="1:80" x14ac:dyDescent="0.15">
      <c r="A343">
        <v>3807</v>
      </c>
      <c r="B343" s="3" t="s">
        <v>126</v>
      </c>
      <c r="C343" s="4" t="s">
        <v>109</v>
      </c>
      <c r="D343" s="4" t="s">
        <v>110</v>
      </c>
      <c r="E343" s="5">
        <v>2</v>
      </c>
      <c r="F343" s="7" t="s">
        <v>143</v>
      </c>
      <c r="G343" s="5">
        <v>3</v>
      </c>
      <c r="H343" s="7" t="s">
        <v>193</v>
      </c>
      <c r="I343" s="5">
        <v>0</v>
      </c>
      <c r="J343" s="5">
        <v>0</v>
      </c>
      <c r="K343">
        <v>2</v>
      </c>
      <c r="L343">
        <v>1.5</v>
      </c>
      <c r="M343" s="5">
        <v>1.5</v>
      </c>
      <c r="N343" s="5">
        <v>10</v>
      </c>
      <c r="O343" s="5">
        <f t="shared" si="2293"/>
        <v>46717</v>
      </c>
      <c r="P343" s="5">
        <f t="shared" si="2294"/>
        <v>251856000</v>
      </c>
      <c r="Q343" s="5">
        <f t="shared" si="2295"/>
        <v>4197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70071</v>
      </c>
      <c r="X343" s="6" t="s">
        <v>185</v>
      </c>
      <c r="Y343" s="5">
        <v>300</v>
      </c>
      <c r="Z343" s="5">
        <v>1</v>
      </c>
      <c r="AA343" s="5">
        <v>45802643</v>
      </c>
      <c r="AB343" s="16" t="s">
        <v>111</v>
      </c>
      <c r="AC343" s="7" t="s">
        <v>112</v>
      </c>
      <c r="AD343" s="7" t="s">
        <v>112</v>
      </c>
      <c r="AE343" s="7" t="s">
        <v>112</v>
      </c>
      <c r="AF343" s="6" t="s">
        <v>113</v>
      </c>
      <c r="AG343" s="26" t="str">
        <f t="shared" ref="AG343" si="2437">CM$10</f>
        <v>4,14,28,14,6,4,14,28,14,6</v>
      </c>
      <c r="AH343" s="26" t="str">
        <f t="shared" ref="AH343" si="2438">CN$10</f>
        <v>0,0,0,0,1,0,0,0,0,1</v>
      </c>
      <c r="AI343" s="26" t="str">
        <f t="shared" ref="AI343" si="2439">CO$10</f>
        <v>0,0,0,0,1,0,0,0,0,1</v>
      </c>
      <c r="AJ343" s="26" t="str">
        <f t="shared" ref="AJ343" si="2440">CP$10</f>
        <v>0,0,0,0,5,0,0,0,0,5</v>
      </c>
      <c r="AK343" s="26" t="str">
        <f t="shared" ref="AK343" si="2441">CQ$10</f>
        <v>200,1,1000,2,5,200,1,1000,2,5</v>
      </c>
      <c r="AL343" s="26" t="str">
        <f t="shared" ref="AL343" si="2442">CR$10</f>
        <v>5,5,5,5,5,5,5,5,5,5</v>
      </c>
      <c r="AM343" s="7">
        <v>2001</v>
      </c>
      <c r="AO343">
        <f t="shared" ref="AO343" si="2443">AQ343*100+7</f>
        <v>3807</v>
      </c>
      <c r="AP343">
        <v>339</v>
      </c>
      <c r="AQ343">
        <f t="shared" si="2303"/>
        <v>38</v>
      </c>
      <c r="AR343" s="17">
        <v>8</v>
      </c>
      <c r="AS343" s="17">
        <f t="shared" si="2384"/>
        <v>255</v>
      </c>
      <c r="AT343" s="17">
        <v>7</v>
      </c>
      <c r="AU343">
        <f t="shared" si="2304"/>
        <v>26</v>
      </c>
      <c r="AV343">
        <v>150</v>
      </c>
      <c r="AW343">
        <f t="shared" si="2305"/>
        <v>46717.608960000005</v>
      </c>
      <c r="AX343">
        <f t="shared" si="2434"/>
        <v>251856000.00000006</v>
      </c>
      <c r="AY343">
        <f t="shared" si="2306"/>
        <v>4197.6000000000004</v>
      </c>
      <c r="AZ343">
        <f t="shared" si="2307"/>
        <v>8395.2000000000007</v>
      </c>
      <c r="BA343">
        <f t="shared" si="2308"/>
        <v>55968.000000000007</v>
      </c>
      <c r="BB343">
        <f t="shared" si="2309"/>
        <v>2098.8000000000002</v>
      </c>
      <c r="BC343">
        <f t="shared" si="2435"/>
        <v>251856000.00000006</v>
      </c>
      <c r="BD343">
        <f t="shared" si="2310"/>
        <v>0.29411764705882348</v>
      </c>
      <c r="BE343" s="27">
        <f t="shared" si="2436"/>
        <v>188708548.08960006</v>
      </c>
      <c r="BF343" s="30">
        <f t="shared" si="2311"/>
        <v>0.39119999999999999</v>
      </c>
      <c r="BG343" s="27"/>
      <c r="BH343" s="27"/>
      <c r="BI343" s="27"/>
      <c r="CA343" s="20">
        <f t="shared" si="2312"/>
        <v>285</v>
      </c>
      <c r="CB343" s="20">
        <f t="shared" si="2313"/>
        <v>28500</v>
      </c>
    </row>
    <row r="344" spans="1:80" x14ac:dyDescent="0.15">
      <c r="A344">
        <v>3808</v>
      </c>
      <c r="B344" s="3" t="s">
        <v>128</v>
      </c>
      <c r="C344" s="4" t="s">
        <v>109</v>
      </c>
      <c r="D344" s="4" t="s">
        <v>110</v>
      </c>
      <c r="E344" s="5">
        <v>5</v>
      </c>
      <c r="F344" s="7" t="s">
        <v>129</v>
      </c>
      <c r="G344" s="5">
        <v>2</v>
      </c>
      <c r="H344" s="7" t="s">
        <v>130</v>
      </c>
      <c r="I344" s="5">
        <v>0</v>
      </c>
      <c r="J344" s="5">
        <v>0</v>
      </c>
      <c r="K344">
        <v>2</v>
      </c>
      <c r="L344">
        <v>1.5</v>
      </c>
      <c r="M344" s="5">
        <v>1.5</v>
      </c>
      <c r="N344" s="5">
        <v>10</v>
      </c>
      <c r="O344" s="5">
        <f t="shared" si="2293"/>
        <v>47599</v>
      </c>
      <c r="P344" s="5">
        <f t="shared" si="2294"/>
        <v>256608000</v>
      </c>
      <c r="Q344" s="5">
        <f t="shared" si="2295"/>
        <v>4276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70081</v>
      </c>
      <c r="X344" s="6" t="s">
        <v>186</v>
      </c>
      <c r="Y344" s="5">
        <v>300</v>
      </c>
      <c r="Z344" s="5">
        <v>1</v>
      </c>
      <c r="AA344" s="5">
        <v>47772426</v>
      </c>
      <c r="AB344" s="16" t="s">
        <v>111</v>
      </c>
      <c r="AC344" s="7" t="s">
        <v>112</v>
      </c>
      <c r="AD344" s="7" t="s">
        <v>112</v>
      </c>
      <c r="AE344" s="7" t="s">
        <v>112</v>
      </c>
      <c r="AF344" s="6" t="s">
        <v>113</v>
      </c>
      <c r="AG344" s="26" t="str">
        <f t="shared" ref="AG344" si="2444">CM$11</f>
        <v>4,28,6,28,6,4,28,6,28,6</v>
      </c>
      <c r="AH344" s="26" t="str">
        <f t="shared" ref="AH344" si="2445">CN$11</f>
        <v>0,0,1,0,1,0,0,1,0,1</v>
      </c>
      <c r="AI344" s="26" t="str">
        <f t="shared" ref="AI344" si="2446">CO$11</f>
        <v>0,0,1,0,1,0,0,1,0,1</v>
      </c>
      <c r="AJ344" s="26" t="str">
        <f t="shared" ref="AJ344" si="2447">CP$11</f>
        <v>0,0,5,0,5,0,0,5,0,5</v>
      </c>
      <c r="AK344" s="26" t="str">
        <f t="shared" ref="AK344" si="2448">CQ$11</f>
        <v>100,1000,5,1500,5,200,1000,5,1500,5</v>
      </c>
      <c r="AL344" s="26" t="str">
        <f t="shared" ref="AL344" si="2449">CR$11</f>
        <v>5,5,5,5,5,5,5,5,5,5</v>
      </c>
      <c r="AM344" s="7">
        <v>2001</v>
      </c>
      <c r="AO344">
        <f t="shared" ref="AO344" si="2450">AQ344*100+8</f>
        <v>3808</v>
      </c>
      <c r="AP344">
        <v>340</v>
      </c>
      <c r="AQ344">
        <f t="shared" si="2303"/>
        <v>38</v>
      </c>
      <c r="AR344" s="17">
        <v>8</v>
      </c>
      <c r="AS344" s="17">
        <f t="shared" si="2384"/>
        <v>260</v>
      </c>
      <c r="AT344" s="17">
        <v>7</v>
      </c>
      <c r="AU344">
        <f t="shared" si="2304"/>
        <v>26</v>
      </c>
      <c r="AV344">
        <v>150</v>
      </c>
      <c r="AW344">
        <f t="shared" si="2305"/>
        <v>47599.073280000004</v>
      </c>
      <c r="AX344">
        <f t="shared" si="2434"/>
        <v>256608000</v>
      </c>
      <c r="AY344">
        <f t="shared" si="2306"/>
        <v>4276.8</v>
      </c>
      <c r="AZ344">
        <f t="shared" si="2307"/>
        <v>8553.6</v>
      </c>
      <c r="BA344">
        <f t="shared" si="2308"/>
        <v>57024.000000000007</v>
      </c>
      <c r="BB344">
        <f t="shared" si="2309"/>
        <v>2138.4</v>
      </c>
      <c r="BC344">
        <f t="shared" si="2435"/>
        <v>256608000</v>
      </c>
      <c r="BD344">
        <f t="shared" si="2310"/>
        <v>0.29411764705882348</v>
      </c>
      <c r="BE344" s="27">
        <f t="shared" si="2436"/>
        <v>195896805.3504</v>
      </c>
      <c r="BF344" s="30">
        <f t="shared" si="2311"/>
        <v>0.39119999999999999</v>
      </c>
      <c r="BG344" s="27"/>
      <c r="BH344" s="27"/>
      <c r="BI344" s="27"/>
      <c r="CA344" s="20">
        <f t="shared" si="2312"/>
        <v>285</v>
      </c>
      <c r="CB344" s="20">
        <f t="shared" si="2313"/>
        <v>28500</v>
      </c>
    </row>
    <row r="345" spans="1:80" x14ac:dyDescent="0.15">
      <c r="A345">
        <v>3809</v>
      </c>
      <c r="B345" s="3" t="s">
        <v>132</v>
      </c>
      <c r="C345" s="4" t="s">
        <v>109</v>
      </c>
      <c r="D345" s="4" t="s">
        <v>110</v>
      </c>
      <c r="E345" s="5">
        <v>5</v>
      </c>
      <c r="F345" s="7" t="s">
        <v>140</v>
      </c>
      <c r="G345" s="5">
        <v>3</v>
      </c>
      <c r="H345" s="7" t="s">
        <v>140</v>
      </c>
      <c r="I345" s="5">
        <v>0</v>
      </c>
      <c r="J345" s="7">
        <v>0</v>
      </c>
      <c r="K345">
        <v>6</v>
      </c>
      <c r="L345">
        <v>1.5</v>
      </c>
      <c r="M345" s="5">
        <v>1.5</v>
      </c>
      <c r="N345" s="5">
        <v>10</v>
      </c>
      <c r="O345" s="5">
        <f t="shared" si="2293"/>
        <v>48480</v>
      </c>
      <c r="P345" s="5">
        <f t="shared" si="2294"/>
        <v>261360000</v>
      </c>
      <c r="Q345" s="5">
        <f t="shared" si="2295"/>
        <v>4356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70091</v>
      </c>
      <c r="X345" s="6" t="s">
        <v>187</v>
      </c>
      <c r="Y345" s="5">
        <v>300</v>
      </c>
      <c r="Z345" s="5">
        <v>1</v>
      </c>
      <c r="AA345" s="5">
        <v>49783679</v>
      </c>
      <c r="AB345" s="16" t="s">
        <v>111</v>
      </c>
      <c r="AC345" s="7" t="s">
        <v>112</v>
      </c>
      <c r="AD345" s="7" t="s">
        <v>112</v>
      </c>
      <c r="AE345" s="7" t="s">
        <v>112</v>
      </c>
      <c r="AF345" s="6" t="s">
        <v>113</v>
      </c>
      <c r="AG345" s="26" t="str">
        <f t="shared" ref="AG345" si="2451">CM$12</f>
        <v>4,33,28,33,6,4,33,28,33,6</v>
      </c>
      <c r="AH345" s="26" t="str">
        <f t="shared" ref="AH345" si="2452">CN$12</f>
        <v>0,5,0,5,1,0,5,0,5,1</v>
      </c>
      <c r="AI345" s="26" t="str">
        <f t="shared" ref="AI345" si="2453">CO$12</f>
        <v>0,0,0,0,1,0,0,0,0,1</v>
      </c>
      <c r="AJ345" s="26" t="str">
        <f t="shared" ref="AJ345" si="2454">CP$12</f>
        <v>0,0,0,0,5,0,0,0,0,5</v>
      </c>
      <c r="AK345" s="26" t="str">
        <f t="shared" ref="AK345" si="2455">CQ$12</f>
        <v>100,1,1000,2,5,200,1,1000,2,5</v>
      </c>
      <c r="AL345" s="26" t="str">
        <f t="shared" ref="AL345" si="2456">CR$12</f>
        <v>5,5,5,5,5,5,5,5,5,5</v>
      </c>
      <c r="AM345" s="7">
        <v>2001</v>
      </c>
      <c r="AO345">
        <f t="shared" ref="AO345" si="2457">AQ345*100+9</f>
        <v>3809</v>
      </c>
      <c r="AP345">
        <v>341</v>
      </c>
      <c r="AQ345">
        <f t="shared" si="2303"/>
        <v>38</v>
      </c>
      <c r="AR345" s="17">
        <v>8</v>
      </c>
      <c r="AS345" s="17">
        <f t="shared" si="2384"/>
        <v>265</v>
      </c>
      <c r="AT345" s="17">
        <v>7</v>
      </c>
      <c r="AU345">
        <f t="shared" si="2304"/>
        <v>26</v>
      </c>
      <c r="AV345">
        <v>150</v>
      </c>
      <c r="AW345">
        <f t="shared" si="2305"/>
        <v>48480.537600000003</v>
      </c>
      <c r="AX345">
        <f t="shared" si="2434"/>
        <v>261360000</v>
      </c>
      <c r="AY345">
        <f t="shared" si="2306"/>
        <v>4356</v>
      </c>
      <c r="AZ345">
        <f t="shared" si="2307"/>
        <v>8712</v>
      </c>
      <c r="BA345">
        <f t="shared" si="2308"/>
        <v>58080.000000000007</v>
      </c>
      <c r="BB345">
        <f t="shared" si="2309"/>
        <v>2178</v>
      </c>
      <c r="BC345">
        <f t="shared" si="2435"/>
        <v>261360000</v>
      </c>
      <c r="BD345">
        <f t="shared" si="2310"/>
        <v>0.29411764705882354</v>
      </c>
      <c r="BE345" s="27">
        <f t="shared" si="2436"/>
        <v>203219422.56</v>
      </c>
      <c r="BF345" s="30">
        <f t="shared" si="2311"/>
        <v>0.39119999999999999</v>
      </c>
      <c r="BG345" s="27"/>
      <c r="BH345" s="27"/>
      <c r="BI345" s="27"/>
      <c r="CA345" s="20">
        <f t="shared" si="2312"/>
        <v>285</v>
      </c>
      <c r="CB345" s="20">
        <f t="shared" si="2313"/>
        <v>28500</v>
      </c>
    </row>
    <row r="346" spans="1:80" x14ac:dyDescent="0.15">
      <c r="A346">
        <v>3901</v>
      </c>
      <c r="B346" s="3" t="s">
        <v>108</v>
      </c>
      <c r="C346" s="4" t="s">
        <v>109</v>
      </c>
      <c r="D346" s="4" t="s">
        <v>110</v>
      </c>
      <c r="E346" s="5">
        <v>3</v>
      </c>
      <c r="F346" s="7" t="s">
        <v>141</v>
      </c>
      <c r="G346" s="5">
        <v>2.5</v>
      </c>
      <c r="H346" s="7" t="s">
        <v>194</v>
      </c>
      <c r="I346" s="5">
        <v>0</v>
      </c>
      <c r="J346" s="5">
        <v>0</v>
      </c>
      <c r="K346">
        <v>2</v>
      </c>
      <c r="L346">
        <v>1.5</v>
      </c>
      <c r="M346" s="5">
        <v>1.5</v>
      </c>
      <c r="N346" s="5">
        <v>10</v>
      </c>
      <c r="O346" s="5">
        <f t="shared" si="2293"/>
        <v>42383</v>
      </c>
      <c r="P346" s="5">
        <f t="shared" si="2294"/>
        <v>228096000</v>
      </c>
      <c r="Q346" s="5">
        <f t="shared" si="2295"/>
        <v>3801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70011</v>
      </c>
      <c r="X346" s="6" t="s">
        <v>179</v>
      </c>
      <c r="Y346" s="5">
        <v>300</v>
      </c>
      <c r="Z346" s="5">
        <v>1</v>
      </c>
      <c r="AA346" s="5">
        <v>51836400</v>
      </c>
      <c r="AB346" s="16" t="s">
        <v>111</v>
      </c>
      <c r="AC346" s="7" t="s">
        <v>112</v>
      </c>
      <c r="AD346" s="7" t="s">
        <v>112</v>
      </c>
      <c r="AE346" s="7" t="s">
        <v>112</v>
      </c>
      <c r="AF346" s="6" t="s">
        <v>113</v>
      </c>
      <c r="AG346" s="26" t="str">
        <f t="shared" ref="AG346" si="2458">CM$4</f>
        <v>4,33,28,33,6,4,33,28,33,6</v>
      </c>
      <c r="AH346" s="26" t="str">
        <f t="shared" ref="AH346" si="2459">CN$4</f>
        <v>0,8,0,8,1,0,8,0,8,1</v>
      </c>
      <c r="AI346" s="26" t="str">
        <f t="shared" ref="AI346" si="2460">CO$4</f>
        <v>0,0,0,0,1,0,0,0,0,1</v>
      </c>
      <c r="AJ346" s="26" t="str">
        <f t="shared" ref="AJ346" si="2461">CP$4</f>
        <v>0,0,0,0,5,0,0,0,0,5</v>
      </c>
      <c r="AK346" s="26" t="str">
        <f t="shared" ref="AK346" si="2462">CQ$4</f>
        <v>100,1,1000,2,5,200,1,1000,2,5</v>
      </c>
      <c r="AL346" s="26" t="str">
        <f t="shared" ref="AL346" si="2463">CR$4</f>
        <v>5,5,5,5,5,5,5,5,5,5</v>
      </c>
      <c r="AM346" s="7">
        <v>2001</v>
      </c>
      <c r="AO346">
        <f t="shared" ref="AO346" si="2464">AQ346*100+1</f>
        <v>3901</v>
      </c>
      <c r="AP346">
        <v>342</v>
      </c>
      <c r="AQ346">
        <f t="shared" si="2303"/>
        <v>39</v>
      </c>
      <c r="AR346" s="17">
        <v>8</v>
      </c>
      <c r="AS346" s="17">
        <f t="shared" si="2384"/>
        <v>230</v>
      </c>
      <c r="AT346" s="17">
        <v>7</v>
      </c>
      <c r="AU346">
        <f t="shared" si="2304"/>
        <v>26</v>
      </c>
      <c r="AV346">
        <v>150</v>
      </c>
      <c r="AW346">
        <f t="shared" si="2305"/>
        <v>42383.278080000004</v>
      </c>
      <c r="AX346">
        <f t="shared" si="2434"/>
        <v>228096000</v>
      </c>
      <c r="AY346">
        <f t="shared" si="2306"/>
        <v>3801.6</v>
      </c>
      <c r="AZ346">
        <f t="shared" si="2307"/>
        <v>7603.2</v>
      </c>
      <c r="BA346">
        <f t="shared" si="2308"/>
        <v>50688.000000000007</v>
      </c>
      <c r="BB346">
        <f t="shared" si="2309"/>
        <v>1900.8</v>
      </c>
      <c r="BC346">
        <f t="shared" si="2435"/>
        <v>228096000</v>
      </c>
      <c r="BD346">
        <f t="shared" si="2310"/>
        <v>0.29411764705882354</v>
      </c>
      <c r="BE346" s="27">
        <f t="shared" si="2436"/>
        <v>154782661.01760003</v>
      </c>
      <c r="BF346" s="30">
        <f t="shared" si="2311"/>
        <v>0.39359999999999995</v>
      </c>
      <c r="BG346" s="27"/>
      <c r="BH346" s="27"/>
      <c r="BI346" s="27"/>
      <c r="CA346" s="20">
        <f t="shared" si="2312"/>
        <v>290</v>
      </c>
      <c r="CB346" s="20">
        <f t="shared" si="2313"/>
        <v>29000</v>
      </c>
    </row>
    <row r="347" spans="1:80" x14ac:dyDescent="0.15">
      <c r="A347">
        <v>3902</v>
      </c>
      <c r="B347" s="3" t="s">
        <v>115</v>
      </c>
      <c r="C347" s="4" t="s">
        <v>109</v>
      </c>
      <c r="D347" s="6" t="s">
        <v>110</v>
      </c>
      <c r="E347" s="5">
        <v>3</v>
      </c>
      <c r="F347" s="7" t="s">
        <v>142</v>
      </c>
      <c r="G347" s="5">
        <v>3</v>
      </c>
      <c r="H347" s="7" t="s">
        <v>188</v>
      </c>
      <c r="I347" s="5">
        <v>0</v>
      </c>
      <c r="J347" s="5">
        <v>0</v>
      </c>
      <c r="K347">
        <v>2</v>
      </c>
      <c r="L347">
        <v>1.5</v>
      </c>
      <c r="M347" s="5">
        <v>1.5</v>
      </c>
      <c r="N347" s="5">
        <v>10</v>
      </c>
      <c r="O347" s="5">
        <f t="shared" si="2293"/>
        <v>43266</v>
      </c>
      <c r="P347" s="5">
        <f t="shared" si="2294"/>
        <v>232848000</v>
      </c>
      <c r="Q347" s="5">
        <f t="shared" si="2295"/>
        <v>3880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70021</v>
      </c>
      <c r="X347" s="6" t="s">
        <v>180</v>
      </c>
      <c r="Y347" s="5">
        <v>300</v>
      </c>
      <c r="Z347" s="5">
        <v>1</v>
      </c>
      <c r="AA347" s="5">
        <v>38338201</v>
      </c>
      <c r="AB347" s="16" t="s">
        <v>111</v>
      </c>
      <c r="AC347" s="7" t="s">
        <v>112</v>
      </c>
      <c r="AD347" s="7" t="s">
        <v>112</v>
      </c>
      <c r="AE347" s="7" t="s">
        <v>112</v>
      </c>
      <c r="AF347" s="6" t="s">
        <v>113</v>
      </c>
      <c r="AG347" s="26" t="str">
        <f t="shared" ref="AG347" si="2465">CM$5</f>
        <v>4,33,28,33,6,4,33,28,33,6</v>
      </c>
      <c r="AH347" s="26" t="str">
        <f t="shared" ref="AH347" si="2466">CN$5</f>
        <v>0,7,0,7,1,0,7,0,7,1</v>
      </c>
      <c r="AI347" s="26" t="str">
        <f t="shared" ref="AI347" si="2467">CO$5</f>
        <v>0,0,0,0,1,0,0,0,0,1</v>
      </c>
      <c r="AJ347" s="26" t="str">
        <f t="shared" ref="AJ347" si="2468">CP$5</f>
        <v>0,0,0,0,5,0,0,0,0,5</v>
      </c>
      <c r="AK347" s="26" t="str">
        <f t="shared" ref="AK347" si="2469">CQ$5</f>
        <v>100,1,1000,2,5,200,1,1000,2,5</v>
      </c>
      <c r="AL347" s="26" t="str">
        <f t="shared" ref="AL347" si="2470">CR$5</f>
        <v>5,5,5,5,5,5,5,5,5,5</v>
      </c>
      <c r="AM347" s="7">
        <v>2001</v>
      </c>
      <c r="AO347">
        <f t="shared" ref="AO347" si="2471">AQ347*100+2</f>
        <v>3902</v>
      </c>
      <c r="AP347">
        <v>343</v>
      </c>
      <c r="AQ347">
        <f t="shared" si="2303"/>
        <v>39</v>
      </c>
      <c r="AR347" s="17">
        <v>8</v>
      </c>
      <c r="AS347" s="17">
        <f t="shared" si="2384"/>
        <v>235</v>
      </c>
      <c r="AT347" s="17">
        <v>7</v>
      </c>
      <c r="AU347">
        <f t="shared" si="2304"/>
        <v>26</v>
      </c>
      <c r="AV347">
        <v>150</v>
      </c>
      <c r="AW347">
        <f t="shared" si="2305"/>
        <v>43266.263039999998</v>
      </c>
      <c r="AX347">
        <f t="shared" si="2434"/>
        <v>232848000</v>
      </c>
      <c r="AY347">
        <f t="shared" si="2306"/>
        <v>3880.8</v>
      </c>
      <c r="AZ347">
        <f t="shared" si="2307"/>
        <v>7761.6</v>
      </c>
      <c r="BA347">
        <f t="shared" si="2308"/>
        <v>51744.000000000007</v>
      </c>
      <c r="BB347">
        <f t="shared" si="2309"/>
        <v>1940.4</v>
      </c>
      <c r="BC347">
        <f t="shared" si="2435"/>
        <v>232848000</v>
      </c>
      <c r="BD347">
        <f t="shared" si="2310"/>
        <v>0.29411764705882348</v>
      </c>
      <c r="BE347" s="27">
        <f t="shared" si="2436"/>
        <v>161299118.53439999</v>
      </c>
      <c r="BF347" s="30">
        <f t="shared" si="2311"/>
        <v>0.39359999999999995</v>
      </c>
      <c r="BG347" s="27"/>
      <c r="BH347" s="27"/>
      <c r="BI347" s="27"/>
      <c r="CA347" s="20">
        <f t="shared" si="2312"/>
        <v>290</v>
      </c>
      <c r="CB347" s="20">
        <f t="shared" si="2313"/>
        <v>29000</v>
      </c>
    </row>
    <row r="348" spans="1:80" x14ac:dyDescent="0.15">
      <c r="A348">
        <v>3903</v>
      </c>
      <c r="B348" s="3" t="s">
        <v>117</v>
      </c>
      <c r="C348" s="4" t="s">
        <v>109</v>
      </c>
      <c r="D348" s="4" t="s">
        <v>110</v>
      </c>
      <c r="E348" s="5">
        <v>1</v>
      </c>
      <c r="F348" s="7" t="s">
        <v>144</v>
      </c>
      <c r="G348" s="5">
        <v>3</v>
      </c>
      <c r="H348" s="7" t="s">
        <v>189</v>
      </c>
      <c r="I348" s="5">
        <v>0</v>
      </c>
      <c r="J348" s="2">
        <v>0</v>
      </c>
      <c r="K348">
        <v>6</v>
      </c>
      <c r="L348">
        <v>1.5</v>
      </c>
      <c r="M348" s="5">
        <v>1.5</v>
      </c>
      <c r="N348" s="5">
        <v>10</v>
      </c>
      <c r="O348" s="5">
        <f t="shared" si="2293"/>
        <v>44149</v>
      </c>
      <c r="P348" s="5">
        <f t="shared" si="2294"/>
        <v>237600000</v>
      </c>
      <c r="Q348" s="5">
        <f t="shared" si="2295"/>
        <v>3960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70031</v>
      </c>
      <c r="X348" s="6" t="s">
        <v>181</v>
      </c>
      <c r="Y348" s="5">
        <v>300</v>
      </c>
      <c r="Z348" s="5">
        <v>1</v>
      </c>
      <c r="AA348" s="5">
        <v>40142108</v>
      </c>
      <c r="AB348" s="16" t="s">
        <v>111</v>
      </c>
      <c r="AC348" s="7" t="s">
        <v>112</v>
      </c>
      <c r="AD348" s="7" t="s">
        <v>112</v>
      </c>
      <c r="AE348" s="7" t="s">
        <v>112</v>
      </c>
      <c r="AF348" s="6" t="s">
        <v>113</v>
      </c>
      <c r="AG348" s="26" t="str">
        <f t="shared" ref="AG348" si="2472">CM$6</f>
        <v>4,28,6,28,6,4,28,6,28,6</v>
      </c>
      <c r="AH348" s="26" t="str">
        <f t="shared" ref="AH348" si="2473">CN$6</f>
        <v>0,0,1,0,1,0,0,1,0,1</v>
      </c>
      <c r="AI348" s="26" t="str">
        <f t="shared" ref="AI348" si="2474">CO$6</f>
        <v>0,0,0,0,1,0,0,0,0,1</v>
      </c>
      <c r="AJ348" s="26" t="str">
        <f t="shared" ref="AJ348" si="2475">CP$6</f>
        <v>0,0,5,0,5,0,0,5,0,5</v>
      </c>
      <c r="AK348" s="26" t="str">
        <f t="shared" ref="AK348" si="2476">CQ$6</f>
        <v>100,1000,5,1500,5,200,1000,5,1500,5</v>
      </c>
      <c r="AL348" s="26" t="str">
        <f t="shared" ref="AL348" si="2477">CR$6</f>
        <v>5,5,5,5,5,5,5,5,5,5</v>
      </c>
      <c r="AM348" s="7">
        <v>2001</v>
      </c>
      <c r="AO348">
        <f t="shared" ref="AO348" si="2478">AQ348*100+3</f>
        <v>3903</v>
      </c>
      <c r="AP348">
        <v>344</v>
      </c>
      <c r="AQ348">
        <f t="shared" si="2303"/>
        <v>39</v>
      </c>
      <c r="AR348" s="17">
        <v>8</v>
      </c>
      <c r="AS348" s="17">
        <f t="shared" si="2384"/>
        <v>240</v>
      </c>
      <c r="AT348" s="17">
        <v>7</v>
      </c>
      <c r="AU348">
        <f t="shared" si="2304"/>
        <v>26</v>
      </c>
      <c r="AV348">
        <v>150</v>
      </c>
      <c r="AW348">
        <f t="shared" si="2305"/>
        <v>44149.248000000007</v>
      </c>
      <c r="AX348">
        <f t="shared" si="2434"/>
        <v>237600000</v>
      </c>
      <c r="AY348">
        <f t="shared" si="2306"/>
        <v>3960</v>
      </c>
      <c r="AZ348">
        <f t="shared" si="2307"/>
        <v>7920</v>
      </c>
      <c r="BA348">
        <f t="shared" si="2308"/>
        <v>52800.000000000007</v>
      </c>
      <c r="BB348">
        <f t="shared" si="2309"/>
        <v>1980</v>
      </c>
      <c r="BC348">
        <f t="shared" si="2435"/>
        <v>237600000</v>
      </c>
      <c r="BD348">
        <f t="shared" si="2310"/>
        <v>0.29411764705882354</v>
      </c>
      <c r="BE348" s="27">
        <f t="shared" si="2436"/>
        <v>167949936</v>
      </c>
      <c r="BF348" s="30">
        <f t="shared" si="2311"/>
        <v>0.39359999999999995</v>
      </c>
      <c r="BG348" s="27"/>
      <c r="BH348" s="27"/>
      <c r="BI348" s="27"/>
      <c r="CA348" s="20">
        <f t="shared" si="2312"/>
        <v>290</v>
      </c>
      <c r="CB348" s="20">
        <f t="shared" si="2313"/>
        <v>29000</v>
      </c>
    </row>
    <row r="349" spans="1:80" x14ac:dyDescent="0.15">
      <c r="A349">
        <v>3904</v>
      </c>
      <c r="B349" s="3" t="s">
        <v>119</v>
      </c>
      <c r="C349" s="4" t="s">
        <v>109</v>
      </c>
      <c r="D349" s="6" t="s">
        <v>120</v>
      </c>
      <c r="E349" s="5">
        <v>3</v>
      </c>
      <c r="F349" s="7" t="s">
        <v>145</v>
      </c>
      <c r="G349" s="5">
        <v>3</v>
      </c>
      <c r="H349" s="7" t="s">
        <v>190</v>
      </c>
      <c r="I349" s="5">
        <v>0</v>
      </c>
      <c r="J349" s="5">
        <v>0</v>
      </c>
      <c r="K349">
        <v>2</v>
      </c>
      <c r="L349">
        <v>1.5</v>
      </c>
      <c r="M349" s="5">
        <v>1.5</v>
      </c>
      <c r="N349" s="5">
        <v>10</v>
      </c>
      <c r="O349" s="5">
        <f t="shared" si="2293"/>
        <v>45032</v>
      </c>
      <c r="P349" s="5">
        <f t="shared" si="2294"/>
        <v>242352000</v>
      </c>
      <c r="Q349" s="5">
        <f t="shared" si="2295"/>
        <v>4039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70041</v>
      </c>
      <c r="X349" s="6" t="s">
        <v>182</v>
      </c>
      <c r="Y349" s="5">
        <v>300</v>
      </c>
      <c r="Z349" s="5">
        <v>1</v>
      </c>
      <c r="AA349" s="5">
        <v>41987484</v>
      </c>
      <c r="AB349" s="16" t="s">
        <v>111</v>
      </c>
      <c r="AC349" s="7" t="s">
        <v>112</v>
      </c>
      <c r="AD349" s="7" t="s">
        <v>112</v>
      </c>
      <c r="AE349" s="7" t="s">
        <v>112</v>
      </c>
      <c r="AF349" s="6" t="s">
        <v>113</v>
      </c>
      <c r="AG349" s="26" t="str">
        <f t="shared" ref="AG349" si="2479">CM$7</f>
        <v>4,14,28,14,6,4,14,28,14,6</v>
      </c>
      <c r="AH349" s="26" t="str">
        <f t="shared" ref="AH349" si="2480">CN$7</f>
        <v>0,0,0,0,1,0,0,0,0,1</v>
      </c>
      <c r="AI349" s="26" t="str">
        <f t="shared" ref="AI349" si="2481">CO$7</f>
        <v>0,0,0,0,1,0,0,0,0,1</v>
      </c>
      <c r="AJ349" s="26" t="str">
        <f t="shared" ref="AJ349" si="2482">CP$7</f>
        <v>0,0,0,0,5,0,0,0,0,5</v>
      </c>
      <c r="AK349" s="26" t="str">
        <f t="shared" ref="AK349" si="2483">CQ$7</f>
        <v>100,1,1000,2,5,200,1,1000,2,5</v>
      </c>
      <c r="AL349" s="26" t="str">
        <f t="shared" ref="AL349" si="2484">CR$7</f>
        <v>5,5,5,5,5,5,5,5,5,5</v>
      </c>
      <c r="AM349" s="7">
        <v>2001</v>
      </c>
      <c r="AO349">
        <f t="shared" ref="AO349" si="2485">AQ349*100+4</f>
        <v>3904</v>
      </c>
      <c r="AP349">
        <v>345</v>
      </c>
      <c r="AQ349">
        <f t="shared" si="2303"/>
        <v>39</v>
      </c>
      <c r="AR349" s="17">
        <v>8</v>
      </c>
      <c r="AS349" s="17">
        <f t="shared" si="2384"/>
        <v>245</v>
      </c>
      <c r="AT349" s="17">
        <v>7</v>
      </c>
      <c r="AU349">
        <f t="shared" si="2304"/>
        <v>26</v>
      </c>
      <c r="AV349">
        <v>150</v>
      </c>
      <c r="AW349">
        <f t="shared" si="2305"/>
        <v>45032.232960000001</v>
      </c>
      <c r="AX349">
        <f t="shared" si="2434"/>
        <v>242352000.00000006</v>
      </c>
      <c r="AY349">
        <f t="shared" si="2306"/>
        <v>4039.2000000000003</v>
      </c>
      <c r="AZ349">
        <f t="shared" si="2307"/>
        <v>8078.4000000000005</v>
      </c>
      <c r="BA349">
        <f t="shared" si="2308"/>
        <v>53856.000000000007</v>
      </c>
      <c r="BB349">
        <f t="shared" si="2309"/>
        <v>2019.6000000000001</v>
      </c>
      <c r="BC349">
        <f t="shared" si="2435"/>
        <v>242352000.00000006</v>
      </c>
      <c r="BD349">
        <f t="shared" si="2310"/>
        <v>0.29411764705882354</v>
      </c>
      <c r="BE349" s="27">
        <f t="shared" si="2436"/>
        <v>174735113.4144001</v>
      </c>
      <c r="BF349" s="30">
        <f t="shared" si="2311"/>
        <v>0.39359999999999995</v>
      </c>
      <c r="BG349" s="27"/>
      <c r="BH349" s="27"/>
      <c r="BI349" s="27"/>
      <c r="CA349" s="20">
        <f t="shared" si="2312"/>
        <v>290</v>
      </c>
      <c r="CB349" s="20">
        <f t="shared" si="2313"/>
        <v>29000</v>
      </c>
    </row>
    <row r="350" spans="1:80" x14ac:dyDescent="0.15">
      <c r="A350">
        <v>3905</v>
      </c>
      <c r="B350" s="3" t="s">
        <v>122</v>
      </c>
      <c r="C350" s="4" t="s">
        <v>109</v>
      </c>
      <c r="D350" s="4" t="s">
        <v>110</v>
      </c>
      <c r="E350" s="5">
        <v>2</v>
      </c>
      <c r="F350" s="7" t="s">
        <v>146</v>
      </c>
      <c r="G350" s="5">
        <v>3</v>
      </c>
      <c r="H350" s="7" t="s">
        <v>191</v>
      </c>
      <c r="I350" s="5">
        <v>0</v>
      </c>
      <c r="J350" s="7" t="s">
        <v>148</v>
      </c>
      <c r="K350">
        <v>6</v>
      </c>
      <c r="L350">
        <v>1.5</v>
      </c>
      <c r="M350" s="5">
        <v>1.5</v>
      </c>
      <c r="N350" s="5">
        <v>10</v>
      </c>
      <c r="O350" s="5">
        <f t="shared" si="2293"/>
        <v>45915</v>
      </c>
      <c r="P350" s="5">
        <f t="shared" si="2294"/>
        <v>247104000</v>
      </c>
      <c r="Q350" s="5">
        <f t="shared" si="2295"/>
        <v>4118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70051</v>
      </c>
      <c r="X350" s="6" t="s">
        <v>183</v>
      </c>
      <c r="Y350" s="5">
        <v>300</v>
      </c>
      <c r="Z350" s="5">
        <v>1</v>
      </c>
      <c r="AA350" s="5">
        <v>43874329</v>
      </c>
      <c r="AB350" s="16" t="s">
        <v>111</v>
      </c>
      <c r="AC350" s="7" t="s">
        <v>112</v>
      </c>
      <c r="AD350" s="7" t="s">
        <v>112</v>
      </c>
      <c r="AE350" s="7" t="s">
        <v>112</v>
      </c>
      <c r="AF350" s="6" t="s">
        <v>113</v>
      </c>
      <c r="AG350" s="26" t="str">
        <f t="shared" ref="AG350" si="2486">CM$8</f>
        <v>4,19,28,19,6,4,19,28,19,6</v>
      </c>
      <c r="AH350" s="26" t="str">
        <f t="shared" ref="AH350" si="2487">CN$8</f>
        <v>0,0,0,0,1,0,0,0,0,1</v>
      </c>
      <c r="AI350" s="26" t="str">
        <f t="shared" ref="AI350" si="2488">CO$8</f>
        <v>0,0,0,0,1,0,0,0,0,1</v>
      </c>
      <c r="AJ350" s="26" t="str">
        <f t="shared" ref="AJ350" si="2489">CP$8</f>
        <v>0,0,0,0,5,0,0,0,0,5</v>
      </c>
      <c r="AK350" s="26" t="str">
        <f t="shared" ref="AK350" si="2490">CQ$8</f>
        <v>200,100,1000,200,5,200,100,1000,200,5</v>
      </c>
      <c r="AL350" s="26" t="str">
        <f t="shared" ref="AL350" si="2491">CR$8</f>
        <v>5,5,5,5,5,5,5,5,5,5</v>
      </c>
      <c r="AM350" s="7">
        <v>2001</v>
      </c>
      <c r="AO350">
        <f t="shared" ref="AO350" si="2492">AQ350*100+5</f>
        <v>3905</v>
      </c>
      <c r="AP350">
        <v>346</v>
      </c>
      <c r="AQ350">
        <f t="shared" si="2303"/>
        <v>39</v>
      </c>
      <c r="AR350" s="17">
        <v>8</v>
      </c>
      <c r="AS350" s="17">
        <f t="shared" si="2384"/>
        <v>250</v>
      </c>
      <c r="AT350" s="17">
        <v>7</v>
      </c>
      <c r="AU350">
        <f t="shared" si="2304"/>
        <v>26</v>
      </c>
      <c r="AV350">
        <v>150</v>
      </c>
      <c r="AW350">
        <f t="shared" si="2305"/>
        <v>45915.217920000003</v>
      </c>
      <c r="AX350">
        <f t="shared" si="2434"/>
        <v>247104000.00000006</v>
      </c>
      <c r="AY350">
        <f t="shared" si="2306"/>
        <v>4118.4000000000005</v>
      </c>
      <c r="AZ350">
        <f t="shared" si="2307"/>
        <v>8236.8000000000011</v>
      </c>
      <c r="BA350">
        <f t="shared" si="2308"/>
        <v>54912.000000000007</v>
      </c>
      <c r="BB350">
        <f t="shared" si="2309"/>
        <v>2059.2000000000003</v>
      </c>
      <c r="BC350">
        <f t="shared" si="2435"/>
        <v>247104000.00000006</v>
      </c>
      <c r="BD350">
        <f t="shared" si="2310"/>
        <v>0.29411764705882354</v>
      </c>
      <c r="BE350" s="27">
        <f t="shared" si="2436"/>
        <v>181654650.77760008</v>
      </c>
      <c r="BF350" s="30">
        <f t="shared" si="2311"/>
        <v>0.39359999999999995</v>
      </c>
      <c r="BG350" s="27"/>
      <c r="BH350" s="27"/>
      <c r="BI350" s="27"/>
      <c r="CA350" s="20">
        <f t="shared" si="2312"/>
        <v>290</v>
      </c>
      <c r="CB350" s="20">
        <f t="shared" si="2313"/>
        <v>29000</v>
      </c>
    </row>
    <row r="351" spans="1:80" x14ac:dyDescent="0.15">
      <c r="A351">
        <v>3906</v>
      </c>
      <c r="B351" s="3" t="s">
        <v>124</v>
      </c>
      <c r="C351" s="4" t="s">
        <v>109</v>
      </c>
      <c r="D351" s="6" t="s">
        <v>120</v>
      </c>
      <c r="E351" s="5">
        <v>1</v>
      </c>
      <c r="F351" s="7" t="s">
        <v>147</v>
      </c>
      <c r="G351" s="5">
        <v>3</v>
      </c>
      <c r="H351" s="7" t="s">
        <v>192</v>
      </c>
      <c r="I351" s="5">
        <v>0</v>
      </c>
      <c r="J351" s="7" t="s">
        <v>149</v>
      </c>
      <c r="K351">
        <v>6</v>
      </c>
      <c r="L351">
        <v>1.5</v>
      </c>
      <c r="M351" s="5">
        <v>1.5</v>
      </c>
      <c r="N351" s="5">
        <v>10</v>
      </c>
      <c r="O351" s="5">
        <f t="shared" si="2293"/>
        <v>46798</v>
      </c>
      <c r="P351" s="5">
        <f t="shared" si="2294"/>
        <v>251856000</v>
      </c>
      <c r="Q351" s="5">
        <f t="shared" si="2295"/>
        <v>4197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70061</v>
      </c>
      <c r="X351" s="6" t="s">
        <v>184</v>
      </c>
      <c r="Y351" s="5">
        <v>300</v>
      </c>
      <c r="Z351" s="5">
        <v>1</v>
      </c>
      <c r="AA351" s="5">
        <v>45802643</v>
      </c>
      <c r="AB351" s="16" t="s">
        <v>111</v>
      </c>
      <c r="AC351" s="7" t="s">
        <v>112</v>
      </c>
      <c r="AD351" s="7" t="s">
        <v>112</v>
      </c>
      <c r="AE351" s="7" t="s">
        <v>112</v>
      </c>
      <c r="AF351" s="6" t="s">
        <v>113</v>
      </c>
      <c r="AG351" s="26" t="str">
        <f t="shared" ref="AG351" si="2493">CM$9</f>
        <v>4,33,28,33,6,4,33,28,33,6</v>
      </c>
      <c r="AH351" s="26" t="str">
        <f t="shared" ref="AH351" si="2494">CN$9</f>
        <v>0,6,0,6,1,0,6,0,6,1</v>
      </c>
      <c r="AI351" s="26" t="str">
        <f t="shared" ref="AI351" si="2495">CO$9</f>
        <v>0,0,0,0,1,0,0,0,0,1</v>
      </c>
      <c r="AJ351" s="26" t="str">
        <f t="shared" ref="AJ351" si="2496">CP$9</f>
        <v>0,0,0,0,5,0,0,0,0,5</v>
      </c>
      <c r="AK351" s="26" t="str">
        <f t="shared" ref="AK351" si="2497">CQ$9</f>
        <v>200,1,1000,2,5,200,1,1000,2,5</v>
      </c>
      <c r="AL351" s="26" t="str">
        <f t="shared" ref="AL351" si="2498">CR$9</f>
        <v>5,5,5,5,5,5,5,5,5,5</v>
      </c>
      <c r="AM351" s="7">
        <v>2001</v>
      </c>
      <c r="AO351">
        <f t="shared" ref="AO351" si="2499">AQ351*100+6</f>
        <v>3906</v>
      </c>
      <c r="AP351">
        <v>347</v>
      </c>
      <c r="AQ351">
        <f t="shared" si="2303"/>
        <v>39</v>
      </c>
      <c r="AR351" s="17">
        <v>8</v>
      </c>
      <c r="AS351" s="17">
        <f t="shared" si="2384"/>
        <v>255</v>
      </c>
      <c r="AT351" s="17">
        <v>7</v>
      </c>
      <c r="AU351">
        <f t="shared" si="2304"/>
        <v>26</v>
      </c>
      <c r="AV351">
        <v>150</v>
      </c>
      <c r="AW351">
        <f t="shared" si="2305"/>
        <v>46798.202880000004</v>
      </c>
      <c r="AX351">
        <f t="shared" si="2434"/>
        <v>251856000.00000006</v>
      </c>
      <c r="AY351">
        <f t="shared" si="2306"/>
        <v>4197.6000000000004</v>
      </c>
      <c r="AZ351">
        <f t="shared" si="2307"/>
        <v>8395.2000000000007</v>
      </c>
      <c r="BA351">
        <f t="shared" si="2308"/>
        <v>55968.000000000007</v>
      </c>
      <c r="BB351">
        <f t="shared" si="2309"/>
        <v>2098.8000000000002</v>
      </c>
      <c r="BC351">
        <f t="shared" si="2435"/>
        <v>251856000.00000006</v>
      </c>
      <c r="BD351">
        <f t="shared" si="2310"/>
        <v>0.29411764705882348</v>
      </c>
      <c r="BE351" s="27">
        <f t="shared" si="2436"/>
        <v>188708548.08960006</v>
      </c>
      <c r="BF351" s="30">
        <f t="shared" si="2311"/>
        <v>0.39359999999999995</v>
      </c>
      <c r="BG351" s="27"/>
      <c r="BH351" s="27"/>
      <c r="BI351" s="27"/>
      <c r="CA351" s="20">
        <f t="shared" si="2312"/>
        <v>290</v>
      </c>
      <c r="CB351" s="20">
        <f t="shared" si="2313"/>
        <v>29000</v>
      </c>
    </row>
    <row r="352" spans="1:80" x14ac:dyDescent="0.15">
      <c r="A352">
        <v>3907</v>
      </c>
      <c r="B352" s="3" t="s">
        <v>126</v>
      </c>
      <c r="C352" s="4" t="s">
        <v>109</v>
      </c>
      <c r="D352" s="4" t="s">
        <v>110</v>
      </c>
      <c r="E352" s="5">
        <v>2</v>
      </c>
      <c r="F352" s="7" t="s">
        <v>143</v>
      </c>
      <c r="G352" s="5">
        <v>3</v>
      </c>
      <c r="H352" s="7" t="s">
        <v>193</v>
      </c>
      <c r="I352" s="5">
        <v>0</v>
      </c>
      <c r="J352" s="5">
        <v>0</v>
      </c>
      <c r="K352">
        <v>2</v>
      </c>
      <c r="L352">
        <v>1.5</v>
      </c>
      <c r="M352" s="5">
        <v>1.5</v>
      </c>
      <c r="N352" s="5">
        <v>10</v>
      </c>
      <c r="O352" s="5">
        <f t="shared" si="2293"/>
        <v>47681</v>
      </c>
      <c r="P352" s="5">
        <f t="shared" si="2294"/>
        <v>256608000</v>
      </c>
      <c r="Q352" s="5">
        <f t="shared" si="2295"/>
        <v>4276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70071</v>
      </c>
      <c r="X352" s="6" t="s">
        <v>185</v>
      </c>
      <c r="Y352" s="5">
        <v>300</v>
      </c>
      <c r="Z352" s="5">
        <v>1</v>
      </c>
      <c r="AA352" s="5">
        <v>47772426</v>
      </c>
      <c r="AB352" s="16" t="s">
        <v>111</v>
      </c>
      <c r="AC352" s="7" t="s">
        <v>112</v>
      </c>
      <c r="AD352" s="7" t="s">
        <v>112</v>
      </c>
      <c r="AE352" s="7" t="s">
        <v>112</v>
      </c>
      <c r="AF352" s="6" t="s">
        <v>113</v>
      </c>
      <c r="AG352" s="26" t="str">
        <f t="shared" ref="AG352" si="2500">CM$10</f>
        <v>4,14,28,14,6,4,14,28,14,6</v>
      </c>
      <c r="AH352" s="26" t="str">
        <f t="shared" ref="AH352" si="2501">CN$10</f>
        <v>0,0,0,0,1,0,0,0,0,1</v>
      </c>
      <c r="AI352" s="26" t="str">
        <f t="shared" ref="AI352" si="2502">CO$10</f>
        <v>0,0,0,0,1,0,0,0,0,1</v>
      </c>
      <c r="AJ352" s="26" t="str">
        <f t="shared" ref="AJ352" si="2503">CP$10</f>
        <v>0,0,0,0,5,0,0,0,0,5</v>
      </c>
      <c r="AK352" s="26" t="str">
        <f t="shared" ref="AK352" si="2504">CQ$10</f>
        <v>200,1,1000,2,5,200,1,1000,2,5</v>
      </c>
      <c r="AL352" s="26" t="str">
        <f t="shared" ref="AL352" si="2505">CR$10</f>
        <v>5,5,5,5,5,5,5,5,5,5</v>
      </c>
      <c r="AM352" s="7">
        <v>2001</v>
      </c>
      <c r="AO352">
        <f t="shared" ref="AO352" si="2506">AQ352*100+7</f>
        <v>3907</v>
      </c>
      <c r="AP352">
        <v>348</v>
      </c>
      <c r="AQ352">
        <f t="shared" si="2303"/>
        <v>39</v>
      </c>
      <c r="AR352" s="17">
        <v>8</v>
      </c>
      <c r="AS352" s="17">
        <f t="shared" si="2384"/>
        <v>260</v>
      </c>
      <c r="AT352" s="17">
        <v>7</v>
      </c>
      <c r="AU352">
        <f t="shared" si="2304"/>
        <v>26</v>
      </c>
      <c r="AV352">
        <v>150</v>
      </c>
      <c r="AW352">
        <f t="shared" si="2305"/>
        <v>47681.187839999999</v>
      </c>
      <c r="AX352">
        <f t="shared" si="2434"/>
        <v>256608000</v>
      </c>
      <c r="AY352">
        <f t="shared" si="2306"/>
        <v>4276.8</v>
      </c>
      <c r="AZ352">
        <f t="shared" si="2307"/>
        <v>8553.6</v>
      </c>
      <c r="BA352">
        <f t="shared" si="2308"/>
        <v>57024.000000000007</v>
      </c>
      <c r="BB352">
        <f t="shared" si="2309"/>
        <v>2138.4</v>
      </c>
      <c r="BC352">
        <f t="shared" si="2435"/>
        <v>256608000</v>
      </c>
      <c r="BD352">
        <f t="shared" si="2310"/>
        <v>0.29411764705882348</v>
      </c>
      <c r="BE352" s="27">
        <f t="shared" si="2436"/>
        <v>195896805.3504</v>
      </c>
      <c r="BF352" s="30">
        <f t="shared" si="2311"/>
        <v>0.39359999999999995</v>
      </c>
      <c r="BG352" s="27"/>
      <c r="BH352" s="27"/>
      <c r="BI352" s="27"/>
      <c r="CA352" s="20">
        <f t="shared" si="2312"/>
        <v>290</v>
      </c>
      <c r="CB352" s="20">
        <f t="shared" si="2313"/>
        <v>29000</v>
      </c>
    </row>
    <row r="353" spans="1:80" x14ac:dyDescent="0.15">
      <c r="A353">
        <v>3908</v>
      </c>
      <c r="B353" s="3" t="s">
        <v>128</v>
      </c>
      <c r="C353" s="4" t="s">
        <v>109</v>
      </c>
      <c r="D353" s="4" t="s">
        <v>110</v>
      </c>
      <c r="E353" s="5">
        <v>5</v>
      </c>
      <c r="F353" s="7" t="s">
        <v>129</v>
      </c>
      <c r="G353" s="5">
        <v>2</v>
      </c>
      <c r="H353" s="7" t="s">
        <v>130</v>
      </c>
      <c r="I353" s="5">
        <v>0</v>
      </c>
      <c r="J353" s="5">
        <v>0</v>
      </c>
      <c r="K353">
        <v>2</v>
      </c>
      <c r="L353">
        <v>1.5</v>
      </c>
      <c r="M353" s="5">
        <v>1.5</v>
      </c>
      <c r="N353" s="5">
        <v>10</v>
      </c>
      <c r="O353" s="5">
        <f t="shared" si="2293"/>
        <v>48564</v>
      </c>
      <c r="P353" s="5">
        <f t="shared" si="2294"/>
        <v>261360000</v>
      </c>
      <c r="Q353" s="5">
        <f t="shared" si="2295"/>
        <v>4356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70081</v>
      </c>
      <c r="X353" s="6" t="s">
        <v>186</v>
      </c>
      <c r="Y353" s="5">
        <v>300</v>
      </c>
      <c r="Z353" s="5">
        <v>1</v>
      </c>
      <c r="AA353" s="5">
        <v>49783679</v>
      </c>
      <c r="AB353" s="16" t="s">
        <v>111</v>
      </c>
      <c r="AC353" s="7" t="s">
        <v>112</v>
      </c>
      <c r="AD353" s="7" t="s">
        <v>112</v>
      </c>
      <c r="AE353" s="7" t="s">
        <v>112</v>
      </c>
      <c r="AF353" s="6" t="s">
        <v>113</v>
      </c>
      <c r="AG353" s="26" t="str">
        <f t="shared" ref="AG353" si="2507">CM$11</f>
        <v>4,28,6,28,6,4,28,6,28,6</v>
      </c>
      <c r="AH353" s="26" t="str">
        <f t="shared" ref="AH353" si="2508">CN$11</f>
        <v>0,0,1,0,1,0,0,1,0,1</v>
      </c>
      <c r="AI353" s="26" t="str">
        <f t="shared" ref="AI353" si="2509">CO$11</f>
        <v>0,0,1,0,1,0,0,1,0,1</v>
      </c>
      <c r="AJ353" s="26" t="str">
        <f t="shared" ref="AJ353" si="2510">CP$11</f>
        <v>0,0,5,0,5,0,0,5,0,5</v>
      </c>
      <c r="AK353" s="26" t="str">
        <f t="shared" ref="AK353" si="2511">CQ$11</f>
        <v>100,1000,5,1500,5,200,1000,5,1500,5</v>
      </c>
      <c r="AL353" s="26" t="str">
        <f t="shared" ref="AL353" si="2512">CR$11</f>
        <v>5,5,5,5,5,5,5,5,5,5</v>
      </c>
      <c r="AM353" s="7">
        <v>2001</v>
      </c>
      <c r="AO353">
        <f t="shared" ref="AO353" si="2513">AQ353*100+8</f>
        <v>3908</v>
      </c>
      <c r="AP353">
        <v>349</v>
      </c>
      <c r="AQ353">
        <f t="shared" si="2303"/>
        <v>39</v>
      </c>
      <c r="AR353" s="17">
        <v>8</v>
      </c>
      <c r="AS353" s="17">
        <f t="shared" si="2384"/>
        <v>265</v>
      </c>
      <c r="AT353" s="17">
        <v>7</v>
      </c>
      <c r="AU353">
        <f t="shared" si="2304"/>
        <v>26</v>
      </c>
      <c r="AV353">
        <v>150</v>
      </c>
      <c r="AW353">
        <f t="shared" si="2305"/>
        <v>48564.1728</v>
      </c>
      <c r="AX353">
        <f t="shared" si="2434"/>
        <v>261360000</v>
      </c>
      <c r="AY353">
        <f t="shared" si="2306"/>
        <v>4356</v>
      </c>
      <c r="AZ353">
        <f t="shared" si="2307"/>
        <v>8712</v>
      </c>
      <c r="BA353">
        <f t="shared" si="2308"/>
        <v>58080.000000000007</v>
      </c>
      <c r="BB353">
        <f t="shared" si="2309"/>
        <v>2178</v>
      </c>
      <c r="BC353">
        <f t="shared" si="2435"/>
        <v>261360000</v>
      </c>
      <c r="BD353">
        <f t="shared" si="2310"/>
        <v>0.29411764705882354</v>
      </c>
      <c r="BE353" s="27">
        <f t="shared" si="2436"/>
        <v>203219422.56</v>
      </c>
      <c r="BF353" s="30">
        <f t="shared" si="2311"/>
        <v>0.39359999999999995</v>
      </c>
      <c r="BG353" s="27"/>
      <c r="BH353" s="27"/>
      <c r="BI353" s="27"/>
      <c r="CA353" s="20">
        <f t="shared" si="2312"/>
        <v>290</v>
      </c>
      <c r="CB353" s="20">
        <f t="shared" si="2313"/>
        <v>29000</v>
      </c>
    </row>
    <row r="354" spans="1:80" x14ac:dyDescent="0.15">
      <c r="A354">
        <v>3909</v>
      </c>
      <c r="B354" s="3" t="s">
        <v>132</v>
      </c>
      <c r="C354" s="4" t="s">
        <v>109</v>
      </c>
      <c r="D354" s="4" t="s">
        <v>110</v>
      </c>
      <c r="E354" s="5">
        <v>5</v>
      </c>
      <c r="F354" s="7" t="s">
        <v>140</v>
      </c>
      <c r="G354" s="5">
        <v>3</v>
      </c>
      <c r="H354" s="7" t="s">
        <v>140</v>
      </c>
      <c r="I354" s="5">
        <v>0</v>
      </c>
      <c r="J354" s="7">
        <v>0</v>
      </c>
      <c r="K354">
        <v>6</v>
      </c>
      <c r="L354">
        <v>1.5</v>
      </c>
      <c r="M354" s="5">
        <v>1.5</v>
      </c>
      <c r="N354" s="5">
        <v>10</v>
      </c>
      <c r="O354" s="5">
        <f t="shared" si="2293"/>
        <v>49447</v>
      </c>
      <c r="P354" s="5">
        <f t="shared" si="2294"/>
        <v>266112000</v>
      </c>
      <c r="Q354" s="5">
        <f t="shared" si="2295"/>
        <v>4435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70091</v>
      </c>
      <c r="X354" s="6" t="s">
        <v>187</v>
      </c>
      <c r="Y354" s="5">
        <v>300</v>
      </c>
      <c r="Z354" s="5">
        <v>1</v>
      </c>
      <c r="AA354" s="5">
        <v>51836400</v>
      </c>
      <c r="AB354" s="16" t="s">
        <v>111</v>
      </c>
      <c r="AC354" s="7" t="s">
        <v>112</v>
      </c>
      <c r="AD354" s="7" t="s">
        <v>112</v>
      </c>
      <c r="AE354" s="7" t="s">
        <v>112</v>
      </c>
      <c r="AF354" s="6" t="s">
        <v>113</v>
      </c>
      <c r="AG354" s="26" t="str">
        <f t="shared" ref="AG354" si="2514">CM$12</f>
        <v>4,33,28,33,6,4,33,28,33,6</v>
      </c>
      <c r="AH354" s="26" t="str">
        <f t="shared" ref="AH354" si="2515">CN$12</f>
        <v>0,5,0,5,1,0,5,0,5,1</v>
      </c>
      <c r="AI354" s="26" t="str">
        <f t="shared" ref="AI354" si="2516">CO$12</f>
        <v>0,0,0,0,1,0,0,0,0,1</v>
      </c>
      <c r="AJ354" s="26" t="str">
        <f t="shared" ref="AJ354" si="2517">CP$12</f>
        <v>0,0,0,0,5,0,0,0,0,5</v>
      </c>
      <c r="AK354" s="26" t="str">
        <f t="shared" ref="AK354" si="2518">CQ$12</f>
        <v>100,1,1000,2,5,200,1,1000,2,5</v>
      </c>
      <c r="AL354" s="26" t="str">
        <f t="shared" ref="AL354" si="2519">CR$12</f>
        <v>5,5,5,5,5,5,5,5,5,5</v>
      </c>
      <c r="AM354" s="7">
        <v>2001</v>
      </c>
      <c r="AO354">
        <f t="shared" ref="AO354" si="2520">AQ354*100+9</f>
        <v>3909</v>
      </c>
      <c r="AP354">
        <v>350</v>
      </c>
      <c r="AQ354">
        <f t="shared" si="2303"/>
        <v>39</v>
      </c>
      <c r="AR354" s="17">
        <v>8</v>
      </c>
      <c r="AS354" s="17">
        <f t="shared" si="2384"/>
        <v>270</v>
      </c>
      <c r="AT354" s="17">
        <v>7</v>
      </c>
      <c r="AU354">
        <f t="shared" si="2304"/>
        <v>26</v>
      </c>
      <c r="AV354">
        <v>150</v>
      </c>
      <c r="AW354">
        <f t="shared" si="2305"/>
        <v>49447.157760000009</v>
      </c>
      <c r="AX354">
        <f t="shared" si="2434"/>
        <v>266112000</v>
      </c>
      <c r="AY354">
        <f t="shared" si="2306"/>
        <v>4435.2</v>
      </c>
      <c r="AZ354">
        <f t="shared" si="2307"/>
        <v>8870.4</v>
      </c>
      <c r="BA354">
        <f t="shared" si="2308"/>
        <v>59136.000000000007</v>
      </c>
      <c r="BB354">
        <f t="shared" si="2309"/>
        <v>2217.6</v>
      </c>
      <c r="BC354">
        <f t="shared" si="2435"/>
        <v>266112000</v>
      </c>
      <c r="BD354">
        <f t="shared" si="2310"/>
        <v>0.29411764705882354</v>
      </c>
      <c r="BE354" s="27">
        <f t="shared" si="2436"/>
        <v>210676399.7184</v>
      </c>
      <c r="BF354" s="30">
        <f t="shared" si="2311"/>
        <v>0.39359999999999995</v>
      </c>
      <c r="BG354" s="27"/>
      <c r="BH354" s="27"/>
      <c r="BI354" s="27"/>
      <c r="CA354" s="20">
        <f t="shared" si="2312"/>
        <v>290</v>
      </c>
      <c r="CB354" s="20">
        <f t="shared" si="2313"/>
        <v>29000</v>
      </c>
    </row>
    <row r="355" spans="1:80" x14ac:dyDescent="0.15">
      <c r="A355">
        <v>4001</v>
      </c>
      <c r="B355" s="3" t="s">
        <v>108</v>
      </c>
      <c r="C355" s="4" t="s">
        <v>109</v>
      </c>
      <c r="D355" s="4" t="s">
        <v>110</v>
      </c>
      <c r="E355" s="5">
        <v>3</v>
      </c>
      <c r="F355" s="7" t="s">
        <v>141</v>
      </c>
      <c r="G355" s="5">
        <v>2.5</v>
      </c>
      <c r="H355" s="7" t="s">
        <v>194</v>
      </c>
      <c r="I355" s="5">
        <v>0</v>
      </c>
      <c r="J355" s="5">
        <v>0</v>
      </c>
      <c r="K355">
        <v>2</v>
      </c>
      <c r="L355">
        <v>1.5</v>
      </c>
      <c r="M355" s="5">
        <v>1.5</v>
      </c>
      <c r="N355" s="5">
        <v>10</v>
      </c>
      <c r="O355" s="5">
        <f t="shared" si="2293"/>
        <v>43340</v>
      </c>
      <c r="P355" s="5">
        <f t="shared" si="2294"/>
        <v>232848000</v>
      </c>
      <c r="Q355" s="5">
        <f t="shared" si="2295"/>
        <v>3880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70011</v>
      </c>
      <c r="X355" s="6" t="s">
        <v>179</v>
      </c>
      <c r="Y355" s="5">
        <v>300</v>
      </c>
      <c r="Z355" s="5">
        <v>1</v>
      </c>
      <c r="AA355" s="5">
        <v>53930591</v>
      </c>
      <c r="AB355" s="16" t="s">
        <v>111</v>
      </c>
      <c r="AC355" s="7" t="s">
        <v>112</v>
      </c>
      <c r="AD355" s="7" t="s">
        <v>112</v>
      </c>
      <c r="AE355" s="7" t="s">
        <v>112</v>
      </c>
      <c r="AF355" s="6" t="s">
        <v>113</v>
      </c>
      <c r="AG355" s="26" t="str">
        <f t="shared" ref="AG355" si="2521">CM$4</f>
        <v>4,33,28,33,6,4,33,28,33,6</v>
      </c>
      <c r="AH355" s="26" t="str">
        <f t="shared" ref="AH355" si="2522">CN$4</f>
        <v>0,8,0,8,1,0,8,0,8,1</v>
      </c>
      <c r="AI355" s="26" t="str">
        <f t="shared" ref="AI355" si="2523">CO$4</f>
        <v>0,0,0,0,1,0,0,0,0,1</v>
      </c>
      <c r="AJ355" s="26" t="str">
        <f t="shared" ref="AJ355" si="2524">CP$4</f>
        <v>0,0,0,0,5,0,0,0,0,5</v>
      </c>
      <c r="AK355" s="26" t="str">
        <f t="shared" ref="AK355" si="2525">CQ$4</f>
        <v>100,1,1000,2,5,200,1,1000,2,5</v>
      </c>
      <c r="AL355" s="26" t="str">
        <f t="shared" ref="AL355" si="2526">CR$4</f>
        <v>5,5,5,5,5,5,5,5,5,5</v>
      </c>
      <c r="AM355" s="7">
        <v>2001</v>
      </c>
      <c r="AO355">
        <f t="shared" ref="AO355" si="2527">AQ355*100+1</f>
        <v>4001</v>
      </c>
      <c r="AP355">
        <v>351</v>
      </c>
      <c r="AQ355">
        <f t="shared" si="2303"/>
        <v>40</v>
      </c>
      <c r="AR355" s="17">
        <v>8</v>
      </c>
      <c r="AS355" s="17">
        <f t="shared" si="2384"/>
        <v>235</v>
      </c>
      <c r="AT355" s="17">
        <v>7</v>
      </c>
      <c r="AU355">
        <f t="shared" si="2304"/>
        <v>28</v>
      </c>
      <c r="AV355">
        <v>150</v>
      </c>
      <c r="AW355">
        <f t="shared" si="2305"/>
        <v>43340.774400000002</v>
      </c>
      <c r="AX355">
        <f t="shared" si="2434"/>
        <v>232848000</v>
      </c>
      <c r="AY355">
        <f t="shared" si="2306"/>
        <v>3880.8</v>
      </c>
      <c r="AZ355">
        <f t="shared" si="2307"/>
        <v>7761.6</v>
      </c>
      <c r="BA355">
        <f t="shared" si="2308"/>
        <v>51744.000000000007</v>
      </c>
      <c r="BB355">
        <f t="shared" si="2309"/>
        <v>1940.4</v>
      </c>
      <c r="BC355">
        <f t="shared" si="2435"/>
        <v>232848000</v>
      </c>
      <c r="BD355">
        <f t="shared" si="2310"/>
        <v>0.29411764705882348</v>
      </c>
      <c r="BE355" s="27">
        <f t="shared" si="2436"/>
        <v>161299118.53439999</v>
      </c>
      <c r="BF355" s="30">
        <f t="shared" si="2311"/>
        <v>0.39599999999999996</v>
      </c>
      <c r="BG355" s="27"/>
      <c r="BH355" s="27"/>
      <c r="BI355" s="27"/>
      <c r="CA355" s="20">
        <f t="shared" si="2312"/>
        <v>295</v>
      </c>
      <c r="CB355" s="20">
        <f t="shared" si="2313"/>
        <v>29500</v>
      </c>
    </row>
    <row r="356" spans="1:80" x14ac:dyDescent="0.15">
      <c r="A356">
        <v>4002</v>
      </c>
      <c r="B356" s="3" t="s">
        <v>115</v>
      </c>
      <c r="C356" s="4" t="s">
        <v>109</v>
      </c>
      <c r="D356" s="6" t="s">
        <v>110</v>
      </c>
      <c r="E356" s="5">
        <v>3</v>
      </c>
      <c r="F356" s="7" t="s">
        <v>142</v>
      </c>
      <c r="G356" s="5">
        <v>3</v>
      </c>
      <c r="H356" s="7" t="s">
        <v>188</v>
      </c>
      <c r="I356" s="5">
        <v>0</v>
      </c>
      <c r="J356" s="5">
        <v>0</v>
      </c>
      <c r="K356">
        <v>2</v>
      </c>
      <c r="L356">
        <v>1.5</v>
      </c>
      <c r="M356" s="5">
        <v>1.5</v>
      </c>
      <c r="N356" s="5">
        <v>10</v>
      </c>
      <c r="O356" s="5">
        <f t="shared" si="2293"/>
        <v>44225</v>
      </c>
      <c r="P356" s="5">
        <f t="shared" si="2294"/>
        <v>237600000</v>
      </c>
      <c r="Q356" s="5">
        <f t="shared" si="2295"/>
        <v>3960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70021</v>
      </c>
      <c r="X356" s="6" t="s">
        <v>180</v>
      </c>
      <c r="Y356" s="5">
        <v>300</v>
      </c>
      <c r="Z356" s="5">
        <v>1</v>
      </c>
      <c r="AA356" s="5">
        <v>40142108</v>
      </c>
      <c r="AB356" s="16" t="s">
        <v>111</v>
      </c>
      <c r="AC356" s="7" t="s">
        <v>112</v>
      </c>
      <c r="AD356" s="7" t="s">
        <v>112</v>
      </c>
      <c r="AE356" s="7" t="s">
        <v>112</v>
      </c>
      <c r="AF356" s="6" t="s">
        <v>113</v>
      </c>
      <c r="AG356" s="26" t="str">
        <f t="shared" ref="AG356" si="2528">CM$5</f>
        <v>4,33,28,33,6,4,33,28,33,6</v>
      </c>
      <c r="AH356" s="26" t="str">
        <f t="shared" ref="AH356" si="2529">CN$5</f>
        <v>0,7,0,7,1,0,7,0,7,1</v>
      </c>
      <c r="AI356" s="26" t="str">
        <f t="shared" ref="AI356" si="2530">CO$5</f>
        <v>0,0,0,0,1,0,0,0,0,1</v>
      </c>
      <c r="AJ356" s="26" t="str">
        <f t="shared" ref="AJ356" si="2531">CP$5</f>
        <v>0,0,0,0,5,0,0,0,0,5</v>
      </c>
      <c r="AK356" s="26" t="str">
        <f t="shared" ref="AK356" si="2532">CQ$5</f>
        <v>100,1,1000,2,5,200,1,1000,2,5</v>
      </c>
      <c r="AL356" s="26" t="str">
        <f t="shared" ref="AL356" si="2533">CR$5</f>
        <v>5,5,5,5,5,5,5,5,5,5</v>
      </c>
      <c r="AM356" s="7">
        <v>2001</v>
      </c>
      <c r="AO356">
        <f t="shared" ref="AO356" si="2534">AQ356*100+2</f>
        <v>4002</v>
      </c>
      <c r="AP356">
        <v>352</v>
      </c>
      <c r="AQ356">
        <f t="shared" si="2303"/>
        <v>40</v>
      </c>
      <c r="AR356" s="17">
        <v>8</v>
      </c>
      <c r="AS356" s="17">
        <f t="shared" si="2384"/>
        <v>240</v>
      </c>
      <c r="AT356" s="17">
        <v>7</v>
      </c>
      <c r="AU356">
        <f t="shared" si="2304"/>
        <v>28</v>
      </c>
      <c r="AV356">
        <v>150</v>
      </c>
      <c r="AW356">
        <f t="shared" si="2305"/>
        <v>44225.279999999999</v>
      </c>
      <c r="AX356">
        <f t="shared" si="2434"/>
        <v>237600000</v>
      </c>
      <c r="AY356">
        <f t="shared" si="2306"/>
        <v>3960</v>
      </c>
      <c r="AZ356">
        <f t="shared" si="2307"/>
        <v>7920</v>
      </c>
      <c r="BA356">
        <f t="shared" si="2308"/>
        <v>52800.000000000007</v>
      </c>
      <c r="BB356">
        <f t="shared" si="2309"/>
        <v>1980</v>
      </c>
      <c r="BC356">
        <f t="shared" si="2435"/>
        <v>237600000</v>
      </c>
      <c r="BD356">
        <f t="shared" si="2310"/>
        <v>0.29411764705882354</v>
      </c>
      <c r="BE356" s="27">
        <f t="shared" si="2436"/>
        <v>167949936</v>
      </c>
      <c r="BF356" s="30">
        <f t="shared" si="2311"/>
        <v>0.39599999999999996</v>
      </c>
      <c r="BG356" s="27"/>
      <c r="BH356" s="27"/>
      <c r="BI356" s="27"/>
      <c r="CA356" s="20">
        <f t="shared" si="2312"/>
        <v>295</v>
      </c>
      <c r="CB356" s="20">
        <f t="shared" si="2313"/>
        <v>29500</v>
      </c>
    </row>
    <row r="357" spans="1:80" x14ac:dyDescent="0.15">
      <c r="A357">
        <v>4003</v>
      </c>
      <c r="B357" s="3" t="s">
        <v>117</v>
      </c>
      <c r="C357" s="4" t="s">
        <v>109</v>
      </c>
      <c r="D357" s="4" t="s">
        <v>110</v>
      </c>
      <c r="E357" s="5">
        <v>1</v>
      </c>
      <c r="F357" s="7" t="s">
        <v>144</v>
      </c>
      <c r="G357" s="5">
        <v>3</v>
      </c>
      <c r="H357" s="7" t="s">
        <v>189</v>
      </c>
      <c r="I357" s="5">
        <v>0</v>
      </c>
      <c r="J357" s="2">
        <v>0</v>
      </c>
      <c r="K357">
        <v>6</v>
      </c>
      <c r="L357">
        <v>1.5</v>
      </c>
      <c r="M357" s="5">
        <v>1.5</v>
      </c>
      <c r="N357" s="5">
        <v>10</v>
      </c>
      <c r="O357" s="5">
        <f t="shared" si="2293"/>
        <v>45109</v>
      </c>
      <c r="P357" s="5">
        <f t="shared" si="2294"/>
        <v>242352000</v>
      </c>
      <c r="Q357" s="5">
        <f t="shared" si="2295"/>
        <v>4039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70031</v>
      </c>
      <c r="X357" s="6" t="s">
        <v>181</v>
      </c>
      <c r="Y357" s="5">
        <v>300</v>
      </c>
      <c r="Z357" s="5">
        <v>1</v>
      </c>
      <c r="AA357" s="5">
        <v>41987484</v>
      </c>
      <c r="AB357" s="16" t="s">
        <v>111</v>
      </c>
      <c r="AC357" s="7" t="s">
        <v>112</v>
      </c>
      <c r="AD357" s="7" t="s">
        <v>112</v>
      </c>
      <c r="AE357" s="7" t="s">
        <v>112</v>
      </c>
      <c r="AF357" s="6" t="s">
        <v>113</v>
      </c>
      <c r="AG357" s="26" t="str">
        <f t="shared" ref="AG357" si="2535">CM$6</f>
        <v>4,28,6,28,6,4,28,6,28,6</v>
      </c>
      <c r="AH357" s="26" t="str">
        <f t="shared" ref="AH357" si="2536">CN$6</f>
        <v>0,0,1,0,1,0,0,1,0,1</v>
      </c>
      <c r="AI357" s="26" t="str">
        <f t="shared" ref="AI357" si="2537">CO$6</f>
        <v>0,0,0,0,1,0,0,0,0,1</v>
      </c>
      <c r="AJ357" s="26" t="str">
        <f t="shared" ref="AJ357" si="2538">CP$6</f>
        <v>0,0,5,0,5,0,0,5,0,5</v>
      </c>
      <c r="AK357" s="26" t="str">
        <f t="shared" ref="AK357" si="2539">CQ$6</f>
        <v>100,1000,5,1500,5,200,1000,5,1500,5</v>
      </c>
      <c r="AL357" s="26" t="str">
        <f t="shared" ref="AL357" si="2540">CR$6</f>
        <v>5,5,5,5,5,5,5,5,5,5</v>
      </c>
      <c r="AM357" s="7">
        <v>2001</v>
      </c>
      <c r="AO357">
        <f t="shared" ref="AO357" si="2541">AQ357*100+3</f>
        <v>4003</v>
      </c>
      <c r="AP357">
        <v>353</v>
      </c>
      <c r="AQ357">
        <f t="shared" si="2303"/>
        <v>40</v>
      </c>
      <c r="AR357" s="17">
        <v>8</v>
      </c>
      <c r="AS357" s="17">
        <f t="shared" si="2384"/>
        <v>245</v>
      </c>
      <c r="AT357" s="17">
        <v>7</v>
      </c>
      <c r="AU357">
        <f t="shared" si="2304"/>
        <v>28</v>
      </c>
      <c r="AV357">
        <v>150</v>
      </c>
      <c r="AW357">
        <f t="shared" si="2305"/>
        <v>45109.785600000003</v>
      </c>
      <c r="AX357">
        <f t="shared" si="2434"/>
        <v>242352000.00000006</v>
      </c>
      <c r="AY357">
        <f t="shared" si="2306"/>
        <v>4039.2000000000003</v>
      </c>
      <c r="AZ357">
        <f t="shared" si="2307"/>
        <v>8078.4000000000005</v>
      </c>
      <c r="BA357">
        <f t="shared" si="2308"/>
        <v>53856.000000000007</v>
      </c>
      <c r="BB357">
        <f t="shared" si="2309"/>
        <v>2019.6000000000001</v>
      </c>
      <c r="BC357">
        <f t="shared" si="2435"/>
        <v>242352000.00000006</v>
      </c>
      <c r="BD357">
        <f t="shared" si="2310"/>
        <v>0.29411764705882354</v>
      </c>
      <c r="BE357" s="27">
        <f t="shared" si="2436"/>
        <v>174735113.4144001</v>
      </c>
      <c r="BF357" s="30">
        <f t="shared" si="2311"/>
        <v>0.39599999999999996</v>
      </c>
      <c r="BG357" s="27"/>
      <c r="BH357" s="27"/>
      <c r="BI357" s="27"/>
      <c r="CA357" s="20">
        <f t="shared" si="2312"/>
        <v>295</v>
      </c>
      <c r="CB357" s="20">
        <f t="shared" si="2313"/>
        <v>29500</v>
      </c>
    </row>
    <row r="358" spans="1:80" x14ac:dyDescent="0.15">
      <c r="A358">
        <v>4004</v>
      </c>
      <c r="B358" s="3" t="s">
        <v>119</v>
      </c>
      <c r="C358" s="4" t="s">
        <v>109</v>
      </c>
      <c r="D358" s="6" t="s">
        <v>120</v>
      </c>
      <c r="E358" s="5">
        <v>3</v>
      </c>
      <c r="F358" s="7" t="s">
        <v>145</v>
      </c>
      <c r="G358" s="5">
        <v>3</v>
      </c>
      <c r="H358" s="7" t="s">
        <v>190</v>
      </c>
      <c r="I358" s="5">
        <v>0</v>
      </c>
      <c r="J358" s="5">
        <v>0</v>
      </c>
      <c r="K358">
        <v>2</v>
      </c>
      <c r="L358">
        <v>1.5</v>
      </c>
      <c r="M358" s="5">
        <v>1.5</v>
      </c>
      <c r="N358" s="5">
        <v>10</v>
      </c>
      <c r="O358" s="5">
        <f t="shared" si="2293"/>
        <v>45994</v>
      </c>
      <c r="P358" s="5">
        <f t="shared" si="2294"/>
        <v>247104000</v>
      </c>
      <c r="Q358" s="5">
        <f t="shared" si="2295"/>
        <v>4118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70041</v>
      </c>
      <c r="X358" s="6" t="s">
        <v>182</v>
      </c>
      <c r="Y358" s="5">
        <v>300</v>
      </c>
      <c r="Z358" s="5">
        <v>1</v>
      </c>
      <c r="AA358" s="5">
        <v>43874329</v>
      </c>
      <c r="AB358" s="16" t="s">
        <v>111</v>
      </c>
      <c r="AC358" s="7" t="s">
        <v>112</v>
      </c>
      <c r="AD358" s="7" t="s">
        <v>112</v>
      </c>
      <c r="AE358" s="7" t="s">
        <v>112</v>
      </c>
      <c r="AF358" s="6" t="s">
        <v>113</v>
      </c>
      <c r="AG358" s="26" t="str">
        <f t="shared" ref="AG358" si="2542">CM$7</f>
        <v>4,14,28,14,6,4,14,28,14,6</v>
      </c>
      <c r="AH358" s="26" t="str">
        <f t="shared" ref="AH358" si="2543">CN$7</f>
        <v>0,0,0,0,1,0,0,0,0,1</v>
      </c>
      <c r="AI358" s="26" t="str">
        <f t="shared" ref="AI358" si="2544">CO$7</f>
        <v>0,0,0,0,1,0,0,0,0,1</v>
      </c>
      <c r="AJ358" s="26" t="str">
        <f t="shared" ref="AJ358" si="2545">CP$7</f>
        <v>0,0,0,0,5,0,0,0,0,5</v>
      </c>
      <c r="AK358" s="26" t="str">
        <f t="shared" ref="AK358" si="2546">CQ$7</f>
        <v>100,1,1000,2,5,200,1,1000,2,5</v>
      </c>
      <c r="AL358" s="26" t="str">
        <f t="shared" ref="AL358" si="2547">CR$7</f>
        <v>5,5,5,5,5,5,5,5,5,5</v>
      </c>
      <c r="AM358" s="7">
        <v>2001</v>
      </c>
      <c r="AO358">
        <f t="shared" ref="AO358" si="2548">AQ358*100+4</f>
        <v>4004</v>
      </c>
      <c r="AP358">
        <v>354</v>
      </c>
      <c r="AQ358">
        <f t="shared" si="2303"/>
        <v>40</v>
      </c>
      <c r="AR358" s="17">
        <v>8</v>
      </c>
      <c r="AS358" s="17">
        <f t="shared" si="2384"/>
        <v>250</v>
      </c>
      <c r="AT358" s="17">
        <v>7</v>
      </c>
      <c r="AU358">
        <f t="shared" si="2304"/>
        <v>28</v>
      </c>
      <c r="AV358">
        <v>150</v>
      </c>
      <c r="AW358">
        <f t="shared" si="2305"/>
        <v>45994.2912</v>
      </c>
      <c r="AX358">
        <f t="shared" si="2434"/>
        <v>247104000.00000006</v>
      </c>
      <c r="AY358">
        <f t="shared" si="2306"/>
        <v>4118.4000000000005</v>
      </c>
      <c r="AZ358">
        <f t="shared" si="2307"/>
        <v>8236.8000000000011</v>
      </c>
      <c r="BA358">
        <f t="shared" si="2308"/>
        <v>54912.000000000007</v>
      </c>
      <c r="BB358">
        <f t="shared" si="2309"/>
        <v>2059.2000000000003</v>
      </c>
      <c r="BC358">
        <f t="shared" si="2435"/>
        <v>247104000.00000006</v>
      </c>
      <c r="BD358">
        <f t="shared" si="2310"/>
        <v>0.29411764705882354</v>
      </c>
      <c r="BE358" s="27">
        <f t="shared" si="2436"/>
        <v>181654650.77760008</v>
      </c>
      <c r="BF358" s="30">
        <f t="shared" si="2311"/>
        <v>0.39599999999999996</v>
      </c>
      <c r="BG358" s="27"/>
      <c r="BH358" s="27"/>
      <c r="BI358" s="27"/>
      <c r="CA358" s="20">
        <f t="shared" si="2312"/>
        <v>295</v>
      </c>
      <c r="CB358" s="20">
        <f t="shared" si="2313"/>
        <v>29500</v>
      </c>
    </row>
    <row r="359" spans="1:80" x14ac:dyDescent="0.15">
      <c r="A359">
        <v>4005</v>
      </c>
      <c r="B359" s="3" t="s">
        <v>122</v>
      </c>
      <c r="C359" s="4" t="s">
        <v>109</v>
      </c>
      <c r="D359" s="4" t="s">
        <v>110</v>
      </c>
      <c r="E359" s="5">
        <v>2</v>
      </c>
      <c r="F359" s="7" t="s">
        <v>146</v>
      </c>
      <c r="G359" s="5">
        <v>3</v>
      </c>
      <c r="H359" s="7" t="s">
        <v>191</v>
      </c>
      <c r="I359" s="5">
        <v>0</v>
      </c>
      <c r="J359" s="7" t="s">
        <v>148</v>
      </c>
      <c r="K359">
        <v>6</v>
      </c>
      <c r="L359">
        <v>1.5</v>
      </c>
      <c r="M359" s="5">
        <v>1.5</v>
      </c>
      <c r="N359" s="5">
        <v>10</v>
      </c>
      <c r="O359" s="5">
        <f t="shared" si="2293"/>
        <v>46878</v>
      </c>
      <c r="P359" s="5">
        <f t="shared" si="2294"/>
        <v>251856000</v>
      </c>
      <c r="Q359" s="5">
        <f t="shared" si="2295"/>
        <v>4197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70051</v>
      </c>
      <c r="X359" s="6" t="s">
        <v>183</v>
      </c>
      <c r="Y359" s="5">
        <v>300</v>
      </c>
      <c r="Z359" s="5">
        <v>1</v>
      </c>
      <c r="AA359" s="5">
        <v>45802643</v>
      </c>
      <c r="AB359" s="16" t="s">
        <v>111</v>
      </c>
      <c r="AC359" s="7" t="s">
        <v>112</v>
      </c>
      <c r="AD359" s="7" t="s">
        <v>112</v>
      </c>
      <c r="AE359" s="7" t="s">
        <v>112</v>
      </c>
      <c r="AF359" s="6" t="s">
        <v>113</v>
      </c>
      <c r="AG359" s="26" t="str">
        <f t="shared" ref="AG359" si="2549">CM$8</f>
        <v>4,19,28,19,6,4,19,28,19,6</v>
      </c>
      <c r="AH359" s="26" t="str">
        <f t="shared" ref="AH359" si="2550">CN$8</f>
        <v>0,0,0,0,1,0,0,0,0,1</v>
      </c>
      <c r="AI359" s="26" t="str">
        <f t="shared" ref="AI359" si="2551">CO$8</f>
        <v>0,0,0,0,1,0,0,0,0,1</v>
      </c>
      <c r="AJ359" s="26" t="str">
        <f t="shared" ref="AJ359" si="2552">CP$8</f>
        <v>0,0,0,0,5,0,0,0,0,5</v>
      </c>
      <c r="AK359" s="26" t="str">
        <f t="shared" ref="AK359" si="2553">CQ$8</f>
        <v>200,100,1000,200,5,200,100,1000,200,5</v>
      </c>
      <c r="AL359" s="26" t="str">
        <f t="shared" ref="AL359" si="2554">CR$8</f>
        <v>5,5,5,5,5,5,5,5,5,5</v>
      </c>
      <c r="AM359" s="7">
        <v>2001</v>
      </c>
      <c r="AO359">
        <f t="shared" ref="AO359" si="2555">AQ359*100+5</f>
        <v>4005</v>
      </c>
      <c r="AP359">
        <v>355</v>
      </c>
      <c r="AQ359">
        <f t="shared" si="2303"/>
        <v>40</v>
      </c>
      <c r="AR359" s="17">
        <v>8</v>
      </c>
      <c r="AS359" s="17">
        <f t="shared" si="2384"/>
        <v>255</v>
      </c>
      <c r="AT359" s="17">
        <v>7</v>
      </c>
      <c r="AU359">
        <f t="shared" si="2304"/>
        <v>28</v>
      </c>
      <c r="AV359">
        <v>150</v>
      </c>
      <c r="AW359">
        <f t="shared" si="2305"/>
        <v>46878.796800000004</v>
      </c>
      <c r="AX359">
        <f t="shared" si="2434"/>
        <v>251856000.00000006</v>
      </c>
      <c r="AY359">
        <f t="shared" si="2306"/>
        <v>4197.6000000000004</v>
      </c>
      <c r="AZ359">
        <f t="shared" si="2307"/>
        <v>8395.2000000000007</v>
      </c>
      <c r="BA359">
        <f t="shared" si="2308"/>
        <v>55968.000000000007</v>
      </c>
      <c r="BB359">
        <f t="shared" si="2309"/>
        <v>2098.8000000000002</v>
      </c>
      <c r="BC359">
        <f t="shared" si="2435"/>
        <v>251856000.00000006</v>
      </c>
      <c r="BD359">
        <f t="shared" si="2310"/>
        <v>0.29411764705882348</v>
      </c>
      <c r="BE359" s="27">
        <f t="shared" si="2436"/>
        <v>188708548.08960006</v>
      </c>
      <c r="BF359" s="30">
        <f t="shared" si="2311"/>
        <v>0.39599999999999996</v>
      </c>
      <c r="BG359" s="27"/>
      <c r="BH359" s="27"/>
      <c r="BI359" s="27"/>
      <c r="CA359" s="20">
        <f t="shared" si="2312"/>
        <v>295</v>
      </c>
      <c r="CB359" s="20">
        <f t="shared" si="2313"/>
        <v>29500</v>
      </c>
    </row>
    <row r="360" spans="1:80" x14ac:dyDescent="0.15">
      <c r="A360">
        <v>4006</v>
      </c>
      <c r="B360" s="3" t="s">
        <v>124</v>
      </c>
      <c r="C360" s="4" t="s">
        <v>109</v>
      </c>
      <c r="D360" s="6" t="s">
        <v>120</v>
      </c>
      <c r="E360" s="5">
        <v>1</v>
      </c>
      <c r="F360" s="7" t="s">
        <v>147</v>
      </c>
      <c r="G360" s="5">
        <v>3</v>
      </c>
      <c r="H360" s="7" t="s">
        <v>192</v>
      </c>
      <c r="I360" s="5">
        <v>0</v>
      </c>
      <c r="J360" s="7" t="s">
        <v>149</v>
      </c>
      <c r="K360">
        <v>6</v>
      </c>
      <c r="L360">
        <v>1.5</v>
      </c>
      <c r="M360" s="5">
        <v>1.5</v>
      </c>
      <c r="N360" s="5">
        <v>10</v>
      </c>
      <c r="O360" s="5">
        <f t="shared" si="2293"/>
        <v>47763</v>
      </c>
      <c r="P360" s="5">
        <f t="shared" si="2294"/>
        <v>256608000</v>
      </c>
      <c r="Q360" s="5">
        <f t="shared" si="2295"/>
        <v>4276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70061</v>
      </c>
      <c r="X360" s="6" t="s">
        <v>184</v>
      </c>
      <c r="Y360" s="5">
        <v>300</v>
      </c>
      <c r="Z360" s="5">
        <v>1</v>
      </c>
      <c r="AA360" s="5">
        <v>47772426</v>
      </c>
      <c r="AB360" s="16" t="s">
        <v>111</v>
      </c>
      <c r="AC360" s="7" t="s">
        <v>112</v>
      </c>
      <c r="AD360" s="7" t="s">
        <v>112</v>
      </c>
      <c r="AE360" s="7" t="s">
        <v>112</v>
      </c>
      <c r="AF360" s="6" t="s">
        <v>113</v>
      </c>
      <c r="AG360" s="26" t="str">
        <f t="shared" ref="AG360" si="2556">CM$9</f>
        <v>4,33,28,33,6,4,33,28,33,6</v>
      </c>
      <c r="AH360" s="26" t="str">
        <f t="shared" ref="AH360" si="2557">CN$9</f>
        <v>0,6,0,6,1,0,6,0,6,1</v>
      </c>
      <c r="AI360" s="26" t="str">
        <f t="shared" ref="AI360" si="2558">CO$9</f>
        <v>0,0,0,0,1,0,0,0,0,1</v>
      </c>
      <c r="AJ360" s="26" t="str">
        <f t="shared" ref="AJ360" si="2559">CP$9</f>
        <v>0,0,0,0,5,0,0,0,0,5</v>
      </c>
      <c r="AK360" s="26" t="str">
        <f t="shared" ref="AK360" si="2560">CQ$9</f>
        <v>200,1,1000,2,5,200,1,1000,2,5</v>
      </c>
      <c r="AL360" s="26" t="str">
        <f t="shared" ref="AL360" si="2561">CR$9</f>
        <v>5,5,5,5,5,5,5,5,5,5</v>
      </c>
      <c r="AM360" s="7">
        <v>2001</v>
      </c>
      <c r="AO360">
        <f t="shared" ref="AO360" si="2562">AQ360*100+6</f>
        <v>4006</v>
      </c>
      <c r="AP360">
        <v>356</v>
      </c>
      <c r="AQ360">
        <f t="shared" si="2303"/>
        <v>40</v>
      </c>
      <c r="AR360" s="17">
        <v>8</v>
      </c>
      <c r="AS360" s="17">
        <f t="shared" si="2384"/>
        <v>260</v>
      </c>
      <c r="AT360" s="17">
        <v>7</v>
      </c>
      <c r="AU360">
        <f t="shared" si="2304"/>
        <v>28</v>
      </c>
      <c r="AV360">
        <v>150</v>
      </c>
      <c r="AW360">
        <f t="shared" si="2305"/>
        <v>47763.3024</v>
      </c>
      <c r="AX360">
        <f t="shared" si="2434"/>
        <v>256608000</v>
      </c>
      <c r="AY360">
        <f t="shared" si="2306"/>
        <v>4276.8</v>
      </c>
      <c r="AZ360">
        <f t="shared" si="2307"/>
        <v>8553.6</v>
      </c>
      <c r="BA360">
        <f t="shared" si="2308"/>
        <v>57024.000000000007</v>
      </c>
      <c r="BB360">
        <f t="shared" si="2309"/>
        <v>2138.4</v>
      </c>
      <c r="BC360">
        <f t="shared" si="2435"/>
        <v>256608000</v>
      </c>
      <c r="BD360">
        <f t="shared" si="2310"/>
        <v>0.29411764705882348</v>
      </c>
      <c r="BE360" s="27">
        <f t="shared" si="2436"/>
        <v>195896805.3504</v>
      </c>
      <c r="BF360" s="30">
        <f t="shared" si="2311"/>
        <v>0.39599999999999996</v>
      </c>
      <c r="BG360" s="27"/>
      <c r="BH360" s="27"/>
      <c r="BI360" s="27"/>
      <c r="CA360" s="20">
        <f t="shared" si="2312"/>
        <v>295</v>
      </c>
      <c r="CB360" s="20">
        <f t="shared" si="2313"/>
        <v>29500</v>
      </c>
    </row>
    <row r="361" spans="1:80" x14ac:dyDescent="0.15">
      <c r="A361">
        <v>4007</v>
      </c>
      <c r="B361" s="3" t="s">
        <v>126</v>
      </c>
      <c r="C361" s="4" t="s">
        <v>109</v>
      </c>
      <c r="D361" s="4" t="s">
        <v>110</v>
      </c>
      <c r="E361" s="5">
        <v>2</v>
      </c>
      <c r="F361" s="7" t="s">
        <v>143</v>
      </c>
      <c r="G361" s="5">
        <v>3</v>
      </c>
      <c r="H361" s="7" t="s">
        <v>193</v>
      </c>
      <c r="I361" s="5">
        <v>0</v>
      </c>
      <c r="J361" s="5">
        <v>0</v>
      </c>
      <c r="K361">
        <v>2</v>
      </c>
      <c r="L361">
        <v>1.5</v>
      </c>
      <c r="M361" s="5">
        <v>1.5</v>
      </c>
      <c r="N361" s="5">
        <v>10</v>
      </c>
      <c r="O361" s="5">
        <f t="shared" si="2293"/>
        <v>48647</v>
      </c>
      <c r="P361" s="5">
        <f t="shared" si="2294"/>
        <v>261360000</v>
      </c>
      <c r="Q361" s="5">
        <f t="shared" si="2295"/>
        <v>4356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70071</v>
      </c>
      <c r="X361" s="6" t="s">
        <v>185</v>
      </c>
      <c r="Y361" s="5">
        <v>300</v>
      </c>
      <c r="Z361" s="5">
        <v>1</v>
      </c>
      <c r="AA361" s="5">
        <v>49783679</v>
      </c>
      <c r="AB361" s="16" t="s">
        <v>111</v>
      </c>
      <c r="AC361" s="7" t="s">
        <v>112</v>
      </c>
      <c r="AD361" s="7" t="s">
        <v>112</v>
      </c>
      <c r="AE361" s="7" t="s">
        <v>112</v>
      </c>
      <c r="AF361" s="6" t="s">
        <v>113</v>
      </c>
      <c r="AG361" s="26" t="str">
        <f t="shared" ref="AG361" si="2563">CM$10</f>
        <v>4,14,28,14,6,4,14,28,14,6</v>
      </c>
      <c r="AH361" s="26" t="str">
        <f t="shared" ref="AH361" si="2564">CN$10</f>
        <v>0,0,0,0,1,0,0,0,0,1</v>
      </c>
      <c r="AI361" s="26" t="str">
        <f t="shared" ref="AI361" si="2565">CO$10</f>
        <v>0,0,0,0,1,0,0,0,0,1</v>
      </c>
      <c r="AJ361" s="26" t="str">
        <f t="shared" ref="AJ361" si="2566">CP$10</f>
        <v>0,0,0,0,5,0,0,0,0,5</v>
      </c>
      <c r="AK361" s="26" t="str">
        <f t="shared" ref="AK361" si="2567">CQ$10</f>
        <v>200,1,1000,2,5,200,1,1000,2,5</v>
      </c>
      <c r="AL361" s="26" t="str">
        <f t="shared" ref="AL361" si="2568">CR$10</f>
        <v>5,5,5,5,5,5,5,5,5,5</v>
      </c>
      <c r="AM361" s="7">
        <v>2001</v>
      </c>
      <c r="AO361">
        <f t="shared" ref="AO361" si="2569">AQ361*100+7</f>
        <v>4007</v>
      </c>
      <c r="AP361">
        <v>357</v>
      </c>
      <c r="AQ361">
        <f t="shared" si="2303"/>
        <v>40</v>
      </c>
      <c r="AR361" s="17">
        <v>8</v>
      </c>
      <c r="AS361" s="17">
        <f t="shared" si="2384"/>
        <v>265</v>
      </c>
      <c r="AT361" s="17">
        <v>7</v>
      </c>
      <c r="AU361">
        <f t="shared" si="2304"/>
        <v>28</v>
      </c>
      <c r="AV361">
        <v>150</v>
      </c>
      <c r="AW361">
        <f t="shared" si="2305"/>
        <v>48647.807999999997</v>
      </c>
      <c r="AX361">
        <f t="shared" si="2434"/>
        <v>261360000</v>
      </c>
      <c r="AY361">
        <f t="shared" si="2306"/>
        <v>4356</v>
      </c>
      <c r="AZ361">
        <f t="shared" si="2307"/>
        <v>8712</v>
      </c>
      <c r="BA361">
        <f t="shared" si="2308"/>
        <v>58080.000000000007</v>
      </c>
      <c r="BB361">
        <f t="shared" si="2309"/>
        <v>2178</v>
      </c>
      <c r="BC361">
        <f t="shared" si="2435"/>
        <v>261360000</v>
      </c>
      <c r="BD361">
        <f t="shared" si="2310"/>
        <v>0.29411764705882354</v>
      </c>
      <c r="BE361" s="27">
        <f t="shared" si="2436"/>
        <v>203219422.56</v>
      </c>
      <c r="BF361" s="30">
        <f t="shared" si="2311"/>
        <v>0.39599999999999996</v>
      </c>
      <c r="BG361" s="27"/>
      <c r="BH361" s="27"/>
      <c r="BI361" s="27"/>
      <c r="CA361" s="20">
        <f t="shared" si="2312"/>
        <v>295</v>
      </c>
      <c r="CB361" s="20">
        <f t="shared" si="2313"/>
        <v>29500</v>
      </c>
    </row>
    <row r="362" spans="1:80" x14ac:dyDescent="0.15">
      <c r="A362">
        <v>4008</v>
      </c>
      <c r="B362" s="3" t="s">
        <v>128</v>
      </c>
      <c r="C362" s="4" t="s">
        <v>109</v>
      </c>
      <c r="D362" s="4" t="s">
        <v>110</v>
      </c>
      <c r="E362" s="5">
        <v>5</v>
      </c>
      <c r="F362" s="7" t="s">
        <v>129</v>
      </c>
      <c r="G362" s="5">
        <v>2</v>
      </c>
      <c r="H362" s="7" t="s">
        <v>130</v>
      </c>
      <c r="I362" s="5">
        <v>0</v>
      </c>
      <c r="J362" s="5">
        <v>0</v>
      </c>
      <c r="K362">
        <v>2</v>
      </c>
      <c r="L362">
        <v>1.5</v>
      </c>
      <c r="M362" s="5">
        <v>1.5</v>
      </c>
      <c r="N362" s="5">
        <v>10</v>
      </c>
      <c r="O362" s="5">
        <f t="shared" si="2293"/>
        <v>49532</v>
      </c>
      <c r="P362" s="5">
        <f t="shared" si="2294"/>
        <v>266112000</v>
      </c>
      <c r="Q362" s="5">
        <f t="shared" si="2295"/>
        <v>4435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70081</v>
      </c>
      <c r="X362" s="6" t="s">
        <v>186</v>
      </c>
      <c r="Y362" s="5">
        <v>300</v>
      </c>
      <c r="Z362" s="5">
        <v>1</v>
      </c>
      <c r="AA362" s="5">
        <v>51836400</v>
      </c>
      <c r="AB362" s="16" t="s">
        <v>111</v>
      </c>
      <c r="AC362" s="7" t="s">
        <v>112</v>
      </c>
      <c r="AD362" s="7" t="s">
        <v>112</v>
      </c>
      <c r="AE362" s="7" t="s">
        <v>112</v>
      </c>
      <c r="AF362" s="6" t="s">
        <v>113</v>
      </c>
      <c r="AG362" s="26" t="str">
        <f t="shared" ref="AG362" si="2570">CM$11</f>
        <v>4,28,6,28,6,4,28,6,28,6</v>
      </c>
      <c r="AH362" s="26" t="str">
        <f t="shared" ref="AH362" si="2571">CN$11</f>
        <v>0,0,1,0,1,0,0,1,0,1</v>
      </c>
      <c r="AI362" s="26" t="str">
        <f t="shared" ref="AI362" si="2572">CO$11</f>
        <v>0,0,1,0,1,0,0,1,0,1</v>
      </c>
      <c r="AJ362" s="26" t="str">
        <f t="shared" ref="AJ362" si="2573">CP$11</f>
        <v>0,0,5,0,5,0,0,5,0,5</v>
      </c>
      <c r="AK362" s="26" t="str">
        <f t="shared" ref="AK362" si="2574">CQ$11</f>
        <v>100,1000,5,1500,5,200,1000,5,1500,5</v>
      </c>
      <c r="AL362" s="26" t="str">
        <f t="shared" ref="AL362" si="2575">CR$11</f>
        <v>5,5,5,5,5,5,5,5,5,5</v>
      </c>
      <c r="AM362" s="7">
        <v>2001</v>
      </c>
      <c r="AO362">
        <f t="shared" ref="AO362" si="2576">AQ362*100+8</f>
        <v>4008</v>
      </c>
      <c r="AP362">
        <v>358</v>
      </c>
      <c r="AQ362">
        <f t="shared" si="2303"/>
        <v>40</v>
      </c>
      <c r="AR362" s="17">
        <v>8</v>
      </c>
      <c r="AS362" s="17">
        <f t="shared" si="2384"/>
        <v>270</v>
      </c>
      <c r="AT362" s="17">
        <v>7</v>
      </c>
      <c r="AU362">
        <f t="shared" si="2304"/>
        <v>28</v>
      </c>
      <c r="AV362">
        <v>150</v>
      </c>
      <c r="AW362">
        <f t="shared" si="2305"/>
        <v>49532.313600000001</v>
      </c>
      <c r="AX362">
        <f t="shared" si="2434"/>
        <v>266112000</v>
      </c>
      <c r="AY362">
        <f t="shared" si="2306"/>
        <v>4435.2</v>
      </c>
      <c r="AZ362">
        <f t="shared" si="2307"/>
        <v>8870.4</v>
      </c>
      <c r="BA362">
        <f t="shared" si="2308"/>
        <v>59136.000000000007</v>
      </c>
      <c r="BB362">
        <f t="shared" si="2309"/>
        <v>2217.6</v>
      </c>
      <c r="BC362">
        <f t="shared" si="2435"/>
        <v>266112000</v>
      </c>
      <c r="BD362">
        <f t="shared" si="2310"/>
        <v>0.29411764705882354</v>
      </c>
      <c r="BE362" s="27">
        <f t="shared" si="2436"/>
        <v>210676399.7184</v>
      </c>
      <c r="BF362" s="30">
        <f t="shared" si="2311"/>
        <v>0.39599999999999996</v>
      </c>
      <c r="BG362" s="27"/>
      <c r="BH362" s="27"/>
      <c r="BI362" s="27"/>
      <c r="CA362" s="20">
        <f t="shared" si="2312"/>
        <v>295</v>
      </c>
      <c r="CB362" s="20">
        <f t="shared" si="2313"/>
        <v>29500</v>
      </c>
    </row>
    <row r="363" spans="1:80" x14ac:dyDescent="0.15">
      <c r="A363">
        <v>4009</v>
      </c>
      <c r="B363" s="3" t="s">
        <v>132</v>
      </c>
      <c r="C363" s="4" t="s">
        <v>109</v>
      </c>
      <c r="D363" s="4" t="s">
        <v>110</v>
      </c>
      <c r="E363" s="5">
        <v>5</v>
      </c>
      <c r="F363" s="7" t="s">
        <v>140</v>
      </c>
      <c r="G363" s="5">
        <v>3</v>
      </c>
      <c r="H363" s="7" t="s">
        <v>140</v>
      </c>
      <c r="I363" s="5">
        <v>0</v>
      </c>
      <c r="J363" s="7">
        <v>0</v>
      </c>
      <c r="K363">
        <v>6</v>
      </c>
      <c r="L363">
        <v>1.5</v>
      </c>
      <c r="M363" s="5">
        <v>1.5</v>
      </c>
      <c r="N363" s="5">
        <v>10</v>
      </c>
      <c r="O363" s="5">
        <f t="shared" si="2293"/>
        <v>50416</v>
      </c>
      <c r="P363" s="5">
        <f t="shared" si="2294"/>
        <v>270864000</v>
      </c>
      <c r="Q363" s="5">
        <f t="shared" si="2295"/>
        <v>4514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70091</v>
      </c>
      <c r="X363" s="6" t="s">
        <v>187</v>
      </c>
      <c r="Y363" s="5">
        <v>300</v>
      </c>
      <c r="Z363" s="5">
        <v>1</v>
      </c>
      <c r="AA363" s="5">
        <v>53930591</v>
      </c>
      <c r="AB363" s="16" t="s">
        <v>111</v>
      </c>
      <c r="AC363" s="7" t="s">
        <v>112</v>
      </c>
      <c r="AD363" s="7" t="s">
        <v>112</v>
      </c>
      <c r="AE363" s="7" t="s">
        <v>112</v>
      </c>
      <c r="AF363" s="6" t="s">
        <v>113</v>
      </c>
      <c r="AG363" s="26" t="str">
        <f t="shared" ref="AG363" si="2577">CM$12</f>
        <v>4,33,28,33,6,4,33,28,33,6</v>
      </c>
      <c r="AH363" s="26" t="str">
        <f t="shared" ref="AH363" si="2578">CN$12</f>
        <v>0,5,0,5,1,0,5,0,5,1</v>
      </c>
      <c r="AI363" s="26" t="str">
        <f t="shared" ref="AI363" si="2579">CO$12</f>
        <v>0,0,0,0,1,0,0,0,0,1</v>
      </c>
      <c r="AJ363" s="26" t="str">
        <f t="shared" ref="AJ363" si="2580">CP$12</f>
        <v>0,0,0,0,5,0,0,0,0,5</v>
      </c>
      <c r="AK363" s="26" t="str">
        <f t="shared" ref="AK363" si="2581">CQ$12</f>
        <v>100,1,1000,2,5,200,1,1000,2,5</v>
      </c>
      <c r="AL363" s="26" t="str">
        <f t="shared" ref="AL363" si="2582">CR$12</f>
        <v>5,5,5,5,5,5,5,5,5,5</v>
      </c>
      <c r="AM363" s="7">
        <v>2001</v>
      </c>
      <c r="AO363">
        <f t="shared" ref="AO363" si="2583">AQ363*100+9</f>
        <v>4009</v>
      </c>
      <c r="AP363">
        <v>359</v>
      </c>
      <c r="AQ363">
        <f t="shared" si="2303"/>
        <v>40</v>
      </c>
      <c r="AR363" s="17">
        <v>8</v>
      </c>
      <c r="AS363" s="17">
        <f t="shared" si="2384"/>
        <v>275</v>
      </c>
      <c r="AT363" s="17">
        <v>7</v>
      </c>
      <c r="AU363">
        <f t="shared" si="2304"/>
        <v>28</v>
      </c>
      <c r="AV363">
        <v>150</v>
      </c>
      <c r="AW363">
        <f t="shared" si="2305"/>
        <v>50416.819200000005</v>
      </c>
      <c r="AX363">
        <f t="shared" si="2434"/>
        <v>270864000.00000006</v>
      </c>
      <c r="AY363">
        <f t="shared" si="2306"/>
        <v>4514.4000000000005</v>
      </c>
      <c r="AZ363">
        <f t="shared" si="2307"/>
        <v>9028.8000000000011</v>
      </c>
      <c r="BA363">
        <f t="shared" si="2308"/>
        <v>60192.000000000007</v>
      </c>
      <c r="BB363">
        <f t="shared" si="2309"/>
        <v>2257.2000000000003</v>
      </c>
      <c r="BC363">
        <f t="shared" si="2435"/>
        <v>270864000.00000006</v>
      </c>
      <c r="BD363">
        <f t="shared" si="2310"/>
        <v>0.29411764705882354</v>
      </c>
      <c r="BE363" s="27">
        <f t="shared" si="2436"/>
        <v>218267736.82560009</v>
      </c>
      <c r="BF363" s="30">
        <f t="shared" si="2311"/>
        <v>0.39599999999999996</v>
      </c>
      <c r="BG363" s="27"/>
      <c r="BH363" s="27"/>
      <c r="BI363" s="27"/>
      <c r="CA363" s="20">
        <f t="shared" si="2312"/>
        <v>295</v>
      </c>
      <c r="CB363" s="20">
        <f t="shared" si="2313"/>
        <v>29500</v>
      </c>
    </row>
    <row r="364" spans="1:80" x14ac:dyDescent="0.15">
      <c r="A364">
        <v>4101</v>
      </c>
      <c r="B364" s="3" t="s">
        <v>108</v>
      </c>
      <c r="C364" s="4" t="s">
        <v>109</v>
      </c>
      <c r="D364" s="4" t="s">
        <v>110</v>
      </c>
      <c r="E364" s="5">
        <v>3</v>
      </c>
      <c r="F364" s="7" t="s">
        <v>141</v>
      </c>
      <c r="G364" s="5">
        <v>2.5</v>
      </c>
      <c r="H364" s="7" t="s">
        <v>194</v>
      </c>
      <c r="I364" s="5">
        <v>0</v>
      </c>
      <c r="J364" s="5">
        <v>0</v>
      </c>
      <c r="K364">
        <v>2</v>
      </c>
      <c r="L364">
        <v>1.5</v>
      </c>
      <c r="M364" s="5">
        <v>1.5</v>
      </c>
      <c r="N364" s="5">
        <v>10</v>
      </c>
      <c r="O364" s="5">
        <f t="shared" si="2293"/>
        <v>48328</v>
      </c>
      <c r="P364" s="5">
        <f t="shared" si="2294"/>
        <v>266400000</v>
      </c>
      <c r="Q364" s="5">
        <f t="shared" si="2295"/>
        <v>4440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70011</v>
      </c>
      <c r="X364" s="6" t="s">
        <v>179</v>
      </c>
      <c r="Y364" s="5">
        <v>300</v>
      </c>
      <c r="Z364" s="5">
        <v>1</v>
      </c>
      <c r="AA364" s="5">
        <v>66723471</v>
      </c>
      <c r="AB364" s="16" t="s">
        <v>111</v>
      </c>
      <c r="AC364" s="7" t="s">
        <v>112</v>
      </c>
      <c r="AD364" s="7" t="s">
        <v>112</v>
      </c>
      <c r="AE364" s="7" t="s">
        <v>112</v>
      </c>
      <c r="AF364" s="6" t="s">
        <v>113</v>
      </c>
      <c r="AG364" s="26" t="str">
        <f t="shared" ref="AG364" si="2584">CM$4</f>
        <v>4,33,28,33,6,4,33,28,33,6</v>
      </c>
      <c r="AH364" s="26" t="str">
        <f t="shared" ref="AH364" si="2585">CN$4</f>
        <v>0,8,0,8,1,0,8,0,8,1</v>
      </c>
      <c r="AI364" s="26" t="str">
        <f t="shared" ref="AI364" si="2586">CO$4</f>
        <v>0,0,0,0,1,0,0,0,0,1</v>
      </c>
      <c r="AJ364" s="26" t="str">
        <f t="shared" ref="AJ364" si="2587">CP$4</f>
        <v>0,0,0,0,5,0,0,0,0,5</v>
      </c>
      <c r="AK364" s="26" t="str">
        <f t="shared" ref="AK364" si="2588">CQ$4</f>
        <v>100,1,1000,2,5,200,1,1000,2,5</v>
      </c>
      <c r="AL364" s="26" t="str">
        <f t="shared" ref="AL364" si="2589">CR$4</f>
        <v>5,5,5,5,5,5,5,5,5,5</v>
      </c>
      <c r="AM364" s="7">
        <v>2001</v>
      </c>
      <c r="AO364">
        <f t="shared" ref="AO364" si="2590">AQ364*100+1</f>
        <v>4101</v>
      </c>
      <c r="AP364">
        <v>360</v>
      </c>
      <c r="AQ364">
        <f t="shared" si="2303"/>
        <v>41</v>
      </c>
      <c r="AR364">
        <v>9</v>
      </c>
      <c r="AS364" s="17">
        <f t="shared" si="2384"/>
        <v>240</v>
      </c>
      <c r="AT364">
        <v>8</v>
      </c>
      <c r="AU364">
        <f t="shared" si="2304"/>
        <v>28</v>
      </c>
      <c r="AV364">
        <v>150</v>
      </c>
      <c r="AW364">
        <f t="shared" si="2305"/>
        <v>48328.703999999991</v>
      </c>
      <c r="AX364">
        <f t="shared" si="2434"/>
        <v>266400000</v>
      </c>
      <c r="AY364">
        <f t="shared" si="2306"/>
        <v>4440</v>
      </c>
      <c r="AZ364">
        <f t="shared" si="2307"/>
        <v>8880</v>
      </c>
      <c r="BA364">
        <f t="shared" si="2308"/>
        <v>57599.999999999993</v>
      </c>
      <c r="BB364">
        <f t="shared" si="2309"/>
        <v>2220</v>
      </c>
      <c r="BC364">
        <f t="shared" si="2435"/>
        <v>266400000</v>
      </c>
      <c r="BD364">
        <f t="shared" si="2310"/>
        <v>0.29411764705882354</v>
      </c>
      <c r="BE364" s="27">
        <f t="shared" si="2436"/>
        <v>211132656</v>
      </c>
      <c r="BF364" s="30">
        <f t="shared" si="2311"/>
        <v>0.39839999999999998</v>
      </c>
      <c r="BG364" s="27"/>
      <c r="BH364" s="27"/>
      <c r="BI364" s="27"/>
      <c r="CA364" s="20">
        <f t="shared" si="2312"/>
        <v>300</v>
      </c>
      <c r="CB364" s="20">
        <f t="shared" si="2313"/>
        <v>30000</v>
      </c>
    </row>
    <row r="365" spans="1:80" x14ac:dyDescent="0.15">
      <c r="A365">
        <v>4102</v>
      </c>
      <c r="B365" s="3" t="s">
        <v>115</v>
      </c>
      <c r="C365" s="4" t="s">
        <v>109</v>
      </c>
      <c r="D365" s="6" t="s">
        <v>110</v>
      </c>
      <c r="E365" s="5">
        <v>3</v>
      </c>
      <c r="F365" s="7" t="s">
        <v>142</v>
      </c>
      <c r="G365" s="5">
        <v>3</v>
      </c>
      <c r="H365" s="7" t="s">
        <v>188</v>
      </c>
      <c r="I365" s="5">
        <v>0</v>
      </c>
      <c r="J365" s="5">
        <v>0</v>
      </c>
      <c r="K365">
        <v>2</v>
      </c>
      <c r="L365">
        <v>1.5</v>
      </c>
      <c r="M365" s="5">
        <v>1.5</v>
      </c>
      <c r="N365" s="5">
        <v>10</v>
      </c>
      <c r="O365" s="5">
        <f t="shared" si="2293"/>
        <v>49295</v>
      </c>
      <c r="P365" s="5">
        <f t="shared" si="2294"/>
        <v>271728000</v>
      </c>
      <c r="Q365" s="5">
        <f t="shared" si="2295"/>
        <v>4528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70021</v>
      </c>
      <c r="X365" s="6" t="s">
        <v>180</v>
      </c>
      <c r="Y365" s="5">
        <v>300</v>
      </c>
      <c r="Z365" s="5">
        <v>1</v>
      </c>
      <c r="AA365" s="5">
        <v>49968576</v>
      </c>
      <c r="AB365" s="16" t="s">
        <v>111</v>
      </c>
      <c r="AC365" s="7" t="s">
        <v>112</v>
      </c>
      <c r="AD365" s="7" t="s">
        <v>112</v>
      </c>
      <c r="AE365" s="7" t="s">
        <v>112</v>
      </c>
      <c r="AF365" s="6" t="s">
        <v>113</v>
      </c>
      <c r="AG365" s="26" t="str">
        <f t="shared" ref="AG365" si="2591">CM$5</f>
        <v>4,33,28,33,6,4,33,28,33,6</v>
      </c>
      <c r="AH365" s="26" t="str">
        <f t="shared" ref="AH365" si="2592">CN$5</f>
        <v>0,7,0,7,1,0,7,0,7,1</v>
      </c>
      <c r="AI365" s="26" t="str">
        <f t="shared" ref="AI365" si="2593">CO$5</f>
        <v>0,0,0,0,1,0,0,0,0,1</v>
      </c>
      <c r="AJ365" s="26" t="str">
        <f t="shared" ref="AJ365" si="2594">CP$5</f>
        <v>0,0,0,0,5,0,0,0,0,5</v>
      </c>
      <c r="AK365" s="26" t="str">
        <f t="shared" ref="AK365" si="2595">CQ$5</f>
        <v>100,1,1000,2,5,200,1,1000,2,5</v>
      </c>
      <c r="AL365" s="26" t="str">
        <f t="shared" ref="AL365" si="2596">CR$5</f>
        <v>5,5,5,5,5,5,5,5,5,5</v>
      </c>
      <c r="AM365" s="7">
        <v>2001</v>
      </c>
      <c r="AO365">
        <f t="shared" ref="AO365" si="2597">AQ365*100+2</f>
        <v>4102</v>
      </c>
      <c r="AP365">
        <v>361</v>
      </c>
      <c r="AQ365">
        <f t="shared" si="2303"/>
        <v>41</v>
      </c>
      <c r="AR365">
        <v>9</v>
      </c>
      <c r="AS365" s="17">
        <f t="shared" si="2384"/>
        <v>245</v>
      </c>
      <c r="AT365">
        <v>8</v>
      </c>
      <c r="AU365">
        <f t="shared" si="2304"/>
        <v>28</v>
      </c>
      <c r="AV365">
        <v>150</v>
      </c>
      <c r="AW365">
        <f t="shared" si="2305"/>
        <v>49295.278079999996</v>
      </c>
      <c r="AX365">
        <f t="shared" si="2434"/>
        <v>271728000</v>
      </c>
      <c r="AY365">
        <f t="shared" si="2306"/>
        <v>4528.8</v>
      </c>
      <c r="AZ365">
        <f t="shared" si="2307"/>
        <v>9057.6</v>
      </c>
      <c r="BA365">
        <f t="shared" si="2308"/>
        <v>58751.999999999993</v>
      </c>
      <c r="BB365">
        <f t="shared" si="2309"/>
        <v>2264.4</v>
      </c>
      <c r="BC365">
        <f t="shared" si="2435"/>
        <v>271728000</v>
      </c>
      <c r="BD365">
        <f t="shared" si="2310"/>
        <v>0.29411764705882348</v>
      </c>
      <c r="BE365" s="27">
        <f t="shared" si="2436"/>
        <v>219662415.30239996</v>
      </c>
      <c r="BF365" s="30">
        <f t="shared" si="2311"/>
        <v>0.39839999999999998</v>
      </c>
      <c r="BG365" s="27"/>
      <c r="BH365" s="27"/>
      <c r="BI365" s="27"/>
      <c r="CA365" s="20">
        <f t="shared" si="2312"/>
        <v>300</v>
      </c>
      <c r="CB365" s="20">
        <f t="shared" si="2313"/>
        <v>30000</v>
      </c>
    </row>
    <row r="366" spans="1:80" x14ac:dyDescent="0.15">
      <c r="A366">
        <v>4103</v>
      </c>
      <c r="B366" s="3" t="s">
        <v>117</v>
      </c>
      <c r="C366" s="4" t="s">
        <v>109</v>
      </c>
      <c r="D366" s="4" t="s">
        <v>110</v>
      </c>
      <c r="E366" s="5">
        <v>1</v>
      </c>
      <c r="F366" s="7" t="s">
        <v>144</v>
      </c>
      <c r="G366" s="5">
        <v>3</v>
      </c>
      <c r="H366" s="7" t="s">
        <v>189</v>
      </c>
      <c r="I366" s="5">
        <v>0</v>
      </c>
      <c r="J366" s="2">
        <v>0</v>
      </c>
      <c r="K366">
        <v>6</v>
      </c>
      <c r="L366">
        <v>1.5</v>
      </c>
      <c r="M366" s="5">
        <v>1.5</v>
      </c>
      <c r="N366" s="5">
        <v>10</v>
      </c>
      <c r="O366" s="5">
        <f t="shared" si="2293"/>
        <v>50261</v>
      </c>
      <c r="P366" s="5">
        <f t="shared" si="2294"/>
        <v>277056000</v>
      </c>
      <c r="Q366" s="5">
        <f t="shared" si="2295"/>
        <v>4617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70031</v>
      </c>
      <c r="X366" s="6" t="s">
        <v>181</v>
      </c>
      <c r="Y366" s="5">
        <v>300</v>
      </c>
      <c r="Z366" s="5">
        <v>1</v>
      </c>
      <c r="AA366" s="5">
        <v>52214077</v>
      </c>
      <c r="AB366" s="16" t="s">
        <v>111</v>
      </c>
      <c r="AC366" s="7" t="s">
        <v>112</v>
      </c>
      <c r="AD366" s="7" t="s">
        <v>112</v>
      </c>
      <c r="AE366" s="7" t="s">
        <v>112</v>
      </c>
      <c r="AF366" s="6" t="s">
        <v>113</v>
      </c>
      <c r="AG366" s="26" t="str">
        <f t="shared" ref="AG366" si="2598">CM$6</f>
        <v>4,28,6,28,6,4,28,6,28,6</v>
      </c>
      <c r="AH366" s="26" t="str">
        <f t="shared" ref="AH366" si="2599">CN$6</f>
        <v>0,0,1,0,1,0,0,1,0,1</v>
      </c>
      <c r="AI366" s="26" t="str">
        <f t="shared" ref="AI366" si="2600">CO$6</f>
        <v>0,0,0,0,1,0,0,0,0,1</v>
      </c>
      <c r="AJ366" s="26" t="str">
        <f t="shared" ref="AJ366" si="2601">CP$6</f>
        <v>0,0,5,0,5,0,0,5,0,5</v>
      </c>
      <c r="AK366" s="26" t="str">
        <f t="shared" ref="AK366" si="2602">CQ$6</f>
        <v>100,1000,5,1500,5,200,1000,5,1500,5</v>
      </c>
      <c r="AL366" s="26" t="str">
        <f t="shared" ref="AL366" si="2603">CR$6</f>
        <v>5,5,5,5,5,5,5,5,5,5</v>
      </c>
      <c r="AM366" s="7">
        <v>2001</v>
      </c>
      <c r="AO366">
        <f t="shared" ref="AO366" si="2604">AQ366*100+3</f>
        <v>4103</v>
      </c>
      <c r="AP366">
        <v>362</v>
      </c>
      <c r="AQ366">
        <f t="shared" si="2303"/>
        <v>41</v>
      </c>
      <c r="AR366">
        <v>9</v>
      </c>
      <c r="AS366" s="17">
        <f t="shared" si="2384"/>
        <v>250</v>
      </c>
      <c r="AT366">
        <v>8</v>
      </c>
      <c r="AU366">
        <f t="shared" si="2304"/>
        <v>28</v>
      </c>
      <c r="AV366">
        <v>150</v>
      </c>
      <c r="AW366">
        <f t="shared" si="2305"/>
        <v>50261.852159999995</v>
      </c>
      <c r="AX366">
        <f t="shared" si="2434"/>
        <v>277056000</v>
      </c>
      <c r="AY366">
        <f t="shared" si="2306"/>
        <v>4617.6000000000004</v>
      </c>
      <c r="AZ366">
        <f t="shared" si="2307"/>
        <v>9235.2000000000007</v>
      </c>
      <c r="BA366">
        <f t="shared" si="2308"/>
        <v>59903.999999999993</v>
      </c>
      <c r="BB366">
        <f t="shared" si="2309"/>
        <v>2308.8000000000002</v>
      </c>
      <c r="BC366">
        <f t="shared" si="2435"/>
        <v>277056000</v>
      </c>
      <c r="BD366">
        <f t="shared" si="2310"/>
        <v>0.29411764705882348</v>
      </c>
      <c r="BE366" s="27">
        <f t="shared" si="2436"/>
        <v>228361080.72960001</v>
      </c>
      <c r="BF366" s="30">
        <f t="shared" si="2311"/>
        <v>0.39839999999999998</v>
      </c>
      <c r="BG366" s="27"/>
      <c r="BH366" s="27"/>
      <c r="BI366" s="27"/>
      <c r="CA366" s="20">
        <f t="shared" si="2312"/>
        <v>300</v>
      </c>
      <c r="CB366" s="20">
        <f t="shared" si="2313"/>
        <v>30000</v>
      </c>
    </row>
    <row r="367" spans="1:80" x14ac:dyDescent="0.15">
      <c r="A367">
        <v>4104</v>
      </c>
      <c r="B367" s="3" t="s">
        <v>119</v>
      </c>
      <c r="C367" s="4" t="s">
        <v>109</v>
      </c>
      <c r="D367" s="6" t="s">
        <v>120</v>
      </c>
      <c r="E367" s="5">
        <v>3</v>
      </c>
      <c r="F367" s="7" t="s">
        <v>145</v>
      </c>
      <c r="G367" s="5">
        <v>3</v>
      </c>
      <c r="H367" s="7" t="s">
        <v>190</v>
      </c>
      <c r="I367" s="5">
        <v>0</v>
      </c>
      <c r="J367" s="5">
        <v>0</v>
      </c>
      <c r="K367">
        <v>2</v>
      </c>
      <c r="L367">
        <v>1.5</v>
      </c>
      <c r="M367" s="5">
        <v>1.5</v>
      </c>
      <c r="N367" s="5">
        <v>10</v>
      </c>
      <c r="O367" s="5">
        <f t="shared" si="2293"/>
        <v>51228</v>
      </c>
      <c r="P367" s="5">
        <f t="shared" si="2294"/>
        <v>282384000</v>
      </c>
      <c r="Q367" s="5">
        <f t="shared" si="2295"/>
        <v>4706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70041</v>
      </c>
      <c r="X367" s="6" t="s">
        <v>182</v>
      </c>
      <c r="Y367" s="5">
        <v>300</v>
      </c>
      <c r="Z367" s="5">
        <v>1</v>
      </c>
      <c r="AA367" s="5">
        <v>54508931</v>
      </c>
      <c r="AB367" s="16" t="s">
        <v>111</v>
      </c>
      <c r="AC367" s="7" t="s">
        <v>112</v>
      </c>
      <c r="AD367" s="7" t="s">
        <v>112</v>
      </c>
      <c r="AE367" s="7" t="s">
        <v>112</v>
      </c>
      <c r="AF367" s="6" t="s">
        <v>113</v>
      </c>
      <c r="AG367" s="26" t="str">
        <f t="shared" ref="AG367" si="2605">CM$7</f>
        <v>4,14,28,14,6,4,14,28,14,6</v>
      </c>
      <c r="AH367" s="26" t="str">
        <f t="shared" ref="AH367" si="2606">CN$7</f>
        <v>0,0,0,0,1,0,0,0,0,1</v>
      </c>
      <c r="AI367" s="26" t="str">
        <f t="shared" ref="AI367" si="2607">CO$7</f>
        <v>0,0,0,0,1,0,0,0,0,1</v>
      </c>
      <c r="AJ367" s="26" t="str">
        <f t="shared" ref="AJ367" si="2608">CP$7</f>
        <v>0,0,0,0,5,0,0,0,0,5</v>
      </c>
      <c r="AK367" s="26" t="str">
        <f t="shared" ref="AK367" si="2609">CQ$7</f>
        <v>100,1,1000,2,5,200,1,1000,2,5</v>
      </c>
      <c r="AL367" s="26" t="str">
        <f t="shared" ref="AL367" si="2610">CR$7</f>
        <v>5,5,5,5,5,5,5,5,5,5</v>
      </c>
      <c r="AM367" s="7">
        <v>2001</v>
      </c>
      <c r="AO367">
        <f t="shared" ref="AO367" si="2611">AQ367*100+4</f>
        <v>4104</v>
      </c>
      <c r="AP367">
        <v>363</v>
      </c>
      <c r="AQ367">
        <f t="shared" si="2303"/>
        <v>41</v>
      </c>
      <c r="AR367">
        <v>9</v>
      </c>
      <c r="AS367" s="17">
        <f t="shared" si="2384"/>
        <v>255</v>
      </c>
      <c r="AT367">
        <v>8</v>
      </c>
      <c r="AU367">
        <f t="shared" si="2304"/>
        <v>28</v>
      </c>
      <c r="AV367">
        <v>150</v>
      </c>
      <c r="AW367">
        <f t="shared" si="2305"/>
        <v>51228.426239999993</v>
      </c>
      <c r="AX367">
        <f t="shared" si="2434"/>
        <v>282384000.00000006</v>
      </c>
      <c r="AY367">
        <f t="shared" si="2306"/>
        <v>4706.4000000000005</v>
      </c>
      <c r="AZ367">
        <f t="shared" si="2307"/>
        <v>9412.8000000000011</v>
      </c>
      <c r="BA367">
        <f t="shared" si="2308"/>
        <v>61055.999999999993</v>
      </c>
      <c r="BB367">
        <f t="shared" si="2309"/>
        <v>2353.2000000000003</v>
      </c>
      <c r="BC367">
        <f t="shared" si="2435"/>
        <v>282384000.00000006</v>
      </c>
      <c r="BD367">
        <f t="shared" si="2310"/>
        <v>0.29411764705882354</v>
      </c>
      <c r="BE367" s="27">
        <f t="shared" si="2436"/>
        <v>237228652.28160012</v>
      </c>
      <c r="BF367" s="30">
        <f t="shared" si="2311"/>
        <v>0.39839999999999998</v>
      </c>
      <c r="BG367" s="27"/>
      <c r="BH367" s="27"/>
      <c r="BI367" s="27"/>
      <c r="CA367" s="20">
        <f t="shared" si="2312"/>
        <v>300</v>
      </c>
      <c r="CB367" s="20">
        <f t="shared" si="2313"/>
        <v>30000</v>
      </c>
    </row>
    <row r="368" spans="1:80" x14ac:dyDescent="0.15">
      <c r="A368">
        <v>4105</v>
      </c>
      <c r="B368" s="3" t="s">
        <v>122</v>
      </c>
      <c r="C368" s="4" t="s">
        <v>109</v>
      </c>
      <c r="D368" s="4" t="s">
        <v>110</v>
      </c>
      <c r="E368" s="5">
        <v>2</v>
      </c>
      <c r="F368" s="7" t="s">
        <v>146</v>
      </c>
      <c r="G368" s="5">
        <v>3</v>
      </c>
      <c r="H368" s="7" t="s">
        <v>191</v>
      </c>
      <c r="I368" s="5">
        <v>0</v>
      </c>
      <c r="J368" s="7" t="s">
        <v>148</v>
      </c>
      <c r="K368">
        <v>6</v>
      </c>
      <c r="L368">
        <v>1.5</v>
      </c>
      <c r="M368" s="5">
        <v>1.5</v>
      </c>
      <c r="N368" s="5">
        <v>10</v>
      </c>
      <c r="O368" s="5">
        <f t="shared" si="2293"/>
        <v>52195</v>
      </c>
      <c r="P368" s="5">
        <f t="shared" si="2294"/>
        <v>287712000</v>
      </c>
      <c r="Q368" s="5">
        <f t="shared" si="2295"/>
        <v>4795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70051</v>
      </c>
      <c r="X368" s="6" t="s">
        <v>183</v>
      </c>
      <c r="Y368" s="5">
        <v>300</v>
      </c>
      <c r="Z368" s="5">
        <v>1</v>
      </c>
      <c r="AA368" s="5">
        <v>56853135</v>
      </c>
      <c r="AB368" s="16" t="s">
        <v>111</v>
      </c>
      <c r="AC368" s="7" t="s">
        <v>112</v>
      </c>
      <c r="AD368" s="7" t="s">
        <v>112</v>
      </c>
      <c r="AE368" s="7" t="s">
        <v>112</v>
      </c>
      <c r="AF368" s="6" t="s">
        <v>113</v>
      </c>
      <c r="AG368" s="26" t="str">
        <f t="shared" ref="AG368" si="2612">CM$8</f>
        <v>4,19,28,19,6,4,19,28,19,6</v>
      </c>
      <c r="AH368" s="26" t="str">
        <f t="shared" ref="AH368" si="2613">CN$8</f>
        <v>0,0,0,0,1,0,0,0,0,1</v>
      </c>
      <c r="AI368" s="26" t="str">
        <f t="shared" ref="AI368" si="2614">CO$8</f>
        <v>0,0,0,0,1,0,0,0,0,1</v>
      </c>
      <c r="AJ368" s="26" t="str">
        <f t="shared" ref="AJ368" si="2615">CP$8</f>
        <v>0,0,0,0,5,0,0,0,0,5</v>
      </c>
      <c r="AK368" s="26" t="str">
        <f t="shared" ref="AK368" si="2616">CQ$8</f>
        <v>200,100,1000,200,5,200,100,1000,200,5</v>
      </c>
      <c r="AL368" s="26" t="str">
        <f t="shared" ref="AL368" si="2617">CR$8</f>
        <v>5,5,5,5,5,5,5,5,5,5</v>
      </c>
      <c r="AM368" s="7">
        <v>2001</v>
      </c>
      <c r="AO368">
        <f t="shared" ref="AO368" si="2618">AQ368*100+5</f>
        <v>4105</v>
      </c>
      <c r="AP368">
        <v>364</v>
      </c>
      <c r="AQ368">
        <f t="shared" si="2303"/>
        <v>41</v>
      </c>
      <c r="AR368">
        <v>9</v>
      </c>
      <c r="AS368" s="17">
        <f t="shared" si="2384"/>
        <v>260</v>
      </c>
      <c r="AT368">
        <v>8</v>
      </c>
      <c r="AU368">
        <f t="shared" si="2304"/>
        <v>28</v>
      </c>
      <c r="AV368">
        <v>150</v>
      </c>
      <c r="AW368">
        <f t="shared" si="2305"/>
        <v>52195.000319999999</v>
      </c>
      <c r="AX368">
        <f t="shared" si="2434"/>
        <v>287712000</v>
      </c>
      <c r="AY368">
        <f t="shared" si="2306"/>
        <v>4795.2</v>
      </c>
      <c r="AZ368">
        <f t="shared" si="2307"/>
        <v>9590.4</v>
      </c>
      <c r="BA368">
        <f t="shared" si="2308"/>
        <v>62207.999999999993</v>
      </c>
      <c r="BB368">
        <f t="shared" si="2309"/>
        <v>2397.6</v>
      </c>
      <c r="BC368">
        <f t="shared" si="2435"/>
        <v>287712000</v>
      </c>
      <c r="BD368">
        <f t="shared" si="2310"/>
        <v>0.29411764705882354</v>
      </c>
      <c r="BE368" s="27">
        <f t="shared" si="2436"/>
        <v>246265129.95840001</v>
      </c>
      <c r="BF368" s="30">
        <f t="shared" si="2311"/>
        <v>0.39839999999999998</v>
      </c>
      <c r="BG368" s="27"/>
      <c r="BH368" s="27"/>
      <c r="BI368" s="27"/>
      <c r="CA368" s="20">
        <f t="shared" si="2312"/>
        <v>300</v>
      </c>
      <c r="CB368" s="20">
        <f t="shared" si="2313"/>
        <v>30000</v>
      </c>
    </row>
    <row r="369" spans="1:80" x14ac:dyDescent="0.15">
      <c r="A369">
        <v>4106</v>
      </c>
      <c r="B369" s="3" t="s">
        <v>124</v>
      </c>
      <c r="C369" s="4" t="s">
        <v>109</v>
      </c>
      <c r="D369" s="6" t="s">
        <v>120</v>
      </c>
      <c r="E369" s="5">
        <v>1</v>
      </c>
      <c r="F369" s="7" t="s">
        <v>147</v>
      </c>
      <c r="G369" s="5">
        <v>3</v>
      </c>
      <c r="H369" s="7" t="s">
        <v>192</v>
      </c>
      <c r="I369" s="5">
        <v>0</v>
      </c>
      <c r="J369" s="7" t="s">
        <v>149</v>
      </c>
      <c r="K369">
        <v>6</v>
      </c>
      <c r="L369">
        <v>1.5</v>
      </c>
      <c r="M369" s="5">
        <v>1.5</v>
      </c>
      <c r="N369" s="5">
        <v>10</v>
      </c>
      <c r="O369" s="5">
        <f t="shared" si="2293"/>
        <v>53161</v>
      </c>
      <c r="P369" s="5">
        <f t="shared" si="2294"/>
        <v>293040000</v>
      </c>
      <c r="Q369" s="5">
        <f t="shared" si="2295"/>
        <v>4884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70061</v>
      </c>
      <c r="X369" s="6" t="s">
        <v>184</v>
      </c>
      <c r="Y369" s="5">
        <v>300</v>
      </c>
      <c r="Z369" s="5">
        <v>1</v>
      </c>
      <c r="AA369" s="5">
        <v>59246692</v>
      </c>
      <c r="AB369" s="16" t="s">
        <v>111</v>
      </c>
      <c r="AC369" s="7" t="s">
        <v>112</v>
      </c>
      <c r="AD369" s="7" t="s">
        <v>112</v>
      </c>
      <c r="AE369" s="7" t="s">
        <v>112</v>
      </c>
      <c r="AF369" s="6" t="s">
        <v>113</v>
      </c>
      <c r="AG369" s="26" t="str">
        <f t="shared" ref="AG369" si="2619">CM$9</f>
        <v>4,33,28,33,6,4,33,28,33,6</v>
      </c>
      <c r="AH369" s="26" t="str">
        <f t="shared" ref="AH369" si="2620">CN$9</f>
        <v>0,6,0,6,1,0,6,0,6,1</v>
      </c>
      <c r="AI369" s="26" t="str">
        <f t="shared" ref="AI369" si="2621">CO$9</f>
        <v>0,0,0,0,1,0,0,0,0,1</v>
      </c>
      <c r="AJ369" s="26" t="str">
        <f t="shared" ref="AJ369" si="2622">CP$9</f>
        <v>0,0,0,0,5,0,0,0,0,5</v>
      </c>
      <c r="AK369" s="26" t="str">
        <f t="shared" ref="AK369" si="2623">CQ$9</f>
        <v>200,1,1000,2,5,200,1,1000,2,5</v>
      </c>
      <c r="AL369" s="26" t="str">
        <f t="shared" ref="AL369" si="2624">CR$9</f>
        <v>5,5,5,5,5,5,5,5,5,5</v>
      </c>
      <c r="AM369" s="7">
        <v>2001</v>
      </c>
      <c r="AO369">
        <f t="shared" ref="AO369" si="2625">AQ369*100+6</f>
        <v>4106</v>
      </c>
      <c r="AP369">
        <v>365</v>
      </c>
      <c r="AQ369">
        <f t="shared" si="2303"/>
        <v>41</v>
      </c>
      <c r="AR369">
        <v>9</v>
      </c>
      <c r="AS369" s="17">
        <f t="shared" si="2384"/>
        <v>265</v>
      </c>
      <c r="AT369">
        <v>8</v>
      </c>
      <c r="AU369">
        <f t="shared" si="2304"/>
        <v>28</v>
      </c>
      <c r="AV369">
        <v>150</v>
      </c>
      <c r="AW369">
        <f t="shared" si="2305"/>
        <v>53161.57439999999</v>
      </c>
      <c r="AX369">
        <f t="shared" si="2434"/>
        <v>293040000</v>
      </c>
      <c r="AY369">
        <f t="shared" si="2306"/>
        <v>4884</v>
      </c>
      <c r="AZ369">
        <f t="shared" si="2307"/>
        <v>9768</v>
      </c>
      <c r="BA369">
        <f t="shared" si="2308"/>
        <v>63359.999999999993</v>
      </c>
      <c r="BB369">
        <f t="shared" si="2309"/>
        <v>2442</v>
      </c>
      <c r="BC369">
        <f t="shared" si="2435"/>
        <v>293040000</v>
      </c>
      <c r="BD369">
        <f t="shared" si="2310"/>
        <v>0.29411764705882354</v>
      </c>
      <c r="BE369" s="27">
        <f t="shared" si="2436"/>
        <v>255470513.76000008</v>
      </c>
      <c r="BF369" s="30">
        <f t="shared" si="2311"/>
        <v>0.39839999999999998</v>
      </c>
      <c r="BG369" s="27"/>
      <c r="BH369" s="27"/>
      <c r="BI369" s="27"/>
      <c r="CA369" s="20">
        <f t="shared" si="2312"/>
        <v>300</v>
      </c>
      <c r="CB369" s="20">
        <f t="shared" si="2313"/>
        <v>30000</v>
      </c>
    </row>
    <row r="370" spans="1:80" x14ac:dyDescent="0.15">
      <c r="A370">
        <v>4107</v>
      </c>
      <c r="B370" s="3" t="s">
        <v>126</v>
      </c>
      <c r="C370" s="4" t="s">
        <v>109</v>
      </c>
      <c r="D370" s="4" t="s">
        <v>110</v>
      </c>
      <c r="E370" s="5">
        <v>2</v>
      </c>
      <c r="F370" s="7" t="s">
        <v>143</v>
      </c>
      <c r="G370" s="5">
        <v>3</v>
      </c>
      <c r="H370" s="7" t="s">
        <v>193</v>
      </c>
      <c r="I370" s="5">
        <v>0</v>
      </c>
      <c r="J370" s="5">
        <v>0</v>
      </c>
      <c r="K370">
        <v>2</v>
      </c>
      <c r="L370">
        <v>1.5</v>
      </c>
      <c r="M370" s="5">
        <v>1.5</v>
      </c>
      <c r="N370" s="5">
        <v>10</v>
      </c>
      <c r="O370" s="5">
        <f t="shared" si="2293"/>
        <v>54128</v>
      </c>
      <c r="P370" s="5">
        <f t="shared" si="2294"/>
        <v>298368000</v>
      </c>
      <c r="Q370" s="5">
        <f t="shared" si="2295"/>
        <v>4972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70071</v>
      </c>
      <c r="X370" s="6" t="s">
        <v>185</v>
      </c>
      <c r="Y370" s="5">
        <v>300</v>
      </c>
      <c r="Z370" s="5">
        <v>1</v>
      </c>
      <c r="AA370" s="5">
        <v>61689600</v>
      </c>
      <c r="AB370" s="16" t="s">
        <v>111</v>
      </c>
      <c r="AC370" s="7" t="s">
        <v>112</v>
      </c>
      <c r="AD370" s="7" t="s">
        <v>112</v>
      </c>
      <c r="AE370" s="7" t="s">
        <v>112</v>
      </c>
      <c r="AF370" s="6" t="s">
        <v>113</v>
      </c>
      <c r="AG370" s="26" t="str">
        <f t="shared" ref="AG370" si="2626">CM$10</f>
        <v>4,14,28,14,6,4,14,28,14,6</v>
      </c>
      <c r="AH370" s="26" t="str">
        <f t="shared" ref="AH370" si="2627">CN$10</f>
        <v>0,0,0,0,1,0,0,0,0,1</v>
      </c>
      <c r="AI370" s="26" t="str">
        <f t="shared" ref="AI370" si="2628">CO$10</f>
        <v>0,0,0,0,1,0,0,0,0,1</v>
      </c>
      <c r="AJ370" s="26" t="str">
        <f t="shared" ref="AJ370" si="2629">CP$10</f>
        <v>0,0,0,0,5,0,0,0,0,5</v>
      </c>
      <c r="AK370" s="26" t="str">
        <f t="shared" ref="AK370" si="2630">CQ$10</f>
        <v>200,1,1000,2,5,200,1,1000,2,5</v>
      </c>
      <c r="AL370" s="26" t="str">
        <f t="shared" ref="AL370" si="2631">CR$10</f>
        <v>5,5,5,5,5,5,5,5,5,5</v>
      </c>
      <c r="AM370" s="7">
        <v>2001</v>
      </c>
      <c r="AO370">
        <f t="shared" ref="AO370" si="2632">AQ370*100+7</f>
        <v>4107</v>
      </c>
      <c r="AP370">
        <v>366</v>
      </c>
      <c r="AQ370">
        <f t="shared" si="2303"/>
        <v>41</v>
      </c>
      <c r="AR370">
        <v>9</v>
      </c>
      <c r="AS370" s="17">
        <f t="shared" si="2384"/>
        <v>270</v>
      </c>
      <c r="AT370">
        <v>8</v>
      </c>
      <c r="AU370">
        <f t="shared" si="2304"/>
        <v>28</v>
      </c>
      <c r="AV370">
        <v>150</v>
      </c>
      <c r="AW370">
        <f t="shared" si="2305"/>
        <v>54128.148479999996</v>
      </c>
      <c r="AX370">
        <f t="shared" si="2434"/>
        <v>298368000</v>
      </c>
      <c r="AY370">
        <f t="shared" si="2306"/>
        <v>4972.8</v>
      </c>
      <c r="AZ370">
        <f t="shared" si="2307"/>
        <v>9945.6</v>
      </c>
      <c r="BA370">
        <f t="shared" si="2308"/>
        <v>64511.999999999993</v>
      </c>
      <c r="BB370">
        <f t="shared" si="2309"/>
        <v>2486.4</v>
      </c>
      <c r="BC370">
        <f t="shared" si="2435"/>
        <v>298368000</v>
      </c>
      <c r="BD370">
        <f t="shared" si="2310"/>
        <v>0.29411764705882348</v>
      </c>
      <c r="BE370" s="27">
        <f t="shared" si="2436"/>
        <v>264844803.68640003</v>
      </c>
      <c r="BF370" s="30">
        <f t="shared" si="2311"/>
        <v>0.39839999999999998</v>
      </c>
      <c r="BG370" s="27"/>
      <c r="BH370" s="27"/>
      <c r="BI370" s="27"/>
      <c r="CA370" s="20">
        <f t="shared" si="2312"/>
        <v>300</v>
      </c>
      <c r="CB370" s="20">
        <f t="shared" si="2313"/>
        <v>30000</v>
      </c>
    </row>
    <row r="371" spans="1:80" x14ac:dyDescent="0.15">
      <c r="A371">
        <v>4108</v>
      </c>
      <c r="B371" s="3" t="s">
        <v>128</v>
      </c>
      <c r="C371" s="4" t="s">
        <v>109</v>
      </c>
      <c r="D371" s="4" t="s">
        <v>110</v>
      </c>
      <c r="E371" s="5">
        <v>5</v>
      </c>
      <c r="F371" s="7" t="s">
        <v>129</v>
      </c>
      <c r="G371" s="5">
        <v>2</v>
      </c>
      <c r="H371" s="7" t="s">
        <v>130</v>
      </c>
      <c r="I371" s="5">
        <v>0</v>
      </c>
      <c r="J371" s="5">
        <v>0</v>
      </c>
      <c r="K371">
        <v>2</v>
      </c>
      <c r="L371">
        <v>1.5</v>
      </c>
      <c r="M371" s="5">
        <v>1.5</v>
      </c>
      <c r="N371" s="5">
        <v>10</v>
      </c>
      <c r="O371" s="5">
        <f t="shared" si="2293"/>
        <v>55094</v>
      </c>
      <c r="P371" s="5">
        <f t="shared" si="2294"/>
        <v>303696000</v>
      </c>
      <c r="Q371" s="5">
        <f t="shared" si="2295"/>
        <v>5061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70081</v>
      </c>
      <c r="X371" s="6" t="s">
        <v>186</v>
      </c>
      <c r="Y371" s="5">
        <v>300</v>
      </c>
      <c r="Z371" s="5">
        <v>1</v>
      </c>
      <c r="AA371" s="5">
        <v>64181860</v>
      </c>
      <c r="AB371" s="16" t="s">
        <v>111</v>
      </c>
      <c r="AC371" s="7" t="s">
        <v>112</v>
      </c>
      <c r="AD371" s="7" t="s">
        <v>112</v>
      </c>
      <c r="AE371" s="7" t="s">
        <v>112</v>
      </c>
      <c r="AF371" s="6" t="s">
        <v>113</v>
      </c>
      <c r="AG371" s="26" t="str">
        <f t="shared" ref="AG371" si="2633">CM$11</f>
        <v>4,28,6,28,6,4,28,6,28,6</v>
      </c>
      <c r="AH371" s="26" t="str">
        <f t="shared" ref="AH371" si="2634">CN$11</f>
        <v>0,0,1,0,1,0,0,1,0,1</v>
      </c>
      <c r="AI371" s="26" t="str">
        <f t="shared" ref="AI371" si="2635">CO$11</f>
        <v>0,0,1,0,1,0,0,1,0,1</v>
      </c>
      <c r="AJ371" s="26" t="str">
        <f t="shared" ref="AJ371" si="2636">CP$11</f>
        <v>0,0,5,0,5,0,0,5,0,5</v>
      </c>
      <c r="AK371" s="26" t="str">
        <f t="shared" ref="AK371" si="2637">CQ$11</f>
        <v>100,1000,5,1500,5,200,1000,5,1500,5</v>
      </c>
      <c r="AL371" s="26" t="str">
        <f t="shared" ref="AL371" si="2638">CR$11</f>
        <v>5,5,5,5,5,5,5,5,5,5</v>
      </c>
      <c r="AM371" s="7">
        <v>2001</v>
      </c>
      <c r="AO371">
        <f t="shared" ref="AO371" si="2639">AQ371*100+8</f>
        <v>4108</v>
      </c>
      <c r="AP371">
        <v>367</v>
      </c>
      <c r="AQ371">
        <f t="shared" si="2303"/>
        <v>41</v>
      </c>
      <c r="AR371">
        <v>9</v>
      </c>
      <c r="AS371" s="17">
        <f t="shared" si="2384"/>
        <v>275</v>
      </c>
      <c r="AT371">
        <v>8</v>
      </c>
      <c r="AU371">
        <f t="shared" si="2304"/>
        <v>28</v>
      </c>
      <c r="AV371">
        <v>150</v>
      </c>
      <c r="AW371">
        <f t="shared" si="2305"/>
        <v>55094.722560000002</v>
      </c>
      <c r="AX371">
        <f t="shared" si="2434"/>
        <v>303696000</v>
      </c>
      <c r="AY371">
        <f t="shared" si="2306"/>
        <v>5061.6000000000004</v>
      </c>
      <c r="AZ371">
        <f t="shared" si="2307"/>
        <v>10123.200000000001</v>
      </c>
      <c r="BA371">
        <f t="shared" si="2308"/>
        <v>65664</v>
      </c>
      <c r="BB371">
        <f t="shared" si="2309"/>
        <v>2530.8000000000002</v>
      </c>
      <c r="BC371">
        <f t="shared" si="2435"/>
        <v>303696000</v>
      </c>
      <c r="BD371">
        <f t="shared" si="2310"/>
        <v>0.29411764705882348</v>
      </c>
      <c r="BE371" s="27">
        <f t="shared" si="2436"/>
        <v>274387999.73760003</v>
      </c>
      <c r="BF371" s="30">
        <f t="shared" si="2311"/>
        <v>0.39839999999999998</v>
      </c>
      <c r="BG371" s="27"/>
      <c r="BH371" s="27"/>
      <c r="BI371" s="27"/>
      <c r="CA371" s="20">
        <f t="shared" si="2312"/>
        <v>300</v>
      </c>
      <c r="CB371" s="20">
        <f t="shared" si="2313"/>
        <v>30000</v>
      </c>
    </row>
    <row r="372" spans="1:80" x14ac:dyDescent="0.15">
      <c r="A372">
        <v>4109</v>
      </c>
      <c r="B372" s="3" t="s">
        <v>132</v>
      </c>
      <c r="C372" s="4" t="s">
        <v>109</v>
      </c>
      <c r="D372" s="4" t="s">
        <v>110</v>
      </c>
      <c r="E372" s="5">
        <v>5</v>
      </c>
      <c r="F372" s="7" t="s">
        <v>140</v>
      </c>
      <c r="G372" s="5">
        <v>3</v>
      </c>
      <c r="H372" s="7" t="s">
        <v>140</v>
      </c>
      <c r="I372" s="5">
        <v>0</v>
      </c>
      <c r="J372" s="7">
        <v>0</v>
      </c>
      <c r="K372">
        <v>6</v>
      </c>
      <c r="L372">
        <v>1.5</v>
      </c>
      <c r="M372" s="5">
        <v>1.5</v>
      </c>
      <c r="N372" s="5">
        <v>10</v>
      </c>
      <c r="O372" s="5">
        <f t="shared" si="2293"/>
        <v>56061</v>
      </c>
      <c r="P372" s="5">
        <f t="shared" si="2294"/>
        <v>309024000</v>
      </c>
      <c r="Q372" s="5">
        <f t="shared" si="2295"/>
        <v>5150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70091</v>
      </c>
      <c r="X372" s="6" t="s">
        <v>187</v>
      </c>
      <c r="Y372" s="5">
        <v>300</v>
      </c>
      <c r="Z372" s="5">
        <v>1</v>
      </c>
      <c r="AA372" s="5">
        <v>66723471</v>
      </c>
      <c r="AB372" s="16" t="s">
        <v>111</v>
      </c>
      <c r="AC372" s="7" t="s">
        <v>112</v>
      </c>
      <c r="AD372" s="7" t="s">
        <v>112</v>
      </c>
      <c r="AE372" s="7" t="s">
        <v>112</v>
      </c>
      <c r="AF372" s="6" t="s">
        <v>113</v>
      </c>
      <c r="AG372" s="26" t="str">
        <f t="shared" ref="AG372" si="2640">CM$12</f>
        <v>4,33,28,33,6,4,33,28,33,6</v>
      </c>
      <c r="AH372" s="26" t="str">
        <f t="shared" ref="AH372" si="2641">CN$12</f>
        <v>0,5,0,5,1,0,5,0,5,1</v>
      </c>
      <c r="AI372" s="26" t="str">
        <f t="shared" ref="AI372" si="2642">CO$12</f>
        <v>0,0,0,0,1,0,0,0,0,1</v>
      </c>
      <c r="AJ372" s="26" t="str">
        <f t="shared" ref="AJ372" si="2643">CP$12</f>
        <v>0,0,0,0,5,0,0,0,0,5</v>
      </c>
      <c r="AK372" s="26" t="str">
        <f t="shared" ref="AK372" si="2644">CQ$12</f>
        <v>100,1,1000,2,5,200,1,1000,2,5</v>
      </c>
      <c r="AL372" s="26" t="str">
        <f t="shared" ref="AL372" si="2645">CR$12</f>
        <v>5,5,5,5,5,5,5,5,5,5</v>
      </c>
      <c r="AM372" s="7">
        <v>2001</v>
      </c>
      <c r="AO372">
        <f t="shared" ref="AO372" si="2646">AQ372*100+9</f>
        <v>4109</v>
      </c>
      <c r="AP372">
        <v>368</v>
      </c>
      <c r="AQ372">
        <f t="shared" si="2303"/>
        <v>41</v>
      </c>
      <c r="AR372">
        <v>9</v>
      </c>
      <c r="AS372" s="17">
        <f t="shared" si="2384"/>
        <v>280</v>
      </c>
      <c r="AT372">
        <v>8</v>
      </c>
      <c r="AU372">
        <f t="shared" si="2304"/>
        <v>28</v>
      </c>
      <c r="AV372">
        <v>150</v>
      </c>
      <c r="AW372">
        <f t="shared" si="2305"/>
        <v>56061.29664</v>
      </c>
      <c r="AX372">
        <f t="shared" si="2434"/>
        <v>309024000.00000006</v>
      </c>
      <c r="AY372">
        <f t="shared" si="2306"/>
        <v>5150.4000000000005</v>
      </c>
      <c r="AZ372">
        <f t="shared" si="2307"/>
        <v>10300.800000000001</v>
      </c>
      <c r="BA372">
        <f t="shared" si="2308"/>
        <v>66816</v>
      </c>
      <c r="BB372">
        <f t="shared" si="2309"/>
        <v>2575.2000000000003</v>
      </c>
      <c r="BC372">
        <f t="shared" si="2435"/>
        <v>309024000.00000006</v>
      </c>
      <c r="BD372">
        <f t="shared" si="2310"/>
        <v>0.29411764705882354</v>
      </c>
      <c r="BE372" s="27">
        <f t="shared" si="2436"/>
        <v>284100101.91360009</v>
      </c>
      <c r="BF372" s="30">
        <f t="shared" si="2311"/>
        <v>0.39839999999999998</v>
      </c>
      <c r="BG372" s="27"/>
      <c r="BH372" s="27"/>
      <c r="BI372" s="27"/>
      <c r="CA372" s="20">
        <f t="shared" si="2312"/>
        <v>300</v>
      </c>
      <c r="CB372" s="20">
        <f t="shared" si="2313"/>
        <v>30000</v>
      </c>
    </row>
    <row r="373" spans="1:80" x14ac:dyDescent="0.15">
      <c r="A373">
        <v>4201</v>
      </c>
      <c r="B373" s="3" t="s">
        <v>108</v>
      </c>
      <c r="C373" s="4" t="s">
        <v>109</v>
      </c>
      <c r="D373" s="4" t="s">
        <v>110</v>
      </c>
      <c r="E373" s="5">
        <v>3</v>
      </c>
      <c r="F373" s="7" t="s">
        <v>141</v>
      </c>
      <c r="G373" s="5">
        <v>2.5</v>
      </c>
      <c r="H373" s="7" t="s">
        <v>194</v>
      </c>
      <c r="I373" s="5">
        <v>0</v>
      </c>
      <c r="J373" s="5">
        <v>0</v>
      </c>
      <c r="K373">
        <v>2</v>
      </c>
      <c r="L373">
        <v>1.5</v>
      </c>
      <c r="M373" s="5">
        <v>1.5</v>
      </c>
      <c r="N373" s="5">
        <v>10</v>
      </c>
      <c r="O373" s="5">
        <f t="shared" si="2293"/>
        <v>49379</v>
      </c>
      <c r="P373" s="5">
        <f t="shared" si="2294"/>
        <v>271728000</v>
      </c>
      <c r="Q373" s="5">
        <f t="shared" si="2295"/>
        <v>4528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70011</v>
      </c>
      <c r="X373" s="6" t="s">
        <v>179</v>
      </c>
      <c r="Y373" s="5">
        <v>300</v>
      </c>
      <c r="Z373" s="5">
        <v>1</v>
      </c>
      <c r="AA373" s="5">
        <v>69314435</v>
      </c>
      <c r="AB373" s="16" t="s">
        <v>111</v>
      </c>
      <c r="AC373" s="7" t="s">
        <v>112</v>
      </c>
      <c r="AD373" s="7" t="s">
        <v>112</v>
      </c>
      <c r="AE373" s="7" t="s">
        <v>112</v>
      </c>
      <c r="AF373" s="6" t="s">
        <v>113</v>
      </c>
      <c r="AG373" s="26" t="str">
        <f t="shared" ref="AG373" si="2647">CM$4</f>
        <v>4,33,28,33,6,4,33,28,33,6</v>
      </c>
      <c r="AH373" s="26" t="str">
        <f t="shared" ref="AH373" si="2648">CN$4</f>
        <v>0,8,0,8,1,0,8,0,8,1</v>
      </c>
      <c r="AI373" s="26" t="str">
        <f t="shared" ref="AI373" si="2649">CO$4</f>
        <v>0,0,0,0,1,0,0,0,0,1</v>
      </c>
      <c r="AJ373" s="26" t="str">
        <f t="shared" ref="AJ373" si="2650">CP$4</f>
        <v>0,0,0,0,5,0,0,0,0,5</v>
      </c>
      <c r="AK373" s="26" t="str">
        <f t="shared" ref="AK373" si="2651">CQ$4</f>
        <v>100,1,1000,2,5,200,1,1000,2,5</v>
      </c>
      <c r="AL373" s="26" t="str">
        <f t="shared" ref="AL373" si="2652">CR$4</f>
        <v>5,5,5,5,5,5,5,5,5,5</v>
      </c>
      <c r="AM373" s="7">
        <v>2001</v>
      </c>
      <c r="AO373">
        <f t="shared" ref="AO373" si="2653">AQ373*100+1</f>
        <v>4201</v>
      </c>
      <c r="AP373">
        <v>369</v>
      </c>
      <c r="AQ373">
        <f t="shared" si="2303"/>
        <v>42</v>
      </c>
      <c r="AR373">
        <v>9</v>
      </c>
      <c r="AS373" s="17">
        <f t="shared" si="2384"/>
        <v>245</v>
      </c>
      <c r="AT373">
        <v>8</v>
      </c>
      <c r="AU373">
        <f t="shared" si="2304"/>
        <v>28</v>
      </c>
      <c r="AV373">
        <v>150</v>
      </c>
      <c r="AW373">
        <f t="shared" si="2305"/>
        <v>49379.880959999995</v>
      </c>
      <c r="AX373">
        <f t="shared" si="2434"/>
        <v>271728000</v>
      </c>
      <c r="AY373">
        <f t="shared" si="2306"/>
        <v>4528.8</v>
      </c>
      <c r="AZ373">
        <f t="shared" si="2307"/>
        <v>9057.6</v>
      </c>
      <c r="BA373">
        <f t="shared" si="2308"/>
        <v>58751.999999999993</v>
      </c>
      <c r="BB373">
        <f t="shared" si="2309"/>
        <v>2264.4</v>
      </c>
      <c r="BC373">
        <f t="shared" si="2435"/>
        <v>271728000</v>
      </c>
      <c r="BD373">
        <f t="shared" si="2310"/>
        <v>0.29411764705882348</v>
      </c>
      <c r="BE373" s="27">
        <f t="shared" si="2436"/>
        <v>219662415.30239996</v>
      </c>
      <c r="BF373" s="30">
        <f t="shared" si="2311"/>
        <v>0.40079999999999999</v>
      </c>
      <c r="BG373" s="27"/>
      <c r="BH373" s="27"/>
      <c r="BI373" s="27"/>
      <c r="CA373" s="20">
        <f t="shared" si="2312"/>
        <v>305</v>
      </c>
      <c r="CB373" s="20">
        <f t="shared" si="2313"/>
        <v>30500</v>
      </c>
    </row>
    <row r="374" spans="1:80" x14ac:dyDescent="0.15">
      <c r="A374">
        <v>4202</v>
      </c>
      <c r="B374" s="3" t="s">
        <v>115</v>
      </c>
      <c r="C374" s="4" t="s">
        <v>109</v>
      </c>
      <c r="D374" s="6" t="s">
        <v>110</v>
      </c>
      <c r="E374" s="5">
        <v>3</v>
      </c>
      <c r="F374" s="7" t="s">
        <v>142</v>
      </c>
      <c r="G374" s="5">
        <v>3</v>
      </c>
      <c r="H374" s="7" t="s">
        <v>188</v>
      </c>
      <c r="I374" s="5">
        <v>0</v>
      </c>
      <c r="J374" s="5">
        <v>0</v>
      </c>
      <c r="K374">
        <v>2</v>
      </c>
      <c r="L374">
        <v>1.5</v>
      </c>
      <c r="M374" s="5">
        <v>1.5</v>
      </c>
      <c r="N374" s="5">
        <v>10</v>
      </c>
      <c r="O374" s="5">
        <f t="shared" si="2293"/>
        <v>50348</v>
      </c>
      <c r="P374" s="5">
        <f t="shared" si="2294"/>
        <v>277056000</v>
      </c>
      <c r="Q374" s="5">
        <f t="shared" si="2295"/>
        <v>4617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70021</v>
      </c>
      <c r="X374" s="6" t="s">
        <v>180</v>
      </c>
      <c r="Y374" s="5">
        <v>300</v>
      </c>
      <c r="Z374" s="5">
        <v>1</v>
      </c>
      <c r="AA374" s="5">
        <v>52214077</v>
      </c>
      <c r="AB374" s="16" t="s">
        <v>111</v>
      </c>
      <c r="AC374" s="7" t="s">
        <v>112</v>
      </c>
      <c r="AD374" s="7" t="s">
        <v>112</v>
      </c>
      <c r="AE374" s="7" t="s">
        <v>112</v>
      </c>
      <c r="AF374" s="6" t="s">
        <v>113</v>
      </c>
      <c r="AG374" s="26" t="str">
        <f t="shared" ref="AG374" si="2654">CM$5</f>
        <v>4,33,28,33,6,4,33,28,33,6</v>
      </c>
      <c r="AH374" s="26" t="str">
        <f t="shared" ref="AH374" si="2655">CN$5</f>
        <v>0,7,0,7,1,0,7,0,7,1</v>
      </c>
      <c r="AI374" s="26" t="str">
        <f t="shared" ref="AI374" si="2656">CO$5</f>
        <v>0,0,0,0,1,0,0,0,0,1</v>
      </c>
      <c r="AJ374" s="26" t="str">
        <f t="shared" ref="AJ374" si="2657">CP$5</f>
        <v>0,0,0,0,5,0,0,0,0,5</v>
      </c>
      <c r="AK374" s="26" t="str">
        <f t="shared" ref="AK374" si="2658">CQ$5</f>
        <v>100,1,1000,2,5,200,1,1000,2,5</v>
      </c>
      <c r="AL374" s="26" t="str">
        <f t="shared" ref="AL374" si="2659">CR$5</f>
        <v>5,5,5,5,5,5,5,5,5,5</v>
      </c>
      <c r="AM374" s="7">
        <v>2001</v>
      </c>
      <c r="AO374">
        <f t="shared" ref="AO374" si="2660">AQ374*100+2</f>
        <v>4202</v>
      </c>
      <c r="AP374">
        <v>370</v>
      </c>
      <c r="AQ374">
        <f t="shared" si="2303"/>
        <v>42</v>
      </c>
      <c r="AR374">
        <v>9</v>
      </c>
      <c r="AS374" s="17">
        <f t="shared" si="2384"/>
        <v>250</v>
      </c>
      <c r="AT374">
        <v>8</v>
      </c>
      <c r="AU374">
        <f t="shared" si="2304"/>
        <v>28</v>
      </c>
      <c r="AV374">
        <v>150</v>
      </c>
      <c r="AW374">
        <f t="shared" si="2305"/>
        <v>50348.113919999996</v>
      </c>
      <c r="AX374">
        <f t="shared" si="2434"/>
        <v>277056000</v>
      </c>
      <c r="AY374">
        <f t="shared" si="2306"/>
        <v>4617.6000000000004</v>
      </c>
      <c r="AZ374">
        <f t="shared" si="2307"/>
        <v>9235.2000000000007</v>
      </c>
      <c r="BA374">
        <f t="shared" si="2308"/>
        <v>59903.999999999993</v>
      </c>
      <c r="BB374">
        <f t="shared" si="2309"/>
        <v>2308.8000000000002</v>
      </c>
      <c r="BC374">
        <f t="shared" si="2435"/>
        <v>277056000</v>
      </c>
      <c r="BD374">
        <f t="shared" si="2310"/>
        <v>0.29411764705882348</v>
      </c>
      <c r="BE374" s="27">
        <f t="shared" si="2436"/>
        <v>228361080.72960001</v>
      </c>
      <c r="BF374" s="30">
        <f t="shared" si="2311"/>
        <v>0.40079999999999999</v>
      </c>
      <c r="BG374" s="27"/>
      <c r="BH374" s="27"/>
      <c r="BI374" s="27"/>
      <c r="CA374" s="20">
        <f t="shared" si="2312"/>
        <v>305</v>
      </c>
      <c r="CB374" s="20">
        <f t="shared" si="2313"/>
        <v>30500</v>
      </c>
    </row>
    <row r="375" spans="1:80" x14ac:dyDescent="0.15">
      <c r="A375">
        <v>4203</v>
      </c>
      <c r="B375" s="3" t="s">
        <v>117</v>
      </c>
      <c r="C375" s="4" t="s">
        <v>109</v>
      </c>
      <c r="D375" s="4" t="s">
        <v>110</v>
      </c>
      <c r="E375" s="5">
        <v>1</v>
      </c>
      <c r="F375" s="7" t="s">
        <v>144</v>
      </c>
      <c r="G375" s="5">
        <v>3</v>
      </c>
      <c r="H375" s="7" t="s">
        <v>189</v>
      </c>
      <c r="I375" s="5">
        <v>0</v>
      </c>
      <c r="J375" s="2">
        <v>0</v>
      </c>
      <c r="K375">
        <v>6</v>
      </c>
      <c r="L375">
        <v>1.5</v>
      </c>
      <c r="M375" s="5">
        <v>1.5</v>
      </c>
      <c r="N375" s="5">
        <v>10</v>
      </c>
      <c r="O375" s="5">
        <f t="shared" si="2293"/>
        <v>51316</v>
      </c>
      <c r="P375" s="5">
        <f t="shared" si="2294"/>
        <v>282384000</v>
      </c>
      <c r="Q375" s="5">
        <f t="shared" si="2295"/>
        <v>4706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70031</v>
      </c>
      <c r="X375" s="6" t="s">
        <v>181</v>
      </c>
      <c r="Y375" s="5">
        <v>300</v>
      </c>
      <c r="Z375" s="5">
        <v>1</v>
      </c>
      <c r="AA375" s="5">
        <v>54508931</v>
      </c>
      <c r="AB375" s="16" t="s">
        <v>111</v>
      </c>
      <c r="AC375" s="7" t="s">
        <v>112</v>
      </c>
      <c r="AD375" s="7" t="s">
        <v>112</v>
      </c>
      <c r="AE375" s="7" t="s">
        <v>112</v>
      </c>
      <c r="AF375" s="6" t="s">
        <v>113</v>
      </c>
      <c r="AG375" s="26" t="str">
        <f t="shared" ref="AG375" si="2661">CM$6</f>
        <v>4,28,6,28,6,4,28,6,28,6</v>
      </c>
      <c r="AH375" s="26" t="str">
        <f t="shared" ref="AH375" si="2662">CN$6</f>
        <v>0,0,1,0,1,0,0,1,0,1</v>
      </c>
      <c r="AI375" s="26" t="str">
        <f t="shared" ref="AI375" si="2663">CO$6</f>
        <v>0,0,0,0,1,0,0,0,0,1</v>
      </c>
      <c r="AJ375" s="26" t="str">
        <f t="shared" ref="AJ375" si="2664">CP$6</f>
        <v>0,0,5,0,5,0,0,5,0,5</v>
      </c>
      <c r="AK375" s="26" t="str">
        <f t="shared" ref="AK375" si="2665">CQ$6</f>
        <v>100,1000,5,1500,5,200,1000,5,1500,5</v>
      </c>
      <c r="AL375" s="26" t="str">
        <f t="shared" ref="AL375" si="2666">CR$6</f>
        <v>5,5,5,5,5,5,5,5,5,5</v>
      </c>
      <c r="AM375" s="7">
        <v>2001</v>
      </c>
      <c r="AO375">
        <f t="shared" ref="AO375" si="2667">AQ375*100+3</f>
        <v>4203</v>
      </c>
      <c r="AP375">
        <v>371</v>
      </c>
      <c r="AQ375">
        <f t="shared" si="2303"/>
        <v>42</v>
      </c>
      <c r="AR375">
        <v>9</v>
      </c>
      <c r="AS375" s="17">
        <f t="shared" si="2384"/>
        <v>255</v>
      </c>
      <c r="AT375">
        <v>8</v>
      </c>
      <c r="AU375">
        <f t="shared" si="2304"/>
        <v>28</v>
      </c>
      <c r="AV375">
        <v>150</v>
      </c>
      <c r="AW375">
        <f t="shared" si="2305"/>
        <v>51316.34687999999</v>
      </c>
      <c r="AX375">
        <f t="shared" si="2434"/>
        <v>282384000.00000006</v>
      </c>
      <c r="AY375">
        <f t="shared" si="2306"/>
        <v>4706.4000000000005</v>
      </c>
      <c r="AZ375">
        <f t="shared" si="2307"/>
        <v>9412.8000000000011</v>
      </c>
      <c r="BA375">
        <f t="shared" si="2308"/>
        <v>61055.999999999993</v>
      </c>
      <c r="BB375">
        <f t="shared" si="2309"/>
        <v>2353.2000000000003</v>
      </c>
      <c r="BC375">
        <f t="shared" si="2435"/>
        <v>282384000.00000006</v>
      </c>
      <c r="BD375">
        <f t="shared" si="2310"/>
        <v>0.29411764705882354</v>
      </c>
      <c r="BE375" s="27">
        <f t="shared" si="2436"/>
        <v>237228652.28160012</v>
      </c>
      <c r="BF375" s="30">
        <f t="shared" si="2311"/>
        <v>0.40079999999999999</v>
      </c>
      <c r="BG375" s="27"/>
      <c r="BH375" s="27"/>
      <c r="BI375" s="27"/>
      <c r="CA375" s="20">
        <f t="shared" si="2312"/>
        <v>305</v>
      </c>
      <c r="CB375" s="20">
        <f t="shared" si="2313"/>
        <v>30500</v>
      </c>
    </row>
    <row r="376" spans="1:80" x14ac:dyDescent="0.15">
      <c r="A376">
        <v>4204</v>
      </c>
      <c r="B376" s="3" t="s">
        <v>119</v>
      </c>
      <c r="C376" s="4" t="s">
        <v>109</v>
      </c>
      <c r="D376" s="6" t="s">
        <v>120</v>
      </c>
      <c r="E376" s="5">
        <v>3</v>
      </c>
      <c r="F376" s="7" t="s">
        <v>145</v>
      </c>
      <c r="G376" s="5">
        <v>3</v>
      </c>
      <c r="H376" s="7" t="s">
        <v>190</v>
      </c>
      <c r="I376" s="5">
        <v>0</v>
      </c>
      <c r="J376" s="5">
        <v>0</v>
      </c>
      <c r="K376">
        <v>2</v>
      </c>
      <c r="L376">
        <v>1.5</v>
      </c>
      <c r="M376" s="5">
        <v>1.5</v>
      </c>
      <c r="N376" s="5">
        <v>10</v>
      </c>
      <c r="O376" s="5">
        <f t="shared" si="2293"/>
        <v>52284</v>
      </c>
      <c r="P376" s="5">
        <f t="shared" si="2294"/>
        <v>287712000</v>
      </c>
      <c r="Q376" s="5">
        <f t="shared" si="2295"/>
        <v>4795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70041</v>
      </c>
      <c r="X376" s="6" t="s">
        <v>182</v>
      </c>
      <c r="Y376" s="5">
        <v>300</v>
      </c>
      <c r="Z376" s="5">
        <v>1</v>
      </c>
      <c r="AA376" s="5">
        <v>56853135</v>
      </c>
      <c r="AB376" s="16" t="s">
        <v>111</v>
      </c>
      <c r="AC376" s="7" t="s">
        <v>112</v>
      </c>
      <c r="AD376" s="7" t="s">
        <v>112</v>
      </c>
      <c r="AE376" s="7" t="s">
        <v>112</v>
      </c>
      <c r="AF376" s="6" t="s">
        <v>113</v>
      </c>
      <c r="AG376" s="26" t="str">
        <f t="shared" ref="AG376" si="2668">CM$7</f>
        <v>4,14,28,14,6,4,14,28,14,6</v>
      </c>
      <c r="AH376" s="26" t="str">
        <f t="shared" ref="AH376" si="2669">CN$7</f>
        <v>0,0,0,0,1,0,0,0,0,1</v>
      </c>
      <c r="AI376" s="26" t="str">
        <f t="shared" ref="AI376" si="2670">CO$7</f>
        <v>0,0,0,0,1,0,0,0,0,1</v>
      </c>
      <c r="AJ376" s="26" t="str">
        <f t="shared" ref="AJ376" si="2671">CP$7</f>
        <v>0,0,0,0,5,0,0,0,0,5</v>
      </c>
      <c r="AK376" s="26" t="str">
        <f t="shared" ref="AK376" si="2672">CQ$7</f>
        <v>100,1,1000,2,5,200,1,1000,2,5</v>
      </c>
      <c r="AL376" s="26" t="str">
        <f t="shared" ref="AL376" si="2673">CR$7</f>
        <v>5,5,5,5,5,5,5,5,5,5</v>
      </c>
      <c r="AM376" s="7">
        <v>2001</v>
      </c>
      <c r="AO376">
        <f t="shared" ref="AO376" si="2674">AQ376*100+4</f>
        <v>4204</v>
      </c>
      <c r="AP376">
        <v>372</v>
      </c>
      <c r="AQ376">
        <f t="shared" si="2303"/>
        <v>42</v>
      </c>
      <c r="AR376">
        <v>9</v>
      </c>
      <c r="AS376" s="17">
        <f t="shared" si="2384"/>
        <v>260</v>
      </c>
      <c r="AT376">
        <v>8</v>
      </c>
      <c r="AU376">
        <f t="shared" si="2304"/>
        <v>28</v>
      </c>
      <c r="AV376">
        <v>150</v>
      </c>
      <c r="AW376">
        <f t="shared" si="2305"/>
        <v>52284.579839999999</v>
      </c>
      <c r="AX376">
        <f t="shared" si="2434"/>
        <v>287712000</v>
      </c>
      <c r="AY376">
        <f t="shared" si="2306"/>
        <v>4795.2</v>
      </c>
      <c r="AZ376">
        <f t="shared" si="2307"/>
        <v>9590.4</v>
      </c>
      <c r="BA376">
        <f t="shared" si="2308"/>
        <v>62207.999999999993</v>
      </c>
      <c r="BB376">
        <f t="shared" si="2309"/>
        <v>2397.6</v>
      </c>
      <c r="BC376">
        <f t="shared" si="2435"/>
        <v>287712000</v>
      </c>
      <c r="BD376">
        <f t="shared" si="2310"/>
        <v>0.29411764705882354</v>
      </c>
      <c r="BE376" s="27">
        <f t="shared" si="2436"/>
        <v>246265129.95840001</v>
      </c>
      <c r="BF376" s="30">
        <f t="shared" si="2311"/>
        <v>0.40079999999999999</v>
      </c>
      <c r="BG376" s="27"/>
      <c r="BH376" s="27"/>
      <c r="BI376" s="27"/>
      <c r="CA376" s="20">
        <f t="shared" si="2312"/>
        <v>305</v>
      </c>
      <c r="CB376" s="20">
        <f t="shared" si="2313"/>
        <v>30500</v>
      </c>
    </row>
    <row r="377" spans="1:80" x14ac:dyDescent="0.15">
      <c r="A377">
        <v>4205</v>
      </c>
      <c r="B377" s="3" t="s">
        <v>122</v>
      </c>
      <c r="C377" s="4" t="s">
        <v>109</v>
      </c>
      <c r="D377" s="4" t="s">
        <v>110</v>
      </c>
      <c r="E377" s="5">
        <v>2</v>
      </c>
      <c r="F377" s="7" t="s">
        <v>146</v>
      </c>
      <c r="G377" s="5">
        <v>3</v>
      </c>
      <c r="H377" s="7" t="s">
        <v>191</v>
      </c>
      <c r="I377" s="5">
        <v>0</v>
      </c>
      <c r="J377" s="7" t="s">
        <v>148</v>
      </c>
      <c r="K377">
        <v>6</v>
      </c>
      <c r="L377">
        <v>1.5</v>
      </c>
      <c r="M377" s="5">
        <v>1.5</v>
      </c>
      <c r="N377" s="5">
        <v>10</v>
      </c>
      <c r="O377" s="5">
        <f t="shared" si="2293"/>
        <v>53252</v>
      </c>
      <c r="P377" s="5">
        <f t="shared" si="2294"/>
        <v>293040000</v>
      </c>
      <c r="Q377" s="5">
        <f t="shared" si="2295"/>
        <v>4884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70051</v>
      </c>
      <c r="X377" s="6" t="s">
        <v>183</v>
      </c>
      <c r="Y377" s="5">
        <v>300</v>
      </c>
      <c r="Z377" s="5">
        <v>1</v>
      </c>
      <c r="AA377" s="5">
        <v>59246692</v>
      </c>
      <c r="AB377" s="16" t="s">
        <v>111</v>
      </c>
      <c r="AC377" s="7" t="s">
        <v>112</v>
      </c>
      <c r="AD377" s="7" t="s">
        <v>112</v>
      </c>
      <c r="AE377" s="7" t="s">
        <v>112</v>
      </c>
      <c r="AF377" s="6" t="s">
        <v>113</v>
      </c>
      <c r="AG377" s="26" t="str">
        <f t="shared" ref="AG377" si="2675">CM$8</f>
        <v>4,19,28,19,6,4,19,28,19,6</v>
      </c>
      <c r="AH377" s="26" t="str">
        <f t="shared" ref="AH377" si="2676">CN$8</f>
        <v>0,0,0,0,1,0,0,0,0,1</v>
      </c>
      <c r="AI377" s="26" t="str">
        <f t="shared" ref="AI377" si="2677">CO$8</f>
        <v>0,0,0,0,1,0,0,0,0,1</v>
      </c>
      <c r="AJ377" s="26" t="str">
        <f t="shared" ref="AJ377" si="2678">CP$8</f>
        <v>0,0,0,0,5,0,0,0,0,5</v>
      </c>
      <c r="AK377" s="26" t="str">
        <f t="shared" ref="AK377" si="2679">CQ$8</f>
        <v>200,100,1000,200,5,200,100,1000,200,5</v>
      </c>
      <c r="AL377" s="26" t="str">
        <f t="shared" ref="AL377" si="2680">CR$8</f>
        <v>5,5,5,5,5,5,5,5,5,5</v>
      </c>
      <c r="AM377" s="7">
        <v>2001</v>
      </c>
      <c r="AO377">
        <f t="shared" ref="AO377" si="2681">AQ377*100+5</f>
        <v>4205</v>
      </c>
      <c r="AP377">
        <v>373</v>
      </c>
      <c r="AQ377">
        <f t="shared" si="2303"/>
        <v>42</v>
      </c>
      <c r="AR377">
        <v>9</v>
      </c>
      <c r="AS377" s="17">
        <f t="shared" si="2384"/>
        <v>265</v>
      </c>
      <c r="AT377">
        <v>8</v>
      </c>
      <c r="AU377">
        <f t="shared" si="2304"/>
        <v>28</v>
      </c>
      <c r="AV377">
        <v>150</v>
      </c>
      <c r="AW377">
        <f t="shared" si="2305"/>
        <v>53252.812799999992</v>
      </c>
      <c r="AX377">
        <f t="shared" si="2434"/>
        <v>293040000</v>
      </c>
      <c r="AY377">
        <f t="shared" si="2306"/>
        <v>4884</v>
      </c>
      <c r="AZ377">
        <f t="shared" si="2307"/>
        <v>9768</v>
      </c>
      <c r="BA377">
        <f t="shared" si="2308"/>
        <v>63359.999999999993</v>
      </c>
      <c r="BB377">
        <f t="shared" si="2309"/>
        <v>2442</v>
      </c>
      <c r="BC377">
        <f t="shared" si="2435"/>
        <v>293040000</v>
      </c>
      <c r="BD377">
        <f t="shared" si="2310"/>
        <v>0.29411764705882354</v>
      </c>
      <c r="BE377" s="27">
        <f t="shared" si="2436"/>
        <v>255470513.76000008</v>
      </c>
      <c r="BF377" s="30">
        <f t="shared" si="2311"/>
        <v>0.40079999999999999</v>
      </c>
      <c r="BG377" s="27"/>
      <c r="BH377" s="27"/>
      <c r="BI377" s="27"/>
      <c r="CA377" s="20">
        <f t="shared" si="2312"/>
        <v>305</v>
      </c>
      <c r="CB377" s="20">
        <f t="shared" si="2313"/>
        <v>30500</v>
      </c>
    </row>
    <row r="378" spans="1:80" x14ac:dyDescent="0.15">
      <c r="A378">
        <v>4206</v>
      </c>
      <c r="B378" s="3" t="s">
        <v>124</v>
      </c>
      <c r="C378" s="4" t="s">
        <v>109</v>
      </c>
      <c r="D378" s="6" t="s">
        <v>120</v>
      </c>
      <c r="E378" s="5">
        <v>1</v>
      </c>
      <c r="F378" s="7" t="s">
        <v>147</v>
      </c>
      <c r="G378" s="5">
        <v>3</v>
      </c>
      <c r="H378" s="7" t="s">
        <v>192</v>
      </c>
      <c r="I378" s="5">
        <v>0</v>
      </c>
      <c r="J378" s="7" t="s">
        <v>149</v>
      </c>
      <c r="K378">
        <v>6</v>
      </c>
      <c r="L378">
        <v>1.5</v>
      </c>
      <c r="M378" s="5">
        <v>1.5</v>
      </c>
      <c r="N378" s="5">
        <v>10</v>
      </c>
      <c r="O378" s="5">
        <f t="shared" si="2293"/>
        <v>54221</v>
      </c>
      <c r="P378" s="5">
        <f t="shared" si="2294"/>
        <v>298368000</v>
      </c>
      <c r="Q378" s="5">
        <f t="shared" si="2295"/>
        <v>4972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70061</v>
      </c>
      <c r="X378" s="6" t="s">
        <v>184</v>
      </c>
      <c r="Y378" s="5">
        <v>300</v>
      </c>
      <c r="Z378" s="5">
        <v>1</v>
      </c>
      <c r="AA378" s="5">
        <v>61689600</v>
      </c>
      <c r="AB378" s="16" t="s">
        <v>111</v>
      </c>
      <c r="AC378" s="7" t="s">
        <v>112</v>
      </c>
      <c r="AD378" s="7" t="s">
        <v>112</v>
      </c>
      <c r="AE378" s="7" t="s">
        <v>112</v>
      </c>
      <c r="AF378" s="6" t="s">
        <v>113</v>
      </c>
      <c r="AG378" s="26" t="str">
        <f t="shared" ref="AG378" si="2682">CM$9</f>
        <v>4,33,28,33,6,4,33,28,33,6</v>
      </c>
      <c r="AH378" s="26" t="str">
        <f t="shared" ref="AH378" si="2683">CN$9</f>
        <v>0,6,0,6,1,0,6,0,6,1</v>
      </c>
      <c r="AI378" s="26" t="str">
        <f t="shared" ref="AI378" si="2684">CO$9</f>
        <v>0,0,0,0,1,0,0,0,0,1</v>
      </c>
      <c r="AJ378" s="26" t="str">
        <f t="shared" ref="AJ378" si="2685">CP$9</f>
        <v>0,0,0,0,5,0,0,0,0,5</v>
      </c>
      <c r="AK378" s="26" t="str">
        <f t="shared" ref="AK378" si="2686">CQ$9</f>
        <v>200,1,1000,2,5,200,1,1000,2,5</v>
      </c>
      <c r="AL378" s="26" t="str">
        <f t="shared" ref="AL378" si="2687">CR$9</f>
        <v>5,5,5,5,5,5,5,5,5,5</v>
      </c>
      <c r="AM378" s="7">
        <v>2001</v>
      </c>
      <c r="AO378">
        <f t="shared" ref="AO378" si="2688">AQ378*100+6</f>
        <v>4206</v>
      </c>
      <c r="AP378">
        <v>374</v>
      </c>
      <c r="AQ378">
        <f t="shared" si="2303"/>
        <v>42</v>
      </c>
      <c r="AR378">
        <v>9</v>
      </c>
      <c r="AS378" s="17">
        <f t="shared" si="2384"/>
        <v>270</v>
      </c>
      <c r="AT378">
        <v>8</v>
      </c>
      <c r="AU378">
        <f t="shared" si="2304"/>
        <v>28</v>
      </c>
      <c r="AV378">
        <v>150</v>
      </c>
      <c r="AW378">
        <f t="shared" si="2305"/>
        <v>54221.045760000001</v>
      </c>
      <c r="AX378">
        <f t="shared" si="2434"/>
        <v>298368000</v>
      </c>
      <c r="AY378">
        <f t="shared" si="2306"/>
        <v>4972.8</v>
      </c>
      <c r="AZ378">
        <f t="shared" si="2307"/>
        <v>9945.6</v>
      </c>
      <c r="BA378">
        <f t="shared" si="2308"/>
        <v>64511.999999999993</v>
      </c>
      <c r="BB378">
        <f t="shared" si="2309"/>
        <v>2486.4</v>
      </c>
      <c r="BC378">
        <f t="shared" si="2435"/>
        <v>298368000</v>
      </c>
      <c r="BD378">
        <f t="shared" si="2310"/>
        <v>0.29411764705882348</v>
      </c>
      <c r="BE378" s="27">
        <f t="shared" si="2436"/>
        <v>264844803.68640003</v>
      </c>
      <c r="BF378" s="30">
        <f t="shared" si="2311"/>
        <v>0.40079999999999999</v>
      </c>
      <c r="BG378" s="27"/>
      <c r="BH378" s="27"/>
      <c r="BI378" s="27"/>
      <c r="CA378" s="20">
        <f t="shared" si="2312"/>
        <v>305</v>
      </c>
      <c r="CB378" s="20">
        <f t="shared" si="2313"/>
        <v>30500</v>
      </c>
    </row>
    <row r="379" spans="1:80" x14ac:dyDescent="0.15">
      <c r="A379">
        <v>4207</v>
      </c>
      <c r="B379" s="3" t="s">
        <v>126</v>
      </c>
      <c r="C379" s="4" t="s">
        <v>109</v>
      </c>
      <c r="D379" s="4" t="s">
        <v>110</v>
      </c>
      <c r="E379" s="5">
        <v>2</v>
      </c>
      <c r="F379" s="7" t="s">
        <v>143</v>
      </c>
      <c r="G379" s="5">
        <v>3</v>
      </c>
      <c r="H379" s="7" t="s">
        <v>193</v>
      </c>
      <c r="I379" s="5">
        <v>0</v>
      </c>
      <c r="J379" s="5">
        <v>0</v>
      </c>
      <c r="K379">
        <v>2</v>
      </c>
      <c r="L379">
        <v>1.5</v>
      </c>
      <c r="M379" s="5">
        <v>1.5</v>
      </c>
      <c r="N379" s="5">
        <v>10</v>
      </c>
      <c r="O379" s="5">
        <f t="shared" si="2293"/>
        <v>55189</v>
      </c>
      <c r="P379" s="5">
        <f t="shared" si="2294"/>
        <v>303696000</v>
      </c>
      <c r="Q379" s="5">
        <f t="shared" si="2295"/>
        <v>5061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70071</v>
      </c>
      <c r="X379" s="6" t="s">
        <v>185</v>
      </c>
      <c r="Y379" s="5">
        <v>300</v>
      </c>
      <c r="Z379" s="5">
        <v>1</v>
      </c>
      <c r="AA379" s="5">
        <v>64181860</v>
      </c>
      <c r="AB379" s="16" t="s">
        <v>111</v>
      </c>
      <c r="AC379" s="7" t="s">
        <v>112</v>
      </c>
      <c r="AD379" s="7" t="s">
        <v>112</v>
      </c>
      <c r="AE379" s="7" t="s">
        <v>112</v>
      </c>
      <c r="AF379" s="6" t="s">
        <v>113</v>
      </c>
      <c r="AG379" s="26" t="str">
        <f t="shared" ref="AG379" si="2689">CM$10</f>
        <v>4,14,28,14,6,4,14,28,14,6</v>
      </c>
      <c r="AH379" s="26" t="str">
        <f t="shared" ref="AH379" si="2690">CN$10</f>
        <v>0,0,0,0,1,0,0,0,0,1</v>
      </c>
      <c r="AI379" s="26" t="str">
        <f t="shared" ref="AI379" si="2691">CO$10</f>
        <v>0,0,0,0,1,0,0,0,0,1</v>
      </c>
      <c r="AJ379" s="26" t="str">
        <f t="shared" ref="AJ379" si="2692">CP$10</f>
        <v>0,0,0,0,5,0,0,0,0,5</v>
      </c>
      <c r="AK379" s="26" t="str">
        <f t="shared" ref="AK379" si="2693">CQ$10</f>
        <v>200,1,1000,2,5,200,1,1000,2,5</v>
      </c>
      <c r="AL379" s="26" t="str">
        <f t="shared" ref="AL379" si="2694">CR$10</f>
        <v>5,5,5,5,5,5,5,5,5,5</v>
      </c>
      <c r="AM379" s="7">
        <v>2001</v>
      </c>
      <c r="AO379">
        <f t="shared" ref="AO379" si="2695">AQ379*100+7</f>
        <v>4207</v>
      </c>
      <c r="AP379">
        <v>375</v>
      </c>
      <c r="AQ379">
        <f t="shared" si="2303"/>
        <v>42</v>
      </c>
      <c r="AR379">
        <v>9</v>
      </c>
      <c r="AS379" s="17">
        <f t="shared" si="2384"/>
        <v>275</v>
      </c>
      <c r="AT379">
        <v>8</v>
      </c>
      <c r="AU379">
        <f t="shared" si="2304"/>
        <v>28</v>
      </c>
      <c r="AV379">
        <v>150</v>
      </c>
      <c r="AW379">
        <f t="shared" si="2305"/>
        <v>55189.278720000002</v>
      </c>
      <c r="AX379">
        <f t="shared" si="2434"/>
        <v>303696000</v>
      </c>
      <c r="AY379">
        <f t="shared" si="2306"/>
        <v>5061.6000000000004</v>
      </c>
      <c r="AZ379">
        <f t="shared" si="2307"/>
        <v>10123.200000000001</v>
      </c>
      <c r="BA379">
        <f t="shared" si="2308"/>
        <v>65664</v>
      </c>
      <c r="BB379">
        <f t="shared" si="2309"/>
        <v>2530.8000000000002</v>
      </c>
      <c r="BC379">
        <f t="shared" si="2435"/>
        <v>303696000</v>
      </c>
      <c r="BD379">
        <f t="shared" si="2310"/>
        <v>0.29411764705882348</v>
      </c>
      <c r="BE379" s="27">
        <f t="shared" si="2436"/>
        <v>274387999.73760003</v>
      </c>
      <c r="BF379" s="30">
        <f t="shared" si="2311"/>
        <v>0.40079999999999999</v>
      </c>
      <c r="BG379" s="27"/>
      <c r="BH379" s="27"/>
      <c r="BI379" s="27"/>
      <c r="CA379" s="20">
        <f t="shared" si="2312"/>
        <v>305</v>
      </c>
      <c r="CB379" s="20">
        <f t="shared" si="2313"/>
        <v>30500</v>
      </c>
    </row>
    <row r="380" spans="1:80" x14ac:dyDescent="0.15">
      <c r="A380">
        <v>4208</v>
      </c>
      <c r="B380" s="3" t="s">
        <v>128</v>
      </c>
      <c r="C380" s="4" t="s">
        <v>109</v>
      </c>
      <c r="D380" s="4" t="s">
        <v>110</v>
      </c>
      <c r="E380" s="5">
        <v>5</v>
      </c>
      <c r="F380" s="7" t="s">
        <v>129</v>
      </c>
      <c r="G380" s="5">
        <v>2</v>
      </c>
      <c r="H380" s="7" t="s">
        <v>130</v>
      </c>
      <c r="I380" s="5">
        <v>0</v>
      </c>
      <c r="J380" s="5">
        <v>0</v>
      </c>
      <c r="K380">
        <v>2</v>
      </c>
      <c r="L380">
        <v>1.5</v>
      </c>
      <c r="M380" s="5">
        <v>1.5</v>
      </c>
      <c r="N380" s="5">
        <v>10</v>
      </c>
      <c r="O380" s="5">
        <f t="shared" si="2293"/>
        <v>56157</v>
      </c>
      <c r="P380" s="5">
        <f t="shared" si="2294"/>
        <v>309024000</v>
      </c>
      <c r="Q380" s="5">
        <f t="shared" si="2295"/>
        <v>5150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70081</v>
      </c>
      <c r="X380" s="6" t="s">
        <v>186</v>
      </c>
      <c r="Y380" s="5">
        <v>300</v>
      </c>
      <c r="Z380" s="5">
        <v>1</v>
      </c>
      <c r="AA380" s="5">
        <v>66723471</v>
      </c>
      <c r="AB380" s="16" t="s">
        <v>111</v>
      </c>
      <c r="AC380" s="7" t="s">
        <v>112</v>
      </c>
      <c r="AD380" s="7" t="s">
        <v>112</v>
      </c>
      <c r="AE380" s="7" t="s">
        <v>112</v>
      </c>
      <c r="AF380" s="6" t="s">
        <v>113</v>
      </c>
      <c r="AG380" s="26" t="str">
        <f t="shared" ref="AG380" si="2696">CM$11</f>
        <v>4,28,6,28,6,4,28,6,28,6</v>
      </c>
      <c r="AH380" s="26" t="str">
        <f t="shared" ref="AH380" si="2697">CN$11</f>
        <v>0,0,1,0,1,0,0,1,0,1</v>
      </c>
      <c r="AI380" s="26" t="str">
        <f t="shared" ref="AI380" si="2698">CO$11</f>
        <v>0,0,1,0,1,0,0,1,0,1</v>
      </c>
      <c r="AJ380" s="26" t="str">
        <f t="shared" ref="AJ380" si="2699">CP$11</f>
        <v>0,0,5,0,5,0,0,5,0,5</v>
      </c>
      <c r="AK380" s="26" t="str">
        <f t="shared" ref="AK380" si="2700">CQ$11</f>
        <v>100,1000,5,1500,5,200,1000,5,1500,5</v>
      </c>
      <c r="AL380" s="26" t="str">
        <f t="shared" ref="AL380" si="2701">CR$11</f>
        <v>5,5,5,5,5,5,5,5,5,5</v>
      </c>
      <c r="AM380" s="7">
        <v>2001</v>
      </c>
      <c r="AO380">
        <f t="shared" ref="AO380" si="2702">AQ380*100+8</f>
        <v>4208</v>
      </c>
      <c r="AP380">
        <v>376</v>
      </c>
      <c r="AQ380">
        <f t="shared" si="2303"/>
        <v>42</v>
      </c>
      <c r="AR380">
        <v>9</v>
      </c>
      <c r="AS380" s="17">
        <f t="shared" si="2384"/>
        <v>280</v>
      </c>
      <c r="AT380">
        <v>8</v>
      </c>
      <c r="AU380">
        <f t="shared" si="2304"/>
        <v>28</v>
      </c>
      <c r="AV380">
        <v>150</v>
      </c>
      <c r="AW380">
        <f t="shared" si="2305"/>
        <v>56157.511680000003</v>
      </c>
      <c r="AX380">
        <f t="shared" si="2434"/>
        <v>309024000.00000006</v>
      </c>
      <c r="AY380">
        <f t="shared" si="2306"/>
        <v>5150.4000000000005</v>
      </c>
      <c r="AZ380">
        <f t="shared" si="2307"/>
        <v>10300.800000000001</v>
      </c>
      <c r="BA380">
        <f t="shared" si="2308"/>
        <v>66816</v>
      </c>
      <c r="BB380">
        <f t="shared" si="2309"/>
        <v>2575.2000000000003</v>
      </c>
      <c r="BC380">
        <f t="shared" si="2435"/>
        <v>309024000.00000006</v>
      </c>
      <c r="BD380">
        <f t="shared" si="2310"/>
        <v>0.29411764705882354</v>
      </c>
      <c r="BE380" s="27">
        <f t="shared" si="2436"/>
        <v>284100101.91360009</v>
      </c>
      <c r="BF380" s="30">
        <f t="shared" si="2311"/>
        <v>0.40079999999999999</v>
      </c>
      <c r="BG380" s="27"/>
      <c r="BH380" s="27"/>
      <c r="BI380" s="27"/>
      <c r="CA380" s="20">
        <f t="shared" si="2312"/>
        <v>305</v>
      </c>
      <c r="CB380" s="20">
        <f t="shared" si="2313"/>
        <v>30500</v>
      </c>
    </row>
    <row r="381" spans="1:80" x14ac:dyDescent="0.15">
      <c r="A381">
        <v>4209</v>
      </c>
      <c r="B381" s="3" t="s">
        <v>132</v>
      </c>
      <c r="C381" s="4" t="s">
        <v>109</v>
      </c>
      <c r="D381" s="4" t="s">
        <v>110</v>
      </c>
      <c r="E381" s="5">
        <v>5</v>
      </c>
      <c r="F381" s="7" t="s">
        <v>140</v>
      </c>
      <c r="G381" s="5">
        <v>3</v>
      </c>
      <c r="H381" s="7" t="s">
        <v>140</v>
      </c>
      <c r="I381" s="5">
        <v>0</v>
      </c>
      <c r="J381" s="7">
        <v>0</v>
      </c>
      <c r="K381">
        <v>6</v>
      </c>
      <c r="L381">
        <v>1.5</v>
      </c>
      <c r="M381" s="5">
        <v>1.5</v>
      </c>
      <c r="N381" s="5">
        <v>10</v>
      </c>
      <c r="O381" s="5">
        <f t="shared" si="2293"/>
        <v>57125</v>
      </c>
      <c r="P381" s="5">
        <f t="shared" si="2294"/>
        <v>314352000</v>
      </c>
      <c r="Q381" s="5">
        <f t="shared" si="2295"/>
        <v>5239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70091</v>
      </c>
      <c r="X381" s="6" t="s">
        <v>187</v>
      </c>
      <c r="Y381" s="5">
        <v>300</v>
      </c>
      <c r="Z381" s="5">
        <v>1</v>
      </c>
      <c r="AA381" s="5">
        <v>69314435</v>
      </c>
      <c r="AB381" s="16" t="s">
        <v>111</v>
      </c>
      <c r="AC381" s="7" t="s">
        <v>112</v>
      </c>
      <c r="AD381" s="7" t="s">
        <v>112</v>
      </c>
      <c r="AE381" s="7" t="s">
        <v>112</v>
      </c>
      <c r="AF381" s="6" t="s">
        <v>113</v>
      </c>
      <c r="AG381" s="26" t="str">
        <f t="shared" ref="AG381" si="2703">CM$12</f>
        <v>4,33,28,33,6,4,33,28,33,6</v>
      </c>
      <c r="AH381" s="26" t="str">
        <f t="shared" ref="AH381" si="2704">CN$12</f>
        <v>0,5,0,5,1,0,5,0,5,1</v>
      </c>
      <c r="AI381" s="26" t="str">
        <f t="shared" ref="AI381" si="2705">CO$12</f>
        <v>0,0,0,0,1,0,0,0,0,1</v>
      </c>
      <c r="AJ381" s="26" t="str">
        <f t="shared" ref="AJ381" si="2706">CP$12</f>
        <v>0,0,0,0,5,0,0,0,0,5</v>
      </c>
      <c r="AK381" s="26" t="str">
        <f t="shared" ref="AK381" si="2707">CQ$12</f>
        <v>100,1,1000,2,5,200,1,1000,2,5</v>
      </c>
      <c r="AL381" s="26" t="str">
        <f t="shared" ref="AL381" si="2708">CR$12</f>
        <v>5,5,5,5,5,5,5,5,5,5</v>
      </c>
      <c r="AM381" s="7">
        <v>2001</v>
      </c>
      <c r="AO381">
        <f t="shared" ref="AO381" si="2709">AQ381*100+9</f>
        <v>4209</v>
      </c>
      <c r="AP381">
        <v>377</v>
      </c>
      <c r="AQ381">
        <f t="shared" si="2303"/>
        <v>42</v>
      </c>
      <c r="AR381">
        <v>9</v>
      </c>
      <c r="AS381" s="17">
        <f t="shared" si="2384"/>
        <v>285</v>
      </c>
      <c r="AT381">
        <v>8</v>
      </c>
      <c r="AU381">
        <f t="shared" si="2304"/>
        <v>28</v>
      </c>
      <c r="AV381">
        <v>150</v>
      </c>
      <c r="AW381">
        <f t="shared" si="2305"/>
        <v>57125.744639999997</v>
      </c>
      <c r="AX381">
        <f t="shared" si="2434"/>
        <v>314352000</v>
      </c>
      <c r="AY381">
        <f t="shared" si="2306"/>
        <v>5239.2</v>
      </c>
      <c r="AZ381">
        <f t="shared" si="2307"/>
        <v>10478.4</v>
      </c>
      <c r="BA381">
        <f t="shared" si="2308"/>
        <v>67968</v>
      </c>
      <c r="BB381">
        <f t="shared" si="2309"/>
        <v>2619.6</v>
      </c>
      <c r="BC381">
        <f t="shared" si="2435"/>
        <v>314352000</v>
      </c>
      <c r="BD381">
        <f t="shared" si="2310"/>
        <v>0.29411764705882354</v>
      </c>
      <c r="BE381" s="27">
        <f t="shared" si="2436"/>
        <v>293981110.21440005</v>
      </c>
      <c r="BF381" s="30">
        <f t="shared" si="2311"/>
        <v>0.40079999999999999</v>
      </c>
      <c r="BG381" s="27"/>
      <c r="BH381" s="27"/>
      <c r="BI381" s="27"/>
      <c r="CA381" s="20">
        <f t="shared" si="2312"/>
        <v>305</v>
      </c>
      <c r="CB381" s="20">
        <f t="shared" si="2313"/>
        <v>30500</v>
      </c>
    </row>
    <row r="382" spans="1:80" x14ac:dyDescent="0.15">
      <c r="A382">
        <v>4301</v>
      </c>
      <c r="B382" s="3" t="s">
        <v>108</v>
      </c>
      <c r="C382" s="4" t="s">
        <v>109</v>
      </c>
      <c r="D382" s="4" t="s">
        <v>110</v>
      </c>
      <c r="E382" s="5">
        <v>3</v>
      </c>
      <c r="F382" s="7" t="s">
        <v>141</v>
      </c>
      <c r="G382" s="5">
        <v>2.5</v>
      </c>
      <c r="H382" s="7" t="s">
        <v>194</v>
      </c>
      <c r="I382" s="5">
        <v>0</v>
      </c>
      <c r="J382" s="5">
        <v>0</v>
      </c>
      <c r="K382">
        <v>2</v>
      </c>
      <c r="L382">
        <v>1.5</v>
      </c>
      <c r="M382" s="5">
        <v>1.5</v>
      </c>
      <c r="N382" s="5">
        <v>10</v>
      </c>
      <c r="O382" s="5">
        <f t="shared" si="2293"/>
        <v>50434</v>
      </c>
      <c r="P382" s="5">
        <f t="shared" si="2294"/>
        <v>277056000</v>
      </c>
      <c r="Q382" s="5">
        <f t="shared" si="2295"/>
        <v>4617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70011</v>
      </c>
      <c r="X382" s="6" t="s">
        <v>179</v>
      </c>
      <c r="Y382" s="5">
        <v>300</v>
      </c>
      <c r="Z382" s="5">
        <v>1</v>
      </c>
      <c r="AA382" s="5">
        <v>71954749</v>
      </c>
      <c r="AB382" s="16" t="s">
        <v>111</v>
      </c>
      <c r="AC382" s="7" t="s">
        <v>112</v>
      </c>
      <c r="AD382" s="7" t="s">
        <v>112</v>
      </c>
      <c r="AE382" s="7" t="s">
        <v>112</v>
      </c>
      <c r="AF382" s="6" t="s">
        <v>113</v>
      </c>
      <c r="AG382" s="26" t="str">
        <f t="shared" ref="AG382" si="2710">CM$4</f>
        <v>4,33,28,33,6,4,33,28,33,6</v>
      </c>
      <c r="AH382" s="26" t="str">
        <f t="shared" ref="AH382" si="2711">CN$4</f>
        <v>0,8,0,8,1,0,8,0,8,1</v>
      </c>
      <c r="AI382" s="26" t="str">
        <f t="shared" ref="AI382" si="2712">CO$4</f>
        <v>0,0,0,0,1,0,0,0,0,1</v>
      </c>
      <c r="AJ382" s="26" t="str">
        <f t="shared" ref="AJ382" si="2713">CP$4</f>
        <v>0,0,0,0,5,0,0,0,0,5</v>
      </c>
      <c r="AK382" s="26" t="str">
        <f t="shared" ref="AK382" si="2714">CQ$4</f>
        <v>100,1,1000,2,5,200,1,1000,2,5</v>
      </c>
      <c r="AL382" s="26" t="str">
        <f t="shared" ref="AL382" si="2715">CR$4</f>
        <v>5,5,5,5,5,5,5,5,5,5</v>
      </c>
      <c r="AM382" s="7">
        <v>2001</v>
      </c>
      <c r="AO382">
        <f t="shared" ref="AO382" si="2716">AQ382*100+1</f>
        <v>4301</v>
      </c>
      <c r="AP382">
        <v>378</v>
      </c>
      <c r="AQ382">
        <f t="shared" si="2303"/>
        <v>43</v>
      </c>
      <c r="AR382">
        <v>9</v>
      </c>
      <c r="AS382" s="17">
        <f t="shared" si="2384"/>
        <v>250</v>
      </c>
      <c r="AT382">
        <v>8</v>
      </c>
      <c r="AU382">
        <f t="shared" si="2304"/>
        <v>28</v>
      </c>
      <c r="AV382">
        <v>150</v>
      </c>
      <c r="AW382">
        <f t="shared" si="2305"/>
        <v>50434.37567999999</v>
      </c>
      <c r="AX382">
        <f t="shared" si="2434"/>
        <v>277056000</v>
      </c>
      <c r="AY382">
        <f t="shared" si="2306"/>
        <v>4617.6000000000004</v>
      </c>
      <c r="AZ382">
        <f t="shared" si="2307"/>
        <v>9235.2000000000007</v>
      </c>
      <c r="BA382">
        <f t="shared" si="2308"/>
        <v>59903.999999999993</v>
      </c>
      <c r="BB382">
        <f t="shared" si="2309"/>
        <v>2308.8000000000002</v>
      </c>
      <c r="BC382">
        <f t="shared" si="2435"/>
        <v>277056000</v>
      </c>
      <c r="BD382">
        <f t="shared" si="2310"/>
        <v>0.29411764705882348</v>
      </c>
      <c r="BE382" s="27">
        <f t="shared" si="2436"/>
        <v>228361080.72960001</v>
      </c>
      <c r="BF382" s="30">
        <f t="shared" si="2311"/>
        <v>0.4032</v>
      </c>
      <c r="BG382" s="27"/>
      <c r="BH382" s="27"/>
      <c r="BI382" s="27"/>
      <c r="CA382" s="20">
        <f t="shared" si="2312"/>
        <v>310</v>
      </c>
      <c r="CB382" s="20">
        <f t="shared" si="2313"/>
        <v>31000</v>
      </c>
    </row>
    <row r="383" spans="1:80" x14ac:dyDescent="0.15">
      <c r="A383">
        <v>4302</v>
      </c>
      <c r="B383" s="3" t="s">
        <v>115</v>
      </c>
      <c r="C383" s="4" t="s">
        <v>109</v>
      </c>
      <c r="D383" s="6" t="s">
        <v>110</v>
      </c>
      <c r="E383" s="5">
        <v>3</v>
      </c>
      <c r="F383" s="7" t="s">
        <v>142</v>
      </c>
      <c r="G383" s="5">
        <v>3</v>
      </c>
      <c r="H383" s="7" t="s">
        <v>188</v>
      </c>
      <c r="I383" s="5">
        <v>0</v>
      </c>
      <c r="J383" s="5">
        <v>0</v>
      </c>
      <c r="K383">
        <v>2</v>
      </c>
      <c r="L383">
        <v>1.5</v>
      </c>
      <c r="M383" s="5">
        <v>1.5</v>
      </c>
      <c r="N383" s="5">
        <v>10</v>
      </c>
      <c r="O383" s="5">
        <f t="shared" si="2293"/>
        <v>51404</v>
      </c>
      <c r="P383" s="5">
        <f t="shared" si="2294"/>
        <v>282384000</v>
      </c>
      <c r="Q383" s="5">
        <f t="shared" si="2295"/>
        <v>4706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70021</v>
      </c>
      <c r="X383" s="6" t="s">
        <v>180</v>
      </c>
      <c r="Y383" s="5">
        <v>300</v>
      </c>
      <c r="Z383" s="5">
        <v>1</v>
      </c>
      <c r="AA383" s="5">
        <v>54508931</v>
      </c>
      <c r="AB383" s="16" t="s">
        <v>111</v>
      </c>
      <c r="AC383" s="7" t="s">
        <v>112</v>
      </c>
      <c r="AD383" s="7" t="s">
        <v>112</v>
      </c>
      <c r="AE383" s="7" t="s">
        <v>112</v>
      </c>
      <c r="AF383" s="6" t="s">
        <v>113</v>
      </c>
      <c r="AG383" s="26" t="str">
        <f t="shared" ref="AG383" si="2717">CM$5</f>
        <v>4,33,28,33,6,4,33,28,33,6</v>
      </c>
      <c r="AH383" s="26" t="str">
        <f t="shared" ref="AH383" si="2718">CN$5</f>
        <v>0,7,0,7,1,0,7,0,7,1</v>
      </c>
      <c r="AI383" s="26" t="str">
        <f t="shared" ref="AI383" si="2719">CO$5</f>
        <v>0,0,0,0,1,0,0,0,0,1</v>
      </c>
      <c r="AJ383" s="26" t="str">
        <f t="shared" ref="AJ383" si="2720">CP$5</f>
        <v>0,0,0,0,5,0,0,0,0,5</v>
      </c>
      <c r="AK383" s="26" t="str">
        <f t="shared" ref="AK383" si="2721">CQ$5</f>
        <v>100,1,1000,2,5,200,1,1000,2,5</v>
      </c>
      <c r="AL383" s="26" t="str">
        <f t="shared" ref="AL383" si="2722">CR$5</f>
        <v>5,5,5,5,5,5,5,5,5,5</v>
      </c>
      <c r="AM383" s="7">
        <v>2001</v>
      </c>
      <c r="AO383">
        <f t="shared" ref="AO383" si="2723">AQ383*100+2</f>
        <v>4302</v>
      </c>
      <c r="AP383">
        <v>379</v>
      </c>
      <c r="AQ383">
        <f t="shared" si="2303"/>
        <v>43</v>
      </c>
      <c r="AR383">
        <v>9</v>
      </c>
      <c r="AS383" s="17">
        <f t="shared" si="2384"/>
        <v>255</v>
      </c>
      <c r="AT383">
        <v>8</v>
      </c>
      <c r="AU383">
        <f t="shared" si="2304"/>
        <v>28</v>
      </c>
      <c r="AV383">
        <v>150</v>
      </c>
      <c r="AW383">
        <f t="shared" si="2305"/>
        <v>51404.267519999987</v>
      </c>
      <c r="AX383">
        <f t="shared" si="2434"/>
        <v>282384000.00000006</v>
      </c>
      <c r="AY383">
        <f t="shared" si="2306"/>
        <v>4706.4000000000005</v>
      </c>
      <c r="AZ383">
        <f t="shared" si="2307"/>
        <v>9412.8000000000011</v>
      </c>
      <c r="BA383">
        <f t="shared" si="2308"/>
        <v>61055.999999999993</v>
      </c>
      <c r="BB383">
        <f t="shared" si="2309"/>
        <v>2353.2000000000003</v>
      </c>
      <c r="BC383">
        <f t="shared" si="2435"/>
        <v>282384000.00000006</v>
      </c>
      <c r="BD383">
        <f t="shared" si="2310"/>
        <v>0.29411764705882354</v>
      </c>
      <c r="BE383" s="27">
        <f t="shared" si="2436"/>
        <v>237228652.28160012</v>
      </c>
      <c r="BF383" s="30">
        <f t="shared" si="2311"/>
        <v>0.4032</v>
      </c>
      <c r="BG383" s="27"/>
      <c r="BH383" s="27"/>
      <c r="BI383" s="27"/>
      <c r="CA383" s="20">
        <f t="shared" si="2312"/>
        <v>310</v>
      </c>
      <c r="CB383" s="20">
        <f t="shared" si="2313"/>
        <v>31000</v>
      </c>
    </row>
    <row r="384" spans="1:80" x14ac:dyDescent="0.15">
      <c r="A384">
        <v>4303</v>
      </c>
      <c r="B384" s="3" t="s">
        <v>117</v>
      </c>
      <c r="C384" s="4" t="s">
        <v>109</v>
      </c>
      <c r="D384" s="4" t="s">
        <v>110</v>
      </c>
      <c r="E384" s="5">
        <v>1</v>
      </c>
      <c r="F384" s="7" t="s">
        <v>144</v>
      </c>
      <c r="G384" s="5">
        <v>3</v>
      </c>
      <c r="H384" s="7" t="s">
        <v>189</v>
      </c>
      <c r="I384" s="5">
        <v>0</v>
      </c>
      <c r="J384" s="2">
        <v>0</v>
      </c>
      <c r="K384">
        <v>6</v>
      </c>
      <c r="L384">
        <v>1.5</v>
      </c>
      <c r="M384" s="5">
        <v>1.5</v>
      </c>
      <c r="N384" s="5">
        <v>10</v>
      </c>
      <c r="O384" s="5">
        <f t="shared" si="2293"/>
        <v>52374</v>
      </c>
      <c r="P384" s="5">
        <f t="shared" si="2294"/>
        <v>287712000</v>
      </c>
      <c r="Q384" s="5">
        <f t="shared" si="2295"/>
        <v>4795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70031</v>
      </c>
      <c r="X384" s="6" t="s">
        <v>181</v>
      </c>
      <c r="Y384" s="5">
        <v>300</v>
      </c>
      <c r="Z384" s="5">
        <v>1</v>
      </c>
      <c r="AA384" s="5">
        <v>56853135</v>
      </c>
      <c r="AB384" s="16" t="s">
        <v>111</v>
      </c>
      <c r="AC384" s="7" t="s">
        <v>112</v>
      </c>
      <c r="AD384" s="7" t="s">
        <v>112</v>
      </c>
      <c r="AE384" s="7" t="s">
        <v>112</v>
      </c>
      <c r="AF384" s="6" t="s">
        <v>113</v>
      </c>
      <c r="AG384" s="26" t="str">
        <f t="shared" ref="AG384" si="2724">CM$6</f>
        <v>4,28,6,28,6,4,28,6,28,6</v>
      </c>
      <c r="AH384" s="26" t="str">
        <f t="shared" ref="AH384" si="2725">CN$6</f>
        <v>0,0,1,0,1,0,0,1,0,1</v>
      </c>
      <c r="AI384" s="26" t="str">
        <f t="shared" ref="AI384" si="2726">CO$6</f>
        <v>0,0,0,0,1,0,0,0,0,1</v>
      </c>
      <c r="AJ384" s="26" t="str">
        <f t="shared" ref="AJ384" si="2727">CP$6</f>
        <v>0,0,5,0,5,0,0,5,0,5</v>
      </c>
      <c r="AK384" s="26" t="str">
        <f t="shared" ref="AK384" si="2728">CQ$6</f>
        <v>100,1000,5,1500,5,200,1000,5,1500,5</v>
      </c>
      <c r="AL384" s="26" t="str">
        <f t="shared" ref="AL384" si="2729">CR$6</f>
        <v>5,5,5,5,5,5,5,5,5,5</v>
      </c>
      <c r="AM384" s="7">
        <v>2001</v>
      </c>
      <c r="AO384">
        <f t="shared" ref="AO384" si="2730">AQ384*100+3</f>
        <v>4303</v>
      </c>
      <c r="AP384">
        <v>380</v>
      </c>
      <c r="AQ384">
        <f t="shared" si="2303"/>
        <v>43</v>
      </c>
      <c r="AR384">
        <v>9</v>
      </c>
      <c r="AS384" s="17">
        <f t="shared" si="2384"/>
        <v>260</v>
      </c>
      <c r="AT384">
        <v>8</v>
      </c>
      <c r="AU384">
        <f t="shared" si="2304"/>
        <v>28</v>
      </c>
      <c r="AV384">
        <v>150</v>
      </c>
      <c r="AW384">
        <f t="shared" si="2305"/>
        <v>52374.159359999991</v>
      </c>
      <c r="AX384">
        <f t="shared" si="2434"/>
        <v>287712000</v>
      </c>
      <c r="AY384">
        <f t="shared" si="2306"/>
        <v>4795.2</v>
      </c>
      <c r="AZ384">
        <f t="shared" si="2307"/>
        <v>9590.4</v>
      </c>
      <c r="BA384">
        <f t="shared" si="2308"/>
        <v>62207.999999999993</v>
      </c>
      <c r="BB384">
        <f t="shared" si="2309"/>
        <v>2397.6</v>
      </c>
      <c r="BC384">
        <f t="shared" si="2435"/>
        <v>287712000</v>
      </c>
      <c r="BD384">
        <f t="shared" si="2310"/>
        <v>0.29411764705882354</v>
      </c>
      <c r="BE384" s="27">
        <f t="shared" si="2436"/>
        <v>246265129.95840001</v>
      </c>
      <c r="BF384" s="30">
        <f t="shared" si="2311"/>
        <v>0.4032</v>
      </c>
      <c r="BG384" s="27"/>
      <c r="BH384" s="27"/>
      <c r="BI384" s="27"/>
      <c r="CA384" s="20">
        <f t="shared" si="2312"/>
        <v>310</v>
      </c>
      <c r="CB384" s="20">
        <f t="shared" si="2313"/>
        <v>31000</v>
      </c>
    </row>
    <row r="385" spans="1:80" x14ac:dyDescent="0.15">
      <c r="A385">
        <v>4304</v>
      </c>
      <c r="B385" s="3" t="s">
        <v>119</v>
      </c>
      <c r="C385" s="4" t="s">
        <v>109</v>
      </c>
      <c r="D385" s="6" t="s">
        <v>120</v>
      </c>
      <c r="E385" s="5">
        <v>3</v>
      </c>
      <c r="F385" s="7" t="s">
        <v>145</v>
      </c>
      <c r="G385" s="5">
        <v>3</v>
      </c>
      <c r="H385" s="7" t="s">
        <v>190</v>
      </c>
      <c r="I385" s="5">
        <v>0</v>
      </c>
      <c r="J385" s="5">
        <v>0</v>
      </c>
      <c r="K385">
        <v>2</v>
      </c>
      <c r="L385">
        <v>1.5</v>
      </c>
      <c r="M385" s="5">
        <v>1.5</v>
      </c>
      <c r="N385" s="5">
        <v>10</v>
      </c>
      <c r="O385" s="5">
        <f t="shared" si="2293"/>
        <v>53344</v>
      </c>
      <c r="P385" s="5">
        <f t="shared" si="2294"/>
        <v>293040000</v>
      </c>
      <c r="Q385" s="5">
        <f t="shared" si="2295"/>
        <v>4884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70041</v>
      </c>
      <c r="X385" s="6" t="s">
        <v>182</v>
      </c>
      <c r="Y385" s="5">
        <v>300</v>
      </c>
      <c r="Z385" s="5">
        <v>1</v>
      </c>
      <c r="AA385" s="5">
        <v>59246692</v>
      </c>
      <c r="AB385" s="16" t="s">
        <v>111</v>
      </c>
      <c r="AC385" s="7" t="s">
        <v>112</v>
      </c>
      <c r="AD385" s="7" t="s">
        <v>112</v>
      </c>
      <c r="AE385" s="7" t="s">
        <v>112</v>
      </c>
      <c r="AF385" s="6" t="s">
        <v>113</v>
      </c>
      <c r="AG385" s="26" t="str">
        <f t="shared" ref="AG385" si="2731">CM$7</f>
        <v>4,14,28,14,6,4,14,28,14,6</v>
      </c>
      <c r="AH385" s="26" t="str">
        <f t="shared" ref="AH385" si="2732">CN$7</f>
        <v>0,0,0,0,1,0,0,0,0,1</v>
      </c>
      <c r="AI385" s="26" t="str">
        <f t="shared" ref="AI385" si="2733">CO$7</f>
        <v>0,0,0,0,1,0,0,0,0,1</v>
      </c>
      <c r="AJ385" s="26" t="str">
        <f t="shared" ref="AJ385" si="2734">CP$7</f>
        <v>0,0,0,0,5,0,0,0,0,5</v>
      </c>
      <c r="AK385" s="26" t="str">
        <f t="shared" ref="AK385" si="2735">CQ$7</f>
        <v>100,1,1000,2,5,200,1,1000,2,5</v>
      </c>
      <c r="AL385" s="26" t="str">
        <f t="shared" ref="AL385" si="2736">CR$7</f>
        <v>5,5,5,5,5,5,5,5,5,5</v>
      </c>
      <c r="AM385" s="7">
        <v>2001</v>
      </c>
      <c r="AO385">
        <f t="shared" ref="AO385" si="2737">AQ385*100+4</f>
        <v>4304</v>
      </c>
      <c r="AP385">
        <v>381</v>
      </c>
      <c r="AQ385">
        <f t="shared" si="2303"/>
        <v>43</v>
      </c>
      <c r="AR385">
        <v>9</v>
      </c>
      <c r="AS385" s="17">
        <f t="shared" si="2384"/>
        <v>265</v>
      </c>
      <c r="AT385">
        <v>8</v>
      </c>
      <c r="AU385">
        <f t="shared" si="2304"/>
        <v>28</v>
      </c>
      <c r="AV385">
        <v>150</v>
      </c>
      <c r="AW385">
        <f t="shared" si="2305"/>
        <v>53344.051199999987</v>
      </c>
      <c r="AX385">
        <f t="shared" si="2434"/>
        <v>293040000</v>
      </c>
      <c r="AY385">
        <f t="shared" si="2306"/>
        <v>4884</v>
      </c>
      <c r="AZ385">
        <f t="shared" si="2307"/>
        <v>9768</v>
      </c>
      <c r="BA385">
        <f t="shared" si="2308"/>
        <v>63359.999999999993</v>
      </c>
      <c r="BB385">
        <f t="shared" si="2309"/>
        <v>2442</v>
      </c>
      <c r="BC385">
        <f t="shared" si="2435"/>
        <v>293040000</v>
      </c>
      <c r="BD385">
        <f t="shared" si="2310"/>
        <v>0.29411764705882354</v>
      </c>
      <c r="BE385" s="27">
        <f t="shared" si="2436"/>
        <v>255470513.76000008</v>
      </c>
      <c r="BF385" s="30">
        <f t="shared" si="2311"/>
        <v>0.4032</v>
      </c>
      <c r="BG385" s="27"/>
      <c r="BH385" s="27"/>
      <c r="BI385" s="27"/>
      <c r="CA385" s="20">
        <f t="shared" si="2312"/>
        <v>310</v>
      </c>
      <c r="CB385" s="20">
        <f t="shared" si="2313"/>
        <v>31000</v>
      </c>
    </row>
    <row r="386" spans="1:80" x14ac:dyDescent="0.15">
      <c r="A386">
        <v>4305</v>
      </c>
      <c r="B386" s="3" t="s">
        <v>122</v>
      </c>
      <c r="C386" s="4" t="s">
        <v>109</v>
      </c>
      <c r="D386" s="4" t="s">
        <v>110</v>
      </c>
      <c r="E386" s="5">
        <v>2</v>
      </c>
      <c r="F386" s="7" t="s">
        <v>146</v>
      </c>
      <c r="G386" s="5">
        <v>3</v>
      </c>
      <c r="H386" s="7" t="s">
        <v>191</v>
      </c>
      <c r="I386" s="5">
        <v>0</v>
      </c>
      <c r="J386" s="7" t="s">
        <v>148</v>
      </c>
      <c r="K386">
        <v>6</v>
      </c>
      <c r="L386">
        <v>1.5</v>
      </c>
      <c r="M386" s="5">
        <v>1.5</v>
      </c>
      <c r="N386" s="5">
        <v>10</v>
      </c>
      <c r="O386" s="5">
        <f t="shared" si="2293"/>
        <v>54313</v>
      </c>
      <c r="P386" s="5">
        <f t="shared" si="2294"/>
        <v>298368000</v>
      </c>
      <c r="Q386" s="5">
        <f t="shared" si="2295"/>
        <v>4972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70051</v>
      </c>
      <c r="X386" s="6" t="s">
        <v>183</v>
      </c>
      <c r="Y386" s="5">
        <v>300</v>
      </c>
      <c r="Z386" s="5">
        <v>1</v>
      </c>
      <c r="AA386" s="5">
        <v>61689600</v>
      </c>
      <c r="AB386" s="16" t="s">
        <v>111</v>
      </c>
      <c r="AC386" s="7" t="s">
        <v>112</v>
      </c>
      <c r="AD386" s="7" t="s">
        <v>112</v>
      </c>
      <c r="AE386" s="7" t="s">
        <v>112</v>
      </c>
      <c r="AF386" s="6" t="s">
        <v>113</v>
      </c>
      <c r="AG386" s="26" t="str">
        <f t="shared" ref="AG386" si="2738">CM$8</f>
        <v>4,19,28,19,6,4,19,28,19,6</v>
      </c>
      <c r="AH386" s="26" t="str">
        <f t="shared" ref="AH386" si="2739">CN$8</f>
        <v>0,0,0,0,1,0,0,0,0,1</v>
      </c>
      <c r="AI386" s="26" t="str">
        <f t="shared" ref="AI386" si="2740">CO$8</f>
        <v>0,0,0,0,1,0,0,0,0,1</v>
      </c>
      <c r="AJ386" s="26" t="str">
        <f t="shared" ref="AJ386" si="2741">CP$8</f>
        <v>0,0,0,0,5,0,0,0,0,5</v>
      </c>
      <c r="AK386" s="26" t="str">
        <f t="shared" ref="AK386" si="2742">CQ$8</f>
        <v>200,100,1000,200,5,200,100,1000,200,5</v>
      </c>
      <c r="AL386" s="26" t="str">
        <f t="shared" ref="AL386" si="2743">CR$8</f>
        <v>5,5,5,5,5,5,5,5,5,5</v>
      </c>
      <c r="AM386" s="7">
        <v>2001</v>
      </c>
      <c r="AO386">
        <f t="shared" ref="AO386" si="2744">AQ386*100+5</f>
        <v>4305</v>
      </c>
      <c r="AP386">
        <v>382</v>
      </c>
      <c r="AQ386">
        <f t="shared" si="2303"/>
        <v>43</v>
      </c>
      <c r="AR386">
        <v>9</v>
      </c>
      <c r="AS386" s="17">
        <f t="shared" si="2384"/>
        <v>270</v>
      </c>
      <c r="AT386">
        <v>8</v>
      </c>
      <c r="AU386">
        <f t="shared" si="2304"/>
        <v>28</v>
      </c>
      <c r="AV386">
        <v>150</v>
      </c>
      <c r="AW386">
        <f t="shared" si="2305"/>
        <v>54313.943039999998</v>
      </c>
      <c r="AX386">
        <f t="shared" si="2434"/>
        <v>298368000</v>
      </c>
      <c r="AY386">
        <f t="shared" si="2306"/>
        <v>4972.8</v>
      </c>
      <c r="AZ386">
        <f t="shared" si="2307"/>
        <v>9945.6</v>
      </c>
      <c r="BA386">
        <f t="shared" si="2308"/>
        <v>64511.999999999993</v>
      </c>
      <c r="BB386">
        <f t="shared" si="2309"/>
        <v>2486.4</v>
      </c>
      <c r="BC386">
        <f t="shared" si="2435"/>
        <v>298368000</v>
      </c>
      <c r="BD386">
        <f t="shared" si="2310"/>
        <v>0.29411764705882348</v>
      </c>
      <c r="BE386" s="27">
        <f t="shared" si="2436"/>
        <v>264844803.68640003</v>
      </c>
      <c r="BF386" s="30">
        <f t="shared" si="2311"/>
        <v>0.4032</v>
      </c>
      <c r="BG386" s="27"/>
      <c r="BH386" s="27"/>
      <c r="BI386" s="27"/>
      <c r="CA386" s="20">
        <f t="shared" si="2312"/>
        <v>310</v>
      </c>
      <c r="CB386" s="20">
        <f t="shared" si="2313"/>
        <v>31000</v>
      </c>
    </row>
    <row r="387" spans="1:80" x14ac:dyDescent="0.15">
      <c r="A387">
        <v>4306</v>
      </c>
      <c r="B387" s="3" t="s">
        <v>124</v>
      </c>
      <c r="C387" s="4" t="s">
        <v>109</v>
      </c>
      <c r="D387" s="6" t="s">
        <v>120</v>
      </c>
      <c r="E387" s="5">
        <v>1</v>
      </c>
      <c r="F387" s="7" t="s">
        <v>147</v>
      </c>
      <c r="G387" s="5">
        <v>3</v>
      </c>
      <c r="H387" s="7" t="s">
        <v>192</v>
      </c>
      <c r="I387" s="5">
        <v>0</v>
      </c>
      <c r="J387" s="7" t="s">
        <v>149</v>
      </c>
      <c r="K387">
        <v>6</v>
      </c>
      <c r="L387">
        <v>1.5</v>
      </c>
      <c r="M387" s="5">
        <v>1.5</v>
      </c>
      <c r="N387" s="5">
        <v>10</v>
      </c>
      <c r="O387" s="5">
        <f t="shared" si="2293"/>
        <v>55283</v>
      </c>
      <c r="P387" s="5">
        <f t="shared" si="2294"/>
        <v>303696000</v>
      </c>
      <c r="Q387" s="5">
        <f t="shared" si="2295"/>
        <v>5061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70061</v>
      </c>
      <c r="X387" s="6" t="s">
        <v>184</v>
      </c>
      <c r="Y387" s="5">
        <v>300</v>
      </c>
      <c r="Z387" s="5">
        <v>1</v>
      </c>
      <c r="AA387" s="5">
        <v>64181860</v>
      </c>
      <c r="AB387" s="16" t="s">
        <v>111</v>
      </c>
      <c r="AC387" s="7" t="s">
        <v>112</v>
      </c>
      <c r="AD387" s="7" t="s">
        <v>112</v>
      </c>
      <c r="AE387" s="7" t="s">
        <v>112</v>
      </c>
      <c r="AF387" s="6" t="s">
        <v>113</v>
      </c>
      <c r="AG387" s="26" t="str">
        <f t="shared" ref="AG387" si="2745">CM$9</f>
        <v>4,33,28,33,6,4,33,28,33,6</v>
      </c>
      <c r="AH387" s="26" t="str">
        <f t="shared" ref="AH387" si="2746">CN$9</f>
        <v>0,6,0,6,1,0,6,0,6,1</v>
      </c>
      <c r="AI387" s="26" t="str">
        <f t="shared" ref="AI387" si="2747">CO$9</f>
        <v>0,0,0,0,1,0,0,0,0,1</v>
      </c>
      <c r="AJ387" s="26" t="str">
        <f t="shared" ref="AJ387" si="2748">CP$9</f>
        <v>0,0,0,0,5,0,0,0,0,5</v>
      </c>
      <c r="AK387" s="26" t="str">
        <f t="shared" ref="AK387" si="2749">CQ$9</f>
        <v>200,1,1000,2,5,200,1,1000,2,5</v>
      </c>
      <c r="AL387" s="26" t="str">
        <f t="shared" ref="AL387" si="2750">CR$9</f>
        <v>5,5,5,5,5,5,5,5,5,5</v>
      </c>
      <c r="AM387" s="7">
        <v>2001</v>
      </c>
      <c r="AO387">
        <f t="shared" ref="AO387" si="2751">AQ387*100+6</f>
        <v>4306</v>
      </c>
      <c r="AP387">
        <v>383</v>
      </c>
      <c r="AQ387">
        <f t="shared" si="2303"/>
        <v>43</v>
      </c>
      <c r="AR387">
        <v>9</v>
      </c>
      <c r="AS387" s="17">
        <f t="shared" si="2384"/>
        <v>275</v>
      </c>
      <c r="AT387">
        <v>8</v>
      </c>
      <c r="AU387">
        <f t="shared" si="2304"/>
        <v>28</v>
      </c>
      <c r="AV387">
        <v>150</v>
      </c>
      <c r="AW387">
        <f t="shared" si="2305"/>
        <v>55283.834880000002</v>
      </c>
      <c r="AX387">
        <f t="shared" si="2434"/>
        <v>303696000</v>
      </c>
      <c r="AY387">
        <f t="shared" si="2306"/>
        <v>5061.6000000000004</v>
      </c>
      <c r="AZ387">
        <f t="shared" si="2307"/>
        <v>10123.200000000001</v>
      </c>
      <c r="BA387">
        <f t="shared" si="2308"/>
        <v>65664</v>
      </c>
      <c r="BB387">
        <f t="shared" si="2309"/>
        <v>2530.8000000000002</v>
      </c>
      <c r="BC387">
        <f t="shared" si="2435"/>
        <v>303696000</v>
      </c>
      <c r="BD387">
        <f t="shared" si="2310"/>
        <v>0.29411764705882348</v>
      </c>
      <c r="BE387" s="27">
        <f t="shared" si="2436"/>
        <v>274387999.73760003</v>
      </c>
      <c r="BF387" s="30">
        <f t="shared" si="2311"/>
        <v>0.4032</v>
      </c>
      <c r="BG387" s="27"/>
      <c r="BH387" s="27"/>
      <c r="BI387" s="27"/>
      <c r="CA387" s="20">
        <f t="shared" si="2312"/>
        <v>310</v>
      </c>
      <c r="CB387" s="20">
        <f t="shared" si="2313"/>
        <v>31000</v>
      </c>
    </row>
    <row r="388" spans="1:80" x14ac:dyDescent="0.15">
      <c r="A388">
        <v>4307</v>
      </c>
      <c r="B388" s="3" t="s">
        <v>126</v>
      </c>
      <c r="C388" s="4" t="s">
        <v>109</v>
      </c>
      <c r="D388" s="4" t="s">
        <v>110</v>
      </c>
      <c r="E388" s="5">
        <v>2</v>
      </c>
      <c r="F388" s="7" t="s">
        <v>143</v>
      </c>
      <c r="G388" s="5">
        <v>3</v>
      </c>
      <c r="H388" s="7" t="s">
        <v>193</v>
      </c>
      <c r="I388" s="5">
        <v>0</v>
      </c>
      <c r="J388" s="5">
        <v>0</v>
      </c>
      <c r="K388">
        <v>2</v>
      </c>
      <c r="L388">
        <v>1.5</v>
      </c>
      <c r="M388" s="5">
        <v>1.5</v>
      </c>
      <c r="N388" s="5">
        <v>10</v>
      </c>
      <c r="O388" s="5">
        <f t="shared" si="2293"/>
        <v>56253</v>
      </c>
      <c r="P388" s="5">
        <f t="shared" si="2294"/>
        <v>309024000</v>
      </c>
      <c r="Q388" s="5">
        <f t="shared" si="2295"/>
        <v>5150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70071</v>
      </c>
      <c r="X388" s="6" t="s">
        <v>185</v>
      </c>
      <c r="Y388" s="5">
        <v>300</v>
      </c>
      <c r="Z388" s="5">
        <v>1</v>
      </c>
      <c r="AA388" s="5">
        <v>66723471</v>
      </c>
      <c r="AB388" s="16" t="s">
        <v>111</v>
      </c>
      <c r="AC388" s="7" t="s">
        <v>112</v>
      </c>
      <c r="AD388" s="7" t="s">
        <v>112</v>
      </c>
      <c r="AE388" s="7" t="s">
        <v>112</v>
      </c>
      <c r="AF388" s="6" t="s">
        <v>113</v>
      </c>
      <c r="AG388" s="26" t="str">
        <f t="shared" ref="AG388" si="2752">CM$10</f>
        <v>4,14,28,14,6,4,14,28,14,6</v>
      </c>
      <c r="AH388" s="26" t="str">
        <f t="shared" ref="AH388" si="2753">CN$10</f>
        <v>0,0,0,0,1,0,0,0,0,1</v>
      </c>
      <c r="AI388" s="26" t="str">
        <f t="shared" ref="AI388" si="2754">CO$10</f>
        <v>0,0,0,0,1,0,0,0,0,1</v>
      </c>
      <c r="AJ388" s="26" t="str">
        <f t="shared" ref="AJ388" si="2755">CP$10</f>
        <v>0,0,0,0,5,0,0,0,0,5</v>
      </c>
      <c r="AK388" s="26" t="str">
        <f t="shared" ref="AK388" si="2756">CQ$10</f>
        <v>200,1,1000,2,5,200,1,1000,2,5</v>
      </c>
      <c r="AL388" s="26" t="str">
        <f t="shared" ref="AL388" si="2757">CR$10</f>
        <v>5,5,5,5,5,5,5,5,5,5</v>
      </c>
      <c r="AM388" s="7">
        <v>2001</v>
      </c>
      <c r="AO388">
        <f t="shared" ref="AO388" si="2758">AQ388*100+7</f>
        <v>4307</v>
      </c>
      <c r="AP388">
        <v>384</v>
      </c>
      <c r="AQ388">
        <f t="shared" si="2303"/>
        <v>43</v>
      </c>
      <c r="AR388">
        <v>9</v>
      </c>
      <c r="AS388" s="17">
        <f t="shared" si="2384"/>
        <v>280</v>
      </c>
      <c r="AT388">
        <v>8</v>
      </c>
      <c r="AU388">
        <f t="shared" si="2304"/>
        <v>28</v>
      </c>
      <c r="AV388">
        <v>150</v>
      </c>
      <c r="AW388">
        <f t="shared" si="2305"/>
        <v>56253.726719999999</v>
      </c>
      <c r="AX388">
        <f t="shared" si="2434"/>
        <v>309024000.00000006</v>
      </c>
      <c r="AY388">
        <f t="shared" si="2306"/>
        <v>5150.4000000000005</v>
      </c>
      <c r="AZ388">
        <f t="shared" si="2307"/>
        <v>10300.800000000001</v>
      </c>
      <c r="BA388">
        <f t="shared" si="2308"/>
        <v>66816</v>
      </c>
      <c r="BB388">
        <f t="shared" si="2309"/>
        <v>2575.2000000000003</v>
      </c>
      <c r="BC388">
        <f t="shared" si="2435"/>
        <v>309024000.00000006</v>
      </c>
      <c r="BD388">
        <f t="shared" si="2310"/>
        <v>0.29411764705882354</v>
      </c>
      <c r="BE388" s="27">
        <f t="shared" si="2436"/>
        <v>284100101.91360009</v>
      </c>
      <c r="BF388" s="30">
        <f t="shared" si="2311"/>
        <v>0.4032</v>
      </c>
      <c r="BG388" s="27"/>
      <c r="BH388" s="27"/>
      <c r="BI388" s="27"/>
      <c r="CA388" s="20">
        <f t="shared" si="2312"/>
        <v>310</v>
      </c>
      <c r="CB388" s="20">
        <f t="shared" si="2313"/>
        <v>31000</v>
      </c>
    </row>
    <row r="389" spans="1:80" x14ac:dyDescent="0.15">
      <c r="A389">
        <v>4308</v>
      </c>
      <c r="B389" s="3" t="s">
        <v>128</v>
      </c>
      <c r="C389" s="4" t="s">
        <v>109</v>
      </c>
      <c r="D389" s="4" t="s">
        <v>110</v>
      </c>
      <c r="E389" s="5">
        <v>5</v>
      </c>
      <c r="F389" s="7" t="s">
        <v>129</v>
      </c>
      <c r="G389" s="5">
        <v>2</v>
      </c>
      <c r="H389" s="7" t="s">
        <v>130</v>
      </c>
      <c r="I389" s="5">
        <v>0</v>
      </c>
      <c r="J389" s="5">
        <v>0</v>
      </c>
      <c r="K389">
        <v>2</v>
      </c>
      <c r="L389">
        <v>1.5</v>
      </c>
      <c r="M389" s="5">
        <v>1.5</v>
      </c>
      <c r="N389" s="5">
        <v>10</v>
      </c>
      <c r="O389" s="5">
        <f t="shared" ref="O389:O452" si="2759">FLOOR(AW389,1)</f>
        <v>57223</v>
      </c>
      <c r="P389" s="5">
        <f t="shared" ref="P389:P452" si="2760">FLOOR(BC389,1)</f>
        <v>314352000</v>
      </c>
      <c r="Q389" s="5">
        <f t="shared" ref="Q389:Q452" si="2761">FLOOR(AY389,1)</f>
        <v>5239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70081</v>
      </c>
      <c r="X389" s="6" t="s">
        <v>186</v>
      </c>
      <c r="Y389" s="5">
        <v>300</v>
      </c>
      <c r="Z389" s="5">
        <v>1</v>
      </c>
      <c r="AA389" s="5">
        <v>69314435</v>
      </c>
      <c r="AB389" s="16" t="s">
        <v>111</v>
      </c>
      <c r="AC389" s="7" t="s">
        <v>112</v>
      </c>
      <c r="AD389" s="7" t="s">
        <v>112</v>
      </c>
      <c r="AE389" s="7" t="s">
        <v>112</v>
      </c>
      <c r="AF389" s="6" t="s">
        <v>113</v>
      </c>
      <c r="AG389" s="26" t="str">
        <f t="shared" ref="AG389" si="2762">CM$11</f>
        <v>4,28,6,28,6,4,28,6,28,6</v>
      </c>
      <c r="AH389" s="26" t="str">
        <f t="shared" ref="AH389" si="2763">CN$11</f>
        <v>0,0,1,0,1,0,0,1,0,1</v>
      </c>
      <c r="AI389" s="26" t="str">
        <f t="shared" ref="AI389" si="2764">CO$11</f>
        <v>0,0,1,0,1,0,0,1,0,1</v>
      </c>
      <c r="AJ389" s="26" t="str">
        <f t="shared" ref="AJ389" si="2765">CP$11</f>
        <v>0,0,5,0,5,0,0,5,0,5</v>
      </c>
      <c r="AK389" s="26" t="str">
        <f t="shared" ref="AK389" si="2766">CQ$11</f>
        <v>100,1000,5,1500,5,200,1000,5,1500,5</v>
      </c>
      <c r="AL389" s="26" t="str">
        <f t="shared" ref="AL389" si="2767">CR$11</f>
        <v>5,5,5,5,5,5,5,5,5,5</v>
      </c>
      <c r="AM389" s="7">
        <v>2001</v>
      </c>
      <c r="AO389">
        <f t="shared" ref="AO389" si="2768">AQ389*100+8</f>
        <v>4308</v>
      </c>
      <c r="AP389">
        <v>385</v>
      </c>
      <c r="AQ389">
        <f t="shared" ref="AQ389:AQ452" si="2769">FLOOR(AP389/9+1,1)</f>
        <v>43</v>
      </c>
      <c r="AR389">
        <v>9</v>
      </c>
      <c r="AS389" s="17">
        <f t="shared" si="2384"/>
        <v>285</v>
      </c>
      <c r="AT389">
        <v>8</v>
      </c>
      <c r="AU389">
        <f t="shared" ref="AU389:AU452" si="2770">20+FLOOR(AQ389/10,1)*2</f>
        <v>28</v>
      </c>
      <c r="AV389">
        <v>150</v>
      </c>
      <c r="AW389">
        <f t="shared" ref="AW389:AW452" si="2771">BA389*0.6*(1+BF389)</f>
        <v>57223.618559999995</v>
      </c>
      <c r="AX389">
        <f t="shared" si="2434"/>
        <v>314352000</v>
      </c>
      <c r="AY389">
        <f t="shared" ref="AY389:AY452" si="2772">BB389*2</f>
        <v>5239.2</v>
      </c>
      <c r="AZ389">
        <f t="shared" ref="AZ389:AZ452" si="2773">(INDEX($BO$2:$BO$15,MATCH($AR389,$BK$2:$BK$15,0))+INDEX($BP$2:$BP$15,MATCH($AR389,$BK$2:$BK$15,0))*$AS389)*(1+INDEX($BZ$2:$BZ$15,MATCH($AT389,$BX$2:$BX$15,0)))</f>
        <v>10478.4</v>
      </c>
      <c r="BA389">
        <f t="shared" ref="BA389:BA452" si="2774">INDEX($BQ$2:$BQ$15,MATCH($AR389,$BK$2:$BK$15,0))+INDEX($BR$2:$BR$15,MATCH($AR389,$BK$2:$BK$15,0))*$AS389</f>
        <v>67968</v>
      </c>
      <c r="BB389">
        <f t="shared" ref="BB389:BB452" si="2775">(INDEX($BS$2:$BS$15,MATCH($AR389,$BK$2:$BK$15,0))+INDEX($BT$2:$BT$15,MATCH($AR389,$BK$2:$BK$15,0))*$AS389)*(1+INDEX($BZ$2:$BZ$15,MATCH($AT389,$BX$2:$BX$15,0)))</f>
        <v>2619.6</v>
      </c>
      <c r="BC389">
        <f t="shared" si="2435"/>
        <v>314352000</v>
      </c>
      <c r="BD389">
        <f t="shared" ref="BD389:BD452" si="2776">1/(1+AZ389*3/(5*BB389))</f>
        <v>0.29411764705882354</v>
      </c>
      <c r="BE389" s="27">
        <f t="shared" si="2436"/>
        <v>293981110.21440005</v>
      </c>
      <c r="BF389" s="30">
        <f t="shared" ref="BF389:BF452" si="2777">0.3+AQ389*0.0024</f>
        <v>0.4032</v>
      </c>
      <c r="BG389" s="27"/>
      <c r="BH389" s="27"/>
      <c r="BI389" s="27"/>
      <c r="CA389" s="20">
        <f t="shared" ref="CA389:CA452" si="2778">$CA$2+(AQ389-1)*5</f>
        <v>310</v>
      </c>
      <c r="CB389" s="20">
        <f t="shared" ref="CB389:CB452" si="2779">$CB$2+(AQ389-1)*500</f>
        <v>31000</v>
      </c>
    </row>
    <row r="390" spans="1:80" x14ac:dyDescent="0.15">
      <c r="A390">
        <v>4309</v>
      </c>
      <c r="B390" s="3" t="s">
        <v>132</v>
      </c>
      <c r="C390" s="4" t="s">
        <v>109</v>
      </c>
      <c r="D390" s="4" t="s">
        <v>110</v>
      </c>
      <c r="E390" s="5">
        <v>5</v>
      </c>
      <c r="F390" s="7" t="s">
        <v>140</v>
      </c>
      <c r="G390" s="5">
        <v>3</v>
      </c>
      <c r="H390" s="7" t="s">
        <v>140</v>
      </c>
      <c r="I390" s="5">
        <v>0</v>
      </c>
      <c r="J390" s="7">
        <v>0</v>
      </c>
      <c r="K390">
        <v>6</v>
      </c>
      <c r="L390">
        <v>1.5</v>
      </c>
      <c r="M390" s="5">
        <v>1.5</v>
      </c>
      <c r="N390" s="5">
        <v>10</v>
      </c>
      <c r="O390" s="5">
        <f t="shared" si="2759"/>
        <v>58193</v>
      </c>
      <c r="P390" s="5">
        <f t="shared" si="2760"/>
        <v>319680000</v>
      </c>
      <c r="Q390" s="5">
        <f t="shared" si="2761"/>
        <v>5328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70091</v>
      </c>
      <c r="X390" s="6" t="s">
        <v>187</v>
      </c>
      <c r="Y390" s="5">
        <v>300</v>
      </c>
      <c r="Z390" s="5">
        <v>1</v>
      </c>
      <c r="AA390" s="5">
        <v>71954749</v>
      </c>
      <c r="AB390" s="16" t="s">
        <v>111</v>
      </c>
      <c r="AC390" s="7" t="s">
        <v>112</v>
      </c>
      <c r="AD390" s="7" t="s">
        <v>112</v>
      </c>
      <c r="AE390" s="7" t="s">
        <v>112</v>
      </c>
      <c r="AF390" s="6" t="s">
        <v>113</v>
      </c>
      <c r="AG390" s="26" t="str">
        <f t="shared" ref="AG390" si="2780">CM$12</f>
        <v>4,33,28,33,6,4,33,28,33,6</v>
      </c>
      <c r="AH390" s="26" t="str">
        <f t="shared" ref="AH390" si="2781">CN$12</f>
        <v>0,5,0,5,1,0,5,0,5,1</v>
      </c>
      <c r="AI390" s="26" t="str">
        <f t="shared" ref="AI390" si="2782">CO$12</f>
        <v>0,0,0,0,1,0,0,0,0,1</v>
      </c>
      <c r="AJ390" s="26" t="str">
        <f t="shared" ref="AJ390" si="2783">CP$12</f>
        <v>0,0,0,0,5,0,0,0,0,5</v>
      </c>
      <c r="AK390" s="26" t="str">
        <f t="shared" ref="AK390" si="2784">CQ$12</f>
        <v>100,1,1000,2,5,200,1,1000,2,5</v>
      </c>
      <c r="AL390" s="26" t="str">
        <f t="shared" ref="AL390" si="2785">CR$12</f>
        <v>5,5,5,5,5,5,5,5,5,5</v>
      </c>
      <c r="AM390" s="7">
        <v>2001</v>
      </c>
      <c r="AO390">
        <f t="shared" ref="AO390" si="2786">AQ390*100+9</f>
        <v>4309</v>
      </c>
      <c r="AP390">
        <v>386</v>
      </c>
      <c r="AQ390">
        <f t="shared" si="2769"/>
        <v>43</v>
      </c>
      <c r="AR390">
        <v>9</v>
      </c>
      <c r="AS390" s="17">
        <f t="shared" si="2384"/>
        <v>290</v>
      </c>
      <c r="AT390">
        <v>8</v>
      </c>
      <c r="AU390">
        <f t="shared" si="2770"/>
        <v>28</v>
      </c>
      <c r="AV390">
        <v>150</v>
      </c>
      <c r="AW390">
        <f t="shared" si="2771"/>
        <v>58193.510399999999</v>
      </c>
      <c r="AX390">
        <f t="shared" si="2434"/>
        <v>319680000</v>
      </c>
      <c r="AY390">
        <f t="shared" si="2772"/>
        <v>5328</v>
      </c>
      <c r="AZ390">
        <f t="shared" si="2773"/>
        <v>10656</v>
      </c>
      <c r="BA390">
        <f t="shared" si="2774"/>
        <v>69120</v>
      </c>
      <c r="BB390">
        <f t="shared" si="2775"/>
        <v>2664</v>
      </c>
      <c r="BC390">
        <f t="shared" si="2435"/>
        <v>319680000</v>
      </c>
      <c r="BD390">
        <f t="shared" si="2776"/>
        <v>0.29411764705882354</v>
      </c>
      <c r="BE390" s="27">
        <f t="shared" si="2436"/>
        <v>304031024.6400001</v>
      </c>
      <c r="BF390" s="30">
        <f t="shared" si="2777"/>
        <v>0.4032</v>
      </c>
      <c r="BG390" s="27"/>
      <c r="BH390" s="27"/>
      <c r="BI390" s="27"/>
      <c r="CA390" s="20">
        <f t="shared" si="2778"/>
        <v>310</v>
      </c>
      <c r="CB390" s="20">
        <f t="shared" si="2779"/>
        <v>31000</v>
      </c>
    </row>
    <row r="391" spans="1:80" x14ac:dyDescent="0.15">
      <c r="A391">
        <v>4401</v>
      </c>
      <c r="B391" s="3" t="s">
        <v>108</v>
      </c>
      <c r="C391" s="4" t="s">
        <v>109</v>
      </c>
      <c r="D391" s="4" t="s">
        <v>110</v>
      </c>
      <c r="E391" s="5">
        <v>3</v>
      </c>
      <c r="F391" s="7" t="s">
        <v>141</v>
      </c>
      <c r="G391" s="5">
        <v>2.5</v>
      </c>
      <c r="H391" s="7" t="s">
        <v>194</v>
      </c>
      <c r="I391" s="5">
        <v>0</v>
      </c>
      <c r="J391" s="5">
        <v>0</v>
      </c>
      <c r="K391">
        <v>2</v>
      </c>
      <c r="L391">
        <v>1.5</v>
      </c>
      <c r="M391" s="5">
        <v>1.5</v>
      </c>
      <c r="N391" s="5">
        <v>10</v>
      </c>
      <c r="O391" s="5">
        <f t="shared" si="2759"/>
        <v>51492</v>
      </c>
      <c r="P391" s="5">
        <f t="shared" si="2760"/>
        <v>282384000</v>
      </c>
      <c r="Q391" s="5">
        <f t="shared" si="2761"/>
        <v>4706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70011</v>
      </c>
      <c r="X391" s="6" t="s">
        <v>179</v>
      </c>
      <c r="Y391" s="5">
        <v>300</v>
      </c>
      <c r="Z391" s="5">
        <v>1</v>
      </c>
      <c r="AA391" s="5">
        <v>74644416</v>
      </c>
      <c r="AB391" s="16" t="s">
        <v>111</v>
      </c>
      <c r="AC391" s="7" t="s">
        <v>112</v>
      </c>
      <c r="AD391" s="7" t="s">
        <v>112</v>
      </c>
      <c r="AE391" s="7" t="s">
        <v>112</v>
      </c>
      <c r="AF391" s="6" t="s">
        <v>113</v>
      </c>
      <c r="AG391" s="26" t="str">
        <f t="shared" ref="AG391" si="2787">CM$4</f>
        <v>4,33,28,33,6,4,33,28,33,6</v>
      </c>
      <c r="AH391" s="26" t="str">
        <f t="shared" ref="AH391" si="2788">CN$4</f>
        <v>0,8,0,8,1,0,8,0,8,1</v>
      </c>
      <c r="AI391" s="26" t="str">
        <f t="shared" ref="AI391" si="2789">CO$4</f>
        <v>0,0,0,0,1,0,0,0,0,1</v>
      </c>
      <c r="AJ391" s="26" t="str">
        <f t="shared" ref="AJ391" si="2790">CP$4</f>
        <v>0,0,0,0,5,0,0,0,0,5</v>
      </c>
      <c r="AK391" s="26" t="str">
        <f t="shared" ref="AK391" si="2791">CQ$4</f>
        <v>100,1,1000,2,5,200,1,1000,2,5</v>
      </c>
      <c r="AL391" s="26" t="str">
        <f t="shared" ref="AL391" si="2792">CR$4</f>
        <v>5,5,5,5,5,5,5,5,5,5</v>
      </c>
      <c r="AM391" s="7">
        <v>2001</v>
      </c>
      <c r="AO391">
        <f t="shared" ref="AO391" si="2793">AQ391*100+1</f>
        <v>4401</v>
      </c>
      <c r="AP391">
        <v>387</v>
      </c>
      <c r="AQ391">
        <f t="shared" si="2769"/>
        <v>44</v>
      </c>
      <c r="AR391">
        <v>9</v>
      </c>
      <c r="AS391" s="17">
        <f t="shared" si="2384"/>
        <v>255</v>
      </c>
      <c r="AT391">
        <v>8</v>
      </c>
      <c r="AU391">
        <f t="shared" si="2770"/>
        <v>28</v>
      </c>
      <c r="AV391">
        <v>150</v>
      </c>
      <c r="AW391">
        <f t="shared" si="2771"/>
        <v>51492.188159999983</v>
      </c>
      <c r="AX391">
        <f t="shared" si="2434"/>
        <v>282384000.00000006</v>
      </c>
      <c r="AY391">
        <f t="shared" si="2772"/>
        <v>4706.4000000000005</v>
      </c>
      <c r="AZ391">
        <f t="shared" si="2773"/>
        <v>9412.8000000000011</v>
      </c>
      <c r="BA391">
        <f t="shared" si="2774"/>
        <v>61055.999999999993</v>
      </c>
      <c r="BB391">
        <f t="shared" si="2775"/>
        <v>2353.2000000000003</v>
      </c>
      <c r="BC391">
        <f t="shared" si="2435"/>
        <v>282384000.00000006</v>
      </c>
      <c r="BD391">
        <f t="shared" si="2776"/>
        <v>0.29411764705882354</v>
      </c>
      <c r="BE391" s="27">
        <f t="shared" si="2436"/>
        <v>237228652.28160012</v>
      </c>
      <c r="BF391" s="30">
        <f t="shared" si="2777"/>
        <v>0.40559999999999996</v>
      </c>
      <c r="BG391" s="27"/>
      <c r="BH391" s="27"/>
      <c r="BI391" s="27"/>
      <c r="CA391" s="20">
        <f t="shared" si="2778"/>
        <v>315</v>
      </c>
      <c r="CB391" s="20">
        <f t="shared" si="2779"/>
        <v>31500</v>
      </c>
    </row>
    <row r="392" spans="1:80" x14ac:dyDescent="0.15">
      <c r="A392">
        <v>4402</v>
      </c>
      <c r="B392" s="3" t="s">
        <v>115</v>
      </c>
      <c r="C392" s="4" t="s">
        <v>109</v>
      </c>
      <c r="D392" s="6" t="s">
        <v>110</v>
      </c>
      <c r="E392" s="5">
        <v>3</v>
      </c>
      <c r="F392" s="7" t="s">
        <v>142</v>
      </c>
      <c r="G392" s="5">
        <v>3</v>
      </c>
      <c r="H392" s="7" t="s">
        <v>188</v>
      </c>
      <c r="I392" s="5">
        <v>0</v>
      </c>
      <c r="J392" s="5">
        <v>0</v>
      </c>
      <c r="K392">
        <v>2</v>
      </c>
      <c r="L392">
        <v>1.5</v>
      </c>
      <c r="M392" s="5">
        <v>1.5</v>
      </c>
      <c r="N392" s="5">
        <v>10</v>
      </c>
      <c r="O392" s="5">
        <f t="shared" si="2759"/>
        <v>52463</v>
      </c>
      <c r="P392" s="5">
        <f t="shared" si="2760"/>
        <v>287712000</v>
      </c>
      <c r="Q392" s="5">
        <f t="shared" si="2761"/>
        <v>4795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70021</v>
      </c>
      <c r="X392" s="6" t="s">
        <v>180</v>
      </c>
      <c r="Y392" s="5">
        <v>300</v>
      </c>
      <c r="Z392" s="5">
        <v>1</v>
      </c>
      <c r="AA392" s="5">
        <v>56853135</v>
      </c>
      <c r="AB392" s="16" t="s">
        <v>111</v>
      </c>
      <c r="AC392" s="7" t="s">
        <v>112</v>
      </c>
      <c r="AD392" s="7" t="s">
        <v>112</v>
      </c>
      <c r="AE392" s="7" t="s">
        <v>112</v>
      </c>
      <c r="AF392" s="6" t="s">
        <v>113</v>
      </c>
      <c r="AG392" s="26" t="str">
        <f t="shared" ref="AG392" si="2794">CM$5</f>
        <v>4,33,28,33,6,4,33,28,33,6</v>
      </c>
      <c r="AH392" s="26" t="str">
        <f t="shared" ref="AH392" si="2795">CN$5</f>
        <v>0,7,0,7,1,0,7,0,7,1</v>
      </c>
      <c r="AI392" s="26" t="str">
        <f t="shared" ref="AI392" si="2796">CO$5</f>
        <v>0,0,0,0,1,0,0,0,0,1</v>
      </c>
      <c r="AJ392" s="26" t="str">
        <f t="shared" ref="AJ392" si="2797">CP$5</f>
        <v>0,0,0,0,5,0,0,0,0,5</v>
      </c>
      <c r="AK392" s="26" t="str">
        <f t="shared" ref="AK392" si="2798">CQ$5</f>
        <v>100,1,1000,2,5,200,1,1000,2,5</v>
      </c>
      <c r="AL392" s="26" t="str">
        <f t="shared" ref="AL392" si="2799">CR$5</f>
        <v>5,5,5,5,5,5,5,5,5,5</v>
      </c>
      <c r="AM392" s="7">
        <v>2001</v>
      </c>
      <c r="AO392">
        <f t="shared" ref="AO392" si="2800">AQ392*100+2</f>
        <v>4402</v>
      </c>
      <c r="AP392">
        <v>388</v>
      </c>
      <c r="AQ392">
        <f t="shared" si="2769"/>
        <v>44</v>
      </c>
      <c r="AR392">
        <v>9</v>
      </c>
      <c r="AS392" s="17">
        <f t="shared" si="2384"/>
        <v>260</v>
      </c>
      <c r="AT392">
        <v>8</v>
      </c>
      <c r="AU392">
        <f t="shared" si="2770"/>
        <v>28</v>
      </c>
      <c r="AV392">
        <v>150</v>
      </c>
      <c r="AW392">
        <f t="shared" si="2771"/>
        <v>52463.73887999999</v>
      </c>
      <c r="AX392">
        <f t="shared" si="2434"/>
        <v>287712000</v>
      </c>
      <c r="AY392">
        <f t="shared" si="2772"/>
        <v>4795.2</v>
      </c>
      <c r="AZ392">
        <f t="shared" si="2773"/>
        <v>9590.4</v>
      </c>
      <c r="BA392">
        <f t="shared" si="2774"/>
        <v>62207.999999999993</v>
      </c>
      <c r="BB392">
        <f t="shared" si="2775"/>
        <v>2397.6</v>
      </c>
      <c r="BC392">
        <f t="shared" si="2435"/>
        <v>287712000</v>
      </c>
      <c r="BD392">
        <f t="shared" si="2776"/>
        <v>0.29411764705882354</v>
      </c>
      <c r="BE392" s="27">
        <f t="shared" si="2436"/>
        <v>246265129.95840001</v>
      </c>
      <c r="BF392" s="30">
        <f t="shared" si="2777"/>
        <v>0.40559999999999996</v>
      </c>
      <c r="BG392" s="27"/>
      <c r="BH392" s="27"/>
      <c r="BI392" s="27"/>
      <c r="CA392" s="20">
        <f t="shared" si="2778"/>
        <v>315</v>
      </c>
      <c r="CB392" s="20">
        <f t="shared" si="2779"/>
        <v>31500</v>
      </c>
    </row>
    <row r="393" spans="1:80" x14ac:dyDescent="0.15">
      <c r="A393">
        <v>4403</v>
      </c>
      <c r="B393" s="3" t="s">
        <v>117</v>
      </c>
      <c r="C393" s="4" t="s">
        <v>109</v>
      </c>
      <c r="D393" s="4" t="s">
        <v>110</v>
      </c>
      <c r="E393" s="5">
        <v>1</v>
      </c>
      <c r="F393" s="7" t="s">
        <v>144</v>
      </c>
      <c r="G393" s="5">
        <v>3</v>
      </c>
      <c r="H393" s="7" t="s">
        <v>189</v>
      </c>
      <c r="I393" s="5">
        <v>0</v>
      </c>
      <c r="J393" s="2">
        <v>0</v>
      </c>
      <c r="K393">
        <v>6</v>
      </c>
      <c r="L393">
        <v>1.5</v>
      </c>
      <c r="M393" s="5">
        <v>1.5</v>
      </c>
      <c r="N393" s="5">
        <v>10</v>
      </c>
      <c r="O393" s="5">
        <f t="shared" si="2759"/>
        <v>53435</v>
      </c>
      <c r="P393" s="5">
        <f t="shared" si="2760"/>
        <v>293040000</v>
      </c>
      <c r="Q393" s="5">
        <f t="shared" si="2761"/>
        <v>4884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70031</v>
      </c>
      <c r="X393" s="6" t="s">
        <v>181</v>
      </c>
      <c r="Y393" s="5">
        <v>300</v>
      </c>
      <c r="Z393" s="5">
        <v>1</v>
      </c>
      <c r="AA393" s="5">
        <v>59246692</v>
      </c>
      <c r="AB393" s="16" t="s">
        <v>111</v>
      </c>
      <c r="AC393" s="7" t="s">
        <v>112</v>
      </c>
      <c r="AD393" s="7" t="s">
        <v>112</v>
      </c>
      <c r="AE393" s="7" t="s">
        <v>112</v>
      </c>
      <c r="AF393" s="6" t="s">
        <v>113</v>
      </c>
      <c r="AG393" s="26" t="str">
        <f t="shared" ref="AG393" si="2801">CM$6</f>
        <v>4,28,6,28,6,4,28,6,28,6</v>
      </c>
      <c r="AH393" s="26" t="str">
        <f t="shared" ref="AH393" si="2802">CN$6</f>
        <v>0,0,1,0,1,0,0,1,0,1</v>
      </c>
      <c r="AI393" s="26" t="str">
        <f t="shared" ref="AI393" si="2803">CO$6</f>
        <v>0,0,0,0,1,0,0,0,0,1</v>
      </c>
      <c r="AJ393" s="26" t="str">
        <f t="shared" ref="AJ393" si="2804">CP$6</f>
        <v>0,0,5,0,5,0,0,5,0,5</v>
      </c>
      <c r="AK393" s="26" t="str">
        <f t="shared" ref="AK393" si="2805">CQ$6</f>
        <v>100,1000,5,1500,5,200,1000,5,1500,5</v>
      </c>
      <c r="AL393" s="26" t="str">
        <f t="shared" ref="AL393" si="2806">CR$6</f>
        <v>5,5,5,5,5,5,5,5,5,5</v>
      </c>
      <c r="AM393" s="7">
        <v>2001</v>
      </c>
      <c r="AO393">
        <f t="shared" ref="AO393" si="2807">AQ393*100+3</f>
        <v>4403</v>
      </c>
      <c r="AP393">
        <v>389</v>
      </c>
      <c r="AQ393">
        <f t="shared" si="2769"/>
        <v>44</v>
      </c>
      <c r="AR393">
        <v>9</v>
      </c>
      <c r="AS393" s="17">
        <f t="shared" si="2384"/>
        <v>265</v>
      </c>
      <c r="AT393">
        <v>8</v>
      </c>
      <c r="AU393">
        <f t="shared" si="2770"/>
        <v>28</v>
      </c>
      <c r="AV393">
        <v>150</v>
      </c>
      <c r="AW393">
        <f t="shared" si="2771"/>
        <v>53435.289599999989</v>
      </c>
      <c r="AX393">
        <f t="shared" si="2434"/>
        <v>293040000</v>
      </c>
      <c r="AY393">
        <f t="shared" si="2772"/>
        <v>4884</v>
      </c>
      <c r="AZ393">
        <f t="shared" si="2773"/>
        <v>9768</v>
      </c>
      <c r="BA393">
        <f t="shared" si="2774"/>
        <v>63359.999999999993</v>
      </c>
      <c r="BB393">
        <f t="shared" si="2775"/>
        <v>2442</v>
      </c>
      <c r="BC393">
        <f t="shared" si="2435"/>
        <v>293040000</v>
      </c>
      <c r="BD393">
        <f t="shared" si="2776"/>
        <v>0.29411764705882354</v>
      </c>
      <c r="BE393" s="27">
        <f t="shared" si="2436"/>
        <v>255470513.76000008</v>
      </c>
      <c r="BF393" s="30">
        <f t="shared" si="2777"/>
        <v>0.40559999999999996</v>
      </c>
      <c r="BG393" s="27"/>
      <c r="BH393" s="27"/>
      <c r="BI393" s="27"/>
      <c r="CA393" s="20">
        <f t="shared" si="2778"/>
        <v>315</v>
      </c>
      <c r="CB393" s="20">
        <f t="shared" si="2779"/>
        <v>31500</v>
      </c>
    </row>
    <row r="394" spans="1:80" x14ac:dyDescent="0.15">
      <c r="A394">
        <v>4404</v>
      </c>
      <c r="B394" s="3" t="s">
        <v>119</v>
      </c>
      <c r="C394" s="4" t="s">
        <v>109</v>
      </c>
      <c r="D394" s="6" t="s">
        <v>120</v>
      </c>
      <c r="E394" s="5">
        <v>3</v>
      </c>
      <c r="F394" s="7" t="s">
        <v>145</v>
      </c>
      <c r="G394" s="5">
        <v>3</v>
      </c>
      <c r="H394" s="7" t="s">
        <v>190</v>
      </c>
      <c r="I394" s="5">
        <v>0</v>
      </c>
      <c r="J394" s="5">
        <v>0</v>
      </c>
      <c r="K394">
        <v>2</v>
      </c>
      <c r="L394">
        <v>1.5</v>
      </c>
      <c r="M394" s="5">
        <v>1.5</v>
      </c>
      <c r="N394" s="5">
        <v>10</v>
      </c>
      <c r="O394" s="5">
        <f t="shared" si="2759"/>
        <v>54406</v>
      </c>
      <c r="P394" s="5">
        <f t="shared" si="2760"/>
        <v>298368000</v>
      </c>
      <c r="Q394" s="5">
        <f t="shared" si="2761"/>
        <v>4972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70041</v>
      </c>
      <c r="X394" s="6" t="s">
        <v>182</v>
      </c>
      <c r="Y394" s="5">
        <v>300</v>
      </c>
      <c r="Z394" s="5">
        <v>1</v>
      </c>
      <c r="AA394" s="5">
        <v>61689600</v>
      </c>
      <c r="AB394" s="16" t="s">
        <v>111</v>
      </c>
      <c r="AC394" s="7" t="s">
        <v>112</v>
      </c>
      <c r="AD394" s="7" t="s">
        <v>112</v>
      </c>
      <c r="AE394" s="7" t="s">
        <v>112</v>
      </c>
      <c r="AF394" s="6" t="s">
        <v>113</v>
      </c>
      <c r="AG394" s="26" t="str">
        <f t="shared" ref="AG394" si="2808">CM$7</f>
        <v>4,14,28,14,6,4,14,28,14,6</v>
      </c>
      <c r="AH394" s="26" t="str">
        <f t="shared" ref="AH394" si="2809">CN$7</f>
        <v>0,0,0,0,1,0,0,0,0,1</v>
      </c>
      <c r="AI394" s="26" t="str">
        <f t="shared" ref="AI394" si="2810">CO$7</f>
        <v>0,0,0,0,1,0,0,0,0,1</v>
      </c>
      <c r="AJ394" s="26" t="str">
        <f t="shared" ref="AJ394" si="2811">CP$7</f>
        <v>0,0,0,0,5,0,0,0,0,5</v>
      </c>
      <c r="AK394" s="26" t="str">
        <f t="shared" ref="AK394" si="2812">CQ$7</f>
        <v>100,1,1000,2,5,200,1,1000,2,5</v>
      </c>
      <c r="AL394" s="26" t="str">
        <f t="shared" ref="AL394" si="2813">CR$7</f>
        <v>5,5,5,5,5,5,5,5,5,5</v>
      </c>
      <c r="AM394" s="7">
        <v>2001</v>
      </c>
      <c r="AO394">
        <f t="shared" ref="AO394" si="2814">AQ394*100+4</f>
        <v>4404</v>
      </c>
      <c r="AP394">
        <v>390</v>
      </c>
      <c r="AQ394">
        <f t="shared" si="2769"/>
        <v>44</v>
      </c>
      <c r="AR394">
        <v>9</v>
      </c>
      <c r="AS394" s="17">
        <f t="shared" si="2384"/>
        <v>270</v>
      </c>
      <c r="AT394">
        <v>8</v>
      </c>
      <c r="AU394">
        <f t="shared" si="2770"/>
        <v>28</v>
      </c>
      <c r="AV394">
        <v>150</v>
      </c>
      <c r="AW394">
        <f t="shared" si="2771"/>
        <v>54406.840319999996</v>
      </c>
      <c r="AX394">
        <f t="shared" si="2434"/>
        <v>298368000</v>
      </c>
      <c r="AY394">
        <f t="shared" si="2772"/>
        <v>4972.8</v>
      </c>
      <c r="AZ394">
        <f t="shared" si="2773"/>
        <v>9945.6</v>
      </c>
      <c r="BA394">
        <f t="shared" si="2774"/>
        <v>64511.999999999993</v>
      </c>
      <c r="BB394">
        <f t="shared" si="2775"/>
        <v>2486.4</v>
      </c>
      <c r="BC394">
        <f t="shared" si="2435"/>
        <v>298368000</v>
      </c>
      <c r="BD394">
        <f t="shared" si="2776"/>
        <v>0.29411764705882348</v>
      </c>
      <c r="BE394" s="27">
        <f t="shared" si="2436"/>
        <v>264844803.68640003</v>
      </c>
      <c r="BF394" s="30">
        <f t="shared" si="2777"/>
        <v>0.40559999999999996</v>
      </c>
      <c r="BG394" s="27"/>
      <c r="BH394" s="27"/>
      <c r="BI394" s="27"/>
      <c r="CA394" s="20">
        <f t="shared" si="2778"/>
        <v>315</v>
      </c>
      <c r="CB394" s="20">
        <f t="shared" si="2779"/>
        <v>31500</v>
      </c>
    </row>
    <row r="395" spans="1:80" x14ac:dyDescent="0.15">
      <c r="A395">
        <v>4405</v>
      </c>
      <c r="B395" s="3" t="s">
        <v>122</v>
      </c>
      <c r="C395" s="4" t="s">
        <v>109</v>
      </c>
      <c r="D395" s="4" t="s">
        <v>110</v>
      </c>
      <c r="E395" s="5">
        <v>2</v>
      </c>
      <c r="F395" s="7" t="s">
        <v>146</v>
      </c>
      <c r="G395" s="5">
        <v>3</v>
      </c>
      <c r="H395" s="7" t="s">
        <v>191</v>
      </c>
      <c r="I395" s="5">
        <v>0</v>
      </c>
      <c r="J395" s="7" t="s">
        <v>148</v>
      </c>
      <c r="K395">
        <v>6</v>
      </c>
      <c r="L395">
        <v>1.5</v>
      </c>
      <c r="M395" s="5">
        <v>1.5</v>
      </c>
      <c r="N395" s="5">
        <v>10</v>
      </c>
      <c r="O395" s="5">
        <f t="shared" si="2759"/>
        <v>55378</v>
      </c>
      <c r="P395" s="5">
        <f t="shared" si="2760"/>
        <v>303696000</v>
      </c>
      <c r="Q395" s="5">
        <f t="shared" si="2761"/>
        <v>5061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70051</v>
      </c>
      <c r="X395" s="6" t="s">
        <v>183</v>
      </c>
      <c r="Y395" s="5">
        <v>300</v>
      </c>
      <c r="Z395" s="5">
        <v>1</v>
      </c>
      <c r="AA395" s="5">
        <v>64181860</v>
      </c>
      <c r="AB395" s="16" t="s">
        <v>111</v>
      </c>
      <c r="AC395" s="7" t="s">
        <v>112</v>
      </c>
      <c r="AD395" s="7" t="s">
        <v>112</v>
      </c>
      <c r="AE395" s="7" t="s">
        <v>112</v>
      </c>
      <c r="AF395" s="6" t="s">
        <v>113</v>
      </c>
      <c r="AG395" s="26" t="str">
        <f t="shared" ref="AG395" si="2815">CM$8</f>
        <v>4,19,28,19,6,4,19,28,19,6</v>
      </c>
      <c r="AH395" s="26" t="str">
        <f t="shared" ref="AH395" si="2816">CN$8</f>
        <v>0,0,0,0,1,0,0,0,0,1</v>
      </c>
      <c r="AI395" s="26" t="str">
        <f t="shared" ref="AI395" si="2817">CO$8</f>
        <v>0,0,0,0,1,0,0,0,0,1</v>
      </c>
      <c r="AJ395" s="26" t="str">
        <f t="shared" ref="AJ395" si="2818">CP$8</f>
        <v>0,0,0,0,5,0,0,0,0,5</v>
      </c>
      <c r="AK395" s="26" t="str">
        <f t="shared" ref="AK395" si="2819">CQ$8</f>
        <v>200,100,1000,200,5,200,100,1000,200,5</v>
      </c>
      <c r="AL395" s="26" t="str">
        <f t="shared" ref="AL395" si="2820">CR$8</f>
        <v>5,5,5,5,5,5,5,5,5,5</v>
      </c>
      <c r="AM395" s="7">
        <v>2001</v>
      </c>
      <c r="AO395">
        <f t="shared" ref="AO395" si="2821">AQ395*100+5</f>
        <v>4405</v>
      </c>
      <c r="AP395">
        <v>391</v>
      </c>
      <c r="AQ395">
        <f t="shared" si="2769"/>
        <v>44</v>
      </c>
      <c r="AR395">
        <v>9</v>
      </c>
      <c r="AS395" s="17">
        <f t="shared" si="2384"/>
        <v>275</v>
      </c>
      <c r="AT395">
        <v>8</v>
      </c>
      <c r="AU395">
        <f t="shared" si="2770"/>
        <v>28</v>
      </c>
      <c r="AV395">
        <v>150</v>
      </c>
      <c r="AW395">
        <f t="shared" si="2771"/>
        <v>55378.391040000002</v>
      </c>
      <c r="AX395">
        <f t="shared" si="2434"/>
        <v>303696000</v>
      </c>
      <c r="AY395">
        <f t="shared" si="2772"/>
        <v>5061.6000000000004</v>
      </c>
      <c r="AZ395">
        <f t="shared" si="2773"/>
        <v>10123.200000000001</v>
      </c>
      <c r="BA395">
        <f t="shared" si="2774"/>
        <v>65664</v>
      </c>
      <c r="BB395">
        <f t="shared" si="2775"/>
        <v>2530.8000000000002</v>
      </c>
      <c r="BC395">
        <f t="shared" si="2435"/>
        <v>303696000</v>
      </c>
      <c r="BD395">
        <f t="shared" si="2776"/>
        <v>0.29411764705882348</v>
      </c>
      <c r="BE395" s="27">
        <f t="shared" si="2436"/>
        <v>274387999.73760003</v>
      </c>
      <c r="BF395" s="30">
        <f t="shared" si="2777"/>
        <v>0.40559999999999996</v>
      </c>
      <c r="BG395" s="27"/>
      <c r="BH395" s="27"/>
      <c r="BI395" s="27"/>
      <c r="CA395" s="20">
        <f t="shared" si="2778"/>
        <v>315</v>
      </c>
      <c r="CB395" s="20">
        <f t="shared" si="2779"/>
        <v>31500</v>
      </c>
    </row>
    <row r="396" spans="1:80" x14ac:dyDescent="0.15">
      <c r="A396">
        <v>4406</v>
      </c>
      <c r="B396" s="3" t="s">
        <v>124</v>
      </c>
      <c r="C396" s="4" t="s">
        <v>109</v>
      </c>
      <c r="D396" s="6" t="s">
        <v>120</v>
      </c>
      <c r="E396" s="5">
        <v>1</v>
      </c>
      <c r="F396" s="7" t="s">
        <v>147</v>
      </c>
      <c r="G396" s="5">
        <v>3</v>
      </c>
      <c r="H396" s="7" t="s">
        <v>192</v>
      </c>
      <c r="I396" s="5">
        <v>0</v>
      </c>
      <c r="J396" s="7" t="s">
        <v>149</v>
      </c>
      <c r="K396">
        <v>6</v>
      </c>
      <c r="L396">
        <v>1.5</v>
      </c>
      <c r="M396" s="5">
        <v>1.5</v>
      </c>
      <c r="N396" s="5">
        <v>10</v>
      </c>
      <c r="O396" s="5">
        <f t="shared" si="2759"/>
        <v>56349</v>
      </c>
      <c r="P396" s="5">
        <f t="shared" si="2760"/>
        <v>309024000</v>
      </c>
      <c r="Q396" s="5">
        <f t="shared" si="2761"/>
        <v>5150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70061</v>
      </c>
      <c r="X396" s="6" t="s">
        <v>184</v>
      </c>
      <c r="Y396" s="5">
        <v>300</v>
      </c>
      <c r="Z396" s="5">
        <v>1</v>
      </c>
      <c r="AA396" s="5">
        <v>66723471</v>
      </c>
      <c r="AB396" s="16" t="s">
        <v>111</v>
      </c>
      <c r="AC396" s="7" t="s">
        <v>112</v>
      </c>
      <c r="AD396" s="7" t="s">
        <v>112</v>
      </c>
      <c r="AE396" s="7" t="s">
        <v>112</v>
      </c>
      <c r="AF396" s="6" t="s">
        <v>113</v>
      </c>
      <c r="AG396" s="26" t="str">
        <f t="shared" ref="AG396" si="2822">CM$9</f>
        <v>4,33,28,33,6,4,33,28,33,6</v>
      </c>
      <c r="AH396" s="26" t="str">
        <f t="shared" ref="AH396" si="2823">CN$9</f>
        <v>0,6,0,6,1,0,6,0,6,1</v>
      </c>
      <c r="AI396" s="26" t="str">
        <f t="shared" ref="AI396" si="2824">CO$9</f>
        <v>0,0,0,0,1,0,0,0,0,1</v>
      </c>
      <c r="AJ396" s="26" t="str">
        <f t="shared" ref="AJ396" si="2825">CP$9</f>
        <v>0,0,0,0,5,0,0,0,0,5</v>
      </c>
      <c r="AK396" s="26" t="str">
        <f t="shared" ref="AK396" si="2826">CQ$9</f>
        <v>200,1,1000,2,5,200,1,1000,2,5</v>
      </c>
      <c r="AL396" s="26" t="str">
        <f t="shared" ref="AL396" si="2827">CR$9</f>
        <v>5,5,5,5,5,5,5,5,5,5</v>
      </c>
      <c r="AM396" s="7">
        <v>2001</v>
      </c>
      <c r="AO396">
        <f t="shared" ref="AO396" si="2828">AQ396*100+6</f>
        <v>4406</v>
      </c>
      <c r="AP396">
        <v>392</v>
      </c>
      <c r="AQ396">
        <f t="shared" si="2769"/>
        <v>44</v>
      </c>
      <c r="AR396">
        <v>9</v>
      </c>
      <c r="AS396" s="17">
        <f t="shared" si="2384"/>
        <v>280</v>
      </c>
      <c r="AT396">
        <v>8</v>
      </c>
      <c r="AU396">
        <f t="shared" si="2770"/>
        <v>28</v>
      </c>
      <c r="AV396">
        <v>150</v>
      </c>
      <c r="AW396">
        <f t="shared" si="2771"/>
        <v>56349.941759999994</v>
      </c>
      <c r="AX396">
        <f t="shared" si="2434"/>
        <v>309024000.00000006</v>
      </c>
      <c r="AY396">
        <f t="shared" si="2772"/>
        <v>5150.4000000000005</v>
      </c>
      <c r="AZ396">
        <f t="shared" si="2773"/>
        <v>10300.800000000001</v>
      </c>
      <c r="BA396">
        <f t="shared" si="2774"/>
        <v>66816</v>
      </c>
      <c r="BB396">
        <f t="shared" si="2775"/>
        <v>2575.2000000000003</v>
      </c>
      <c r="BC396">
        <f t="shared" si="2435"/>
        <v>309024000.00000006</v>
      </c>
      <c r="BD396">
        <f t="shared" si="2776"/>
        <v>0.29411764705882354</v>
      </c>
      <c r="BE396" s="27">
        <f t="shared" si="2436"/>
        <v>284100101.91360009</v>
      </c>
      <c r="BF396" s="30">
        <f t="shared" si="2777"/>
        <v>0.40559999999999996</v>
      </c>
      <c r="BG396" s="27"/>
      <c r="BH396" s="27"/>
      <c r="BI396" s="27"/>
      <c r="CA396" s="20">
        <f t="shared" si="2778"/>
        <v>315</v>
      </c>
      <c r="CB396" s="20">
        <f t="shared" si="2779"/>
        <v>31500</v>
      </c>
    </row>
    <row r="397" spans="1:80" x14ac:dyDescent="0.15">
      <c r="A397">
        <v>4407</v>
      </c>
      <c r="B397" s="3" t="s">
        <v>126</v>
      </c>
      <c r="C397" s="4" t="s">
        <v>109</v>
      </c>
      <c r="D397" s="4" t="s">
        <v>110</v>
      </c>
      <c r="E397" s="5">
        <v>2</v>
      </c>
      <c r="F397" s="7" t="s">
        <v>143</v>
      </c>
      <c r="G397" s="5">
        <v>3</v>
      </c>
      <c r="H397" s="7" t="s">
        <v>193</v>
      </c>
      <c r="I397" s="5">
        <v>0</v>
      </c>
      <c r="J397" s="5">
        <v>0</v>
      </c>
      <c r="K397">
        <v>2</v>
      </c>
      <c r="L397">
        <v>1.5</v>
      </c>
      <c r="M397" s="5">
        <v>1.5</v>
      </c>
      <c r="N397" s="5">
        <v>10</v>
      </c>
      <c r="O397" s="5">
        <f t="shared" si="2759"/>
        <v>57321</v>
      </c>
      <c r="P397" s="5">
        <f t="shared" si="2760"/>
        <v>314352000</v>
      </c>
      <c r="Q397" s="5">
        <f t="shared" si="2761"/>
        <v>5239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70071</v>
      </c>
      <c r="X397" s="6" t="s">
        <v>185</v>
      </c>
      <c r="Y397" s="5">
        <v>300</v>
      </c>
      <c r="Z397" s="5">
        <v>1</v>
      </c>
      <c r="AA397" s="5">
        <v>69314435</v>
      </c>
      <c r="AB397" s="16" t="s">
        <v>111</v>
      </c>
      <c r="AC397" s="7" t="s">
        <v>112</v>
      </c>
      <c r="AD397" s="7" t="s">
        <v>112</v>
      </c>
      <c r="AE397" s="7" t="s">
        <v>112</v>
      </c>
      <c r="AF397" s="6" t="s">
        <v>113</v>
      </c>
      <c r="AG397" s="26" t="str">
        <f t="shared" ref="AG397" si="2829">CM$10</f>
        <v>4,14,28,14,6,4,14,28,14,6</v>
      </c>
      <c r="AH397" s="26" t="str">
        <f t="shared" ref="AH397" si="2830">CN$10</f>
        <v>0,0,0,0,1,0,0,0,0,1</v>
      </c>
      <c r="AI397" s="26" t="str">
        <f t="shared" ref="AI397" si="2831">CO$10</f>
        <v>0,0,0,0,1,0,0,0,0,1</v>
      </c>
      <c r="AJ397" s="26" t="str">
        <f t="shared" ref="AJ397" si="2832">CP$10</f>
        <v>0,0,0,0,5,0,0,0,0,5</v>
      </c>
      <c r="AK397" s="26" t="str">
        <f t="shared" ref="AK397" si="2833">CQ$10</f>
        <v>200,1,1000,2,5,200,1,1000,2,5</v>
      </c>
      <c r="AL397" s="26" t="str">
        <f t="shared" ref="AL397" si="2834">CR$10</f>
        <v>5,5,5,5,5,5,5,5,5,5</v>
      </c>
      <c r="AM397" s="7">
        <v>2001</v>
      </c>
      <c r="AO397">
        <f t="shared" ref="AO397" si="2835">AQ397*100+7</f>
        <v>4407</v>
      </c>
      <c r="AP397">
        <v>393</v>
      </c>
      <c r="AQ397">
        <f t="shared" si="2769"/>
        <v>44</v>
      </c>
      <c r="AR397">
        <v>9</v>
      </c>
      <c r="AS397" s="17">
        <f t="shared" si="2384"/>
        <v>285</v>
      </c>
      <c r="AT397">
        <v>8</v>
      </c>
      <c r="AU397">
        <f t="shared" si="2770"/>
        <v>28</v>
      </c>
      <c r="AV397">
        <v>150</v>
      </c>
      <c r="AW397">
        <f t="shared" si="2771"/>
        <v>57321.492479999994</v>
      </c>
      <c r="AX397">
        <f t="shared" si="2434"/>
        <v>314352000</v>
      </c>
      <c r="AY397">
        <f t="shared" si="2772"/>
        <v>5239.2</v>
      </c>
      <c r="AZ397">
        <f t="shared" si="2773"/>
        <v>10478.4</v>
      </c>
      <c r="BA397">
        <f t="shared" si="2774"/>
        <v>67968</v>
      </c>
      <c r="BB397">
        <f t="shared" si="2775"/>
        <v>2619.6</v>
      </c>
      <c r="BC397">
        <f t="shared" si="2435"/>
        <v>314352000</v>
      </c>
      <c r="BD397">
        <f t="shared" si="2776"/>
        <v>0.29411764705882354</v>
      </c>
      <c r="BE397" s="27">
        <f t="shared" si="2436"/>
        <v>293981110.21440005</v>
      </c>
      <c r="BF397" s="30">
        <f t="shared" si="2777"/>
        <v>0.40559999999999996</v>
      </c>
      <c r="BG397" s="27"/>
      <c r="BH397" s="27"/>
      <c r="BI397" s="27"/>
      <c r="CA397" s="20">
        <f t="shared" si="2778"/>
        <v>315</v>
      </c>
      <c r="CB397" s="20">
        <f t="shared" si="2779"/>
        <v>31500</v>
      </c>
    </row>
    <row r="398" spans="1:80" x14ac:dyDescent="0.15">
      <c r="A398">
        <v>4408</v>
      </c>
      <c r="B398" s="3" t="s">
        <v>128</v>
      </c>
      <c r="C398" s="4" t="s">
        <v>109</v>
      </c>
      <c r="D398" s="4" t="s">
        <v>110</v>
      </c>
      <c r="E398" s="5">
        <v>5</v>
      </c>
      <c r="F398" s="7" t="s">
        <v>129</v>
      </c>
      <c r="G398" s="5">
        <v>2</v>
      </c>
      <c r="H398" s="7" t="s">
        <v>130</v>
      </c>
      <c r="I398" s="5">
        <v>0</v>
      </c>
      <c r="J398" s="5">
        <v>0</v>
      </c>
      <c r="K398">
        <v>2</v>
      </c>
      <c r="L398">
        <v>1.5</v>
      </c>
      <c r="M398" s="5">
        <v>1.5</v>
      </c>
      <c r="N398" s="5">
        <v>10</v>
      </c>
      <c r="O398" s="5">
        <f t="shared" si="2759"/>
        <v>58293</v>
      </c>
      <c r="P398" s="5">
        <f t="shared" si="2760"/>
        <v>319680000</v>
      </c>
      <c r="Q398" s="5">
        <f t="shared" si="2761"/>
        <v>5328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70081</v>
      </c>
      <c r="X398" s="6" t="s">
        <v>186</v>
      </c>
      <c r="Y398" s="5">
        <v>300</v>
      </c>
      <c r="Z398" s="5">
        <v>1</v>
      </c>
      <c r="AA398" s="5">
        <v>71954749</v>
      </c>
      <c r="AB398" s="16" t="s">
        <v>111</v>
      </c>
      <c r="AC398" s="7" t="s">
        <v>112</v>
      </c>
      <c r="AD398" s="7" t="s">
        <v>112</v>
      </c>
      <c r="AE398" s="7" t="s">
        <v>112</v>
      </c>
      <c r="AF398" s="6" t="s">
        <v>113</v>
      </c>
      <c r="AG398" s="26" t="str">
        <f t="shared" ref="AG398" si="2836">CM$11</f>
        <v>4,28,6,28,6,4,28,6,28,6</v>
      </c>
      <c r="AH398" s="26" t="str">
        <f t="shared" ref="AH398" si="2837">CN$11</f>
        <v>0,0,1,0,1,0,0,1,0,1</v>
      </c>
      <c r="AI398" s="26" t="str">
        <f t="shared" ref="AI398" si="2838">CO$11</f>
        <v>0,0,1,0,1,0,0,1,0,1</v>
      </c>
      <c r="AJ398" s="26" t="str">
        <f t="shared" ref="AJ398" si="2839">CP$11</f>
        <v>0,0,5,0,5,0,0,5,0,5</v>
      </c>
      <c r="AK398" s="26" t="str">
        <f t="shared" ref="AK398" si="2840">CQ$11</f>
        <v>100,1000,5,1500,5,200,1000,5,1500,5</v>
      </c>
      <c r="AL398" s="26" t="str">
        <f t="shared" ref="AL398" si="2841">CR$11</f>
        <v>5,5,5,5,5,5,5,5,5,5</v>
      </c>
      <c r="AM398" s="7">
        <v>2001</v>
      </c>
      <c r="AO398">
        <f t="shared" ref="AO398" si="2842">AQ398*100+8</f>
        <v>4408</v>
      </c>
      <c r="AP398">
        <v>394</v>
      </c>
      <c r="AQ398">
        <f t="shared" si="2769"/>
        <v>44</v>
      </c>
      <c r="AR398">
        <v>9</v>
      </c>
      <c r="AS398" s="17">
        <f t="shared" si="2384"/>
        <v>290</v>
      </c>
      <c r="AT398">
        <v>8</v>
      </c>
      <c r="AU398">
        <f t="shared" si="2770"/>
        <v>28</v>
      </c>
      <c r="AV398">
        <v>150</v>
      </c>
      <c r="AW398">
        <f t="shared" si="2771"/>
        <v>58293.0432</v>
      </c>
      <c r="AX398">
        <f t="shared" si="2434"/>
        <v>319680000</v>
      </c>
      <c r="AY398">
        <f t="shared" si="2772"/>
        <v>5328</v>
      </c>
      <c r="AZ398">
        <f t="shared" si="2773"/>
        <v>10656</v>
      </c>
      <c r="BA398">
        <f t="shared" si="2774"/>
        <v>69120</v>
      </c>
      <c r="BB398">
        <f t="shared" si="2775"/>
        <v>2664</v>
      </c>
      <c r="BC398">
        <f t="shared" si="2435"/>
        <v>319680000</v>
      </c>
      <c r="BD398">
        <f t="shared" si="2776"/>
        <v>0.29411764705882354</v>
      </c>
      <c r="BE398" s="27">
        <f t="shared" si="2436"/>
        <v>304031024.6400001</v>
      </c>
      <c r="BF398" s="30">
        <f t="shared" si="2777"/>
        <v>0.40559999999999996</v>
      </c>
      <c r="BG398" s="27"/>
      <c r="BH398" s="27"/>
      <c r="BI398" s="27"/>
      <c r="CA398" s="20">
        <f t="shared" si="2778"/>
        <v>315</v>
      </c>
      <c r="CB398" s="20">
        <f t="shared" si="2779"/>
        <v>31500</v>
      </c>
    </row>
    <row r="399" spans="1:80" x14ac:dyDescent="0.15">
      <c r="A399">
        <v>4409</v>
      </c>
      <c r="B399" s="3" t="s">
        <v>132</v>
      </c>
      <c r="C399" s="4" t="s">
        <v>109</v>
      </c>
      <c r="D399" s="4" t="s">
        <v>110</v>
      </c>
      <c r="E399" s="5">
        <v>5</v>
      </c>
      <c r="F399" s="7" t="s">
        <v>140</v>
      </c>
      <c r="G399" s="5">
        <v>3</v>
      </c>
      <c r="H399" s="7" t="s">
        <v>140</v>
      </c>
      <c r="I399" s="5">
        <v>0</v>
      </c>
      <c r="J399" s="7">
        <v>0</v>
      </c>
      <c r="K399">
        <v>6</v>
      </c>
      <c r="L399">
        <v>1.5</v>
      </c>
      <c r="M399" s="5">
        <v>1.5</v>
      </c>
      <c r="N399" s="5">
        <v>10</v>
      </c>
      <c r="O399" s="5">
        <f t="shared" si="2759"/>
        <v>59264</v>
      </c>
      <c r="P399" s="5">
        <f t="shared" si="2760"/>
        <v>325008000</v>
      </c>
      <c r="Q399" s="5">
        <f t="shared" si="2761"/>
        <v>5416</v>
      </c>
      <c r="R399" s="5">
        <v>0</v>
      </c>
      <c r="S399" s="5">
        <v>0</v>
      </c>
      <c r="T399" s="5">
        <v>0</v>
      </c>
      <c r="U399" s="5">
        <v>0</v>
      </c>
      <c r="V399" s="5">
        <v>0</v>
      </c>
      <c r="W399" s="5">
        <v>70091</v>
      </c>
      <c r="X399" s="6" t="s">
        <v>187</v>
      </c>
      <c r="Y399" s="5">
        <v>300</v>
      </c>
      <c r="Z399" s="5">
        <v>1</v>
      </c>
      <c r="AA399" s="5">
        <v>74644416</v>
      </c>
      <c r="AB399" s="16" t="s">
        <v>111</v>
      </c>
      <c r="AC399" s="7" t="s">
        <v>112</v>
      </c>
      <c r="AD399" s="7" t="s">
        <v>112</v>
      </c>
      <c r="AE399" s="7" t="s">
        <v>112</v>
      </c>
      <c r="AF399" s="6" t="s">
        <v>113</v>
      </c>
      <c r="AG399" s="26" t="str">
        <f t="shared" ref="AG399" si="2843">CM$12</f>
        <v>4,33,28,33,6,4,33,28,33,6</v>
      </c>
      <c r="AH399" s="26" t="str">
        <f t="shared" ref="AH399" si="2844">CN$12</f>
        <v>0,5,0,5,1,0,5,0,5,1</v>
      </c>
      <c r="AI399" s="26" t="str">
        <f t="shared" ref="AI399" si="2845">CO$12</f>
        <v>0,0,0,0,1,0,0,0,0,1</v>
      </c>
      <c r="AJ399" s="26" t="str">
        <f t="shared" ref="AJ399" si="2846">CP$12</f>
        <v>0,0,0,0,5,0,0,0,0,5</v>
      </c>
      <c r="AK399" s="26" t="str">
        <f t="shared" ref="AK399" si="2847">CQ$12</f>
        <v>100,1,1000,2,5,200,1,1000,2,5</v>
      </c>
      <c r="AL399" s="26" t="str">
        <f t="shared" ref="AL399" si="2848">CR$12</f>
        <v>5,5,5,5,5,5,5,5,5,5</v>
      </c>
      <c r="AM399" s="7">
        <v>2001</v>
      </c>
      <c r="AO399">
        <f t="shared" ref="AO399" si="2849">AQ399*100+9</f>
        <v>4409</v>
      </c>
      <c r="AP399">
        <v>395</v>
      </c>
      <c r="AQ399">
        <f t="shared" si="2769"/>
        <v>44</v>
      </c>
      <c r="AR399">
        <v>9</v>
      </c>
      <c r="AS399" s="17">
        <f t="shared" ref="AS399:AS462" si="2850">AS390+5</f>
        <v>295</v>
      </c>
      <c r="AT399">
        <v>8</v>
      </c>
      <c r="AU399">
        <f t="shared" si="2770"/>
        <v>28</v>
      </c>
      <c r="AV399">
        <v>150</v>
      </c>
      <c r="AW399">
        <f t="shared" si="2771"/>
        <v>59264.593919999992</v>
      </c>
      <c r="AX399">
        <f t="shared" si="2434"/>
        <v>325008000</v>
      </c>
      <c r="AY399">
        <f t="shared" si="2772"/>
        <v>5416.8</v>
      </c>
      <c r="AZ399">
        <f t="shared" si="2773"/>
        <v>10833.6</v>
      </c>
      <c r="BA399">
        <f t="shared" si="2774"/>
        <v>70272</v>
      </c>
      <c r="BB399">
        <f t="shared" si="2775"/>
        <v>2708.4</v>
      </c>
      <c r="BC399">
        <f t="shared" si="2435"/>
        <v>325008000</v>
      </c>
      <c r="BD399">
        <f t="shared" si="2776"/>
        <v>0.29411764705882348</v>
      </c>
      <c r="BE399" s="27">
        <f t="shared" si="2436"/>
        <v>314249845.19039994</v>
      </c>
      <c r="BF399" s="30">
        <f t="shared" si="2777"/>
        <v>0.40559999999999996</v>
      </c>
      <c r="BG399" s="27"/>
      <c r="BH399" s="27"/>
      <c r="BI399" s="27"/>
      <c r="CA399" s="20">
        <f t="shared" si="2778"/>
        <v>315</v>
      </c>
      <c r="CB399" s="20">
        <f t="shared" si="2779"/>
        <v>31500</v>
      </c>
    </row>
    <row r="400" spans="1:80" x14ac:dyDescent="0.15">
      <c r="A400">
        <v>4501</v>
      </c>
      <c r="B400" s="3" t="s">
        <v>108</v>
      </c>
      <c r="C400" s="4" t="s">
        <v>109</v>
      </c>
      <c r="D400" s="4" t="s">
        <v>110</v>
      </c>
      <c r="E400" s="5">
        <v>3</v>
      </c>
      <c r="F400" s="7" t="s">
        <v>141</v>
      </c>
      <c r="G400" s="5">
        <v>2.5</v>
      </c>
      <c r="H400" s="7" t="s">
        <v>194</v>
      </c>
      <c r="I400" s="5">
        <v>0</v>
      </c>
      <c r="J400" s="5">
        <v>0</v>
      </c>
      <c r="K400">
        <v>2</v>
      </c>
      <c r="L400">
        <v>1.5</v>
      </c>
      <c r="M400" s="5">
        <v>1.5</v>
      </c>
      <c r="N400" s="5">
        <v>10</v>
      </c>
      <c r="O400" s="5">
        <f t="shared" si="2759"/>
        <v>52553</v>
      </c>
      <c r="P400" s="5">
        <f t="shared" si="2760"/>
        <v>287712000</v>
      </c>
      <c r="Q400" s="5">
        <f t="shared" si="2761"/>
        <v>4795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70011</v>
      </c>
      <c r="X400" s="6" t="s">
        <v>179</v>
      </c>
      <c r="Y400" s="5">
        <v>300</v>
      </c>
      <c r="Z400" s="5">
        <v>1</v>
      </c>
      <c r="AA400" s="5">
        <v>77383434</v>
      </c>
      <c r="AB400" s="16" t="s">
        <v>111</v>
      </c>
      <c r="AC400" s="7" t="s">
        <v>112</v>
      </c>
      <c r="AD400" s="7" t="s">
        <v>112</v>
      </c>
      <c r="AE400" s="7" t="s">
        <v>112</v>
      </c>
      <c r="AF400" s="6" t="s">
        <v>113</v>
      </c>
      <c r="AG400" s="26" t="str">
        <f t="shared" ref="AG400" si="2851">CM$4</f>
        <v>4,33,28,33,6,4,33,28,33,6</v>
      </c>
      <c r="AH400" s="26" t="str">
        <f t="shared" ref="AH400" si="2852">CN$4</f>
        <v>0,8,0,8,1,0,8,0,8,1</v>
      </c>
      <c r="AI400" s="26" t="str">
        <f t="shared" ref="AI400" si="2853">CO$4</f>
        <v>0,0,0,0,1,0,0,0,0,1</v>
      </c>
      <c r="AJ400" s="26" t="str">
        <f t="shared" ref="AJ400" si="2854">CP$4</f>
        <v>0,0,0,0,5,0,0,0,0,5</v>
      </c>
      <c r="AK400" s="26" t="str">
        <f t="shared" ref="AK400" si="2855">CQ$4</f>
        <v>100,1,1000,2,5,200,1,1000,2,5</v>
      </c>
      <c r="AL400" s="26" t="str">
        <f t="shared" ref="AL400" si="2856">CR$4</f>
        <v>5,5,5,5,5,5,5,5,5,5</v>
      </c>
      <c r="AM400" s="7">
        <v>2001</v>
      </c>
      <c r="AO400">
        <f t="shared" ref="AO400" si="2857">AQ400*100+1</f>
        <v>4501</v>
      </c>
      <c r="AP400">
        <v>396</v>
      </c>
      <c r="AQ400">
        <f t="shared" si="2769"/>
        <v>45</v>
      </c>
      <c r="AR400">
        <v>9</v>
      </c>
      <c r="AS400" s="17">
        <f t="shared" si="2850"/>
        <v>260</v>
      </c>
      <c r="AT400">
        <v>8</v>
      </c>
      <c r="AU400">
        <f t="shared" si="2770"/>
        <v>28</v>
      </c>
      <c r="AV400">
        <v>150</v>
      </c>
      <c r="AW400">
        <f t="shared" si="2771"/>
        <v>52553.318399999989</v>
      </c>
      <c r="AX400">
        <f t="shared" si="2434"/>
        <v>287712000</v>
      </c>
      <c r="AY400">
        <f t="shared" si="2772"/>
        <v>4795.2</v>
      </c>
      <c r="AZ400">
        <f t="shared" si="2773"/>
        <v>9590.4</v>
      </c>
      <c r="BA400">
        <f t="shared" si="2774"/>
        <v>62207.999999999993</v>
      </c>
      <c r="BB400">
        <f t="shared" si="2775"/>
        <v>2397.6</v>
      </c>
      <c r="BC400">
        <f t="shared" si="2435"/>
        <v>287712000</v>
      </c>
      <c r="BD400">
        <f t="shared" si="2776"/>
        <v>0.29411764705882354</v>
      </c>
      <c r="BE400" s="27">
        <f t="shared" si="2436"/>
        <v>246265129.95840001</v>
      </c>
      <c r="BF400" s="30">
        <f t="shared" si="2777"/>
        <v>0.40799999999999997</v>
      </c>
      <c r="BG400" s="27"/>
      <c r="BH400" s="27"/>
      <c r="BI400" s="27"/>
      <c r="CA400" s="20">
        <f t="shared" si="2778"/>
        <v>320</v>
      </c>
      <c r="CB400" s="20">
        <f t="shared" si="2779"/>
        <v>32000</v>
      </c>
    </row>
    <row r="401" spans="1:80" x14ac:dyDescent="0.15">
      <c r="A401">
        <v>4502</v>
      </c>
      <c r="B401" s="3" t="s">
        <v>115</v>
      </c>
      <c r="C401" s="4" t="s">
        <v>109</v>
      </c>
      <c r="D401" s="6" t="s">
        <v>110</v>
      </c>
      <c r="E401" s="5">
        <v>3</v>
      </c>
      <c r="F401" s="7" t="s">
        <v>142</v>
      </c>
      <c r="G401" s="5">
        <v>3</v>
      </c>
      <c r="H401" s="7" t="s">
        <v>188</v>
      </c>
      <c r="I401" s="5">
        <v>0</v>
      </c>
      <c r="J401" s="5">
        <v>0</v>
      </c>
      <c r="K401">
        <v>2</v>
      </c>
      <c r="L401">
        <v>1.5</v>
      </c>
      <c r="M401" s="5">
        <v>1.5</v>
      </c>
      <c r="N401" s="5">
        <v>10</v>
      </c>
      <c r="O401" s="5">
        <f t="shared" si="2759"/>
        <v>53526</v>
      </c>
      <c r="P401" s="5">
        <f t="shared" si="2760"/>
        <v>293040000</v>
      </c>
      <c r="Q401" s="5">
        <f t="shared" si="2761"/>
        <v>4884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70021</v>
      </c>
      <c r="X401" s="6" t="s">
        <v>180</v>
      </c>
      <c r="Y401" s="5">
        <v>300</v>
      </c>
      <c r="Z401" s="5">
        <v>1</v>
      </c>
      <c r="AA401" s="5">
        <v>59246692</v>
      </c>
      <c r="AB401" s="16" t="s">
        <v>111</v>
      </c>
      <c r="AC401" s="7" t="s">
        <v>112</v>
      </c>
      <c r="AD401" s="7" t="s">
        <v>112</v>
      </c>
      <c r="AE401" s="7" t="s">
        <v>112</v>
      </c>
      <c r="AF401" s="6" t="s">
        <v>113</v>
      </c>
      <c r="AG401" s="26" t="str">
        <f t="shared" ref="AG401" si="2858">CM$5</f>
        <v>4,33,28,33,6,4,33,28,33,6</v>
      </c>
      <c r="AH401" s="26" t="str">
        <f t="shared" ref="AH401" si="2859">CN$5</f>
        <v>0,7,0,7,1,0,7,0,7,1</v>
      </c>
      <c r="AI401" s="26" t="str">
        <f t="shared" ref="AI401" si="2860">CO$5</f>
        <v>0,0,0,0,1,0,0,0,0,1</v>
      </c>
      <c r="AJ401" s="26" t="str">
        <f t="shared" ref="AJ401" si="2861">CP$5</f>
        <v>0,0,0,0,5,0,0,0,0,5</v>
      </c>
      <c r="AK401" s="26" t="str">
        <f t="shared" ref="AK401" si="2862">CQ$5</f>
        <v>100,1,1000,2,5,200,1,1000,2,5</v>
      </c>
      <c r="AL401" s="26" t="str">
        <f t="shared" ref="AL401" si="2863">CR$5</f>
        <v>5,5,5,5,5,5,5,5,5,5</v>
      </c>
      <c r="AM401" s="7">
        <v>2001</v>
      </c>
      <c r="AO401">
        <f t="shared" ref="AO401" si="2864">AQ401*100+2</f>
        <v>4502</v>
      </c>
      <c r="AP401">
        <v>397</v>
      </c>
      <c r="AQ401">
        <f t="shared" si="2769"/>
        <v>45</v>
      </c>
      <c r="AR401">
        <v>9</v>
      </c>
      <c r="AS401" s="17">
        <f t="shared" si="2850"/>
        <v>265</v>
      </c>
      <c r="AT401">
        <v>8</v>
      </c>
      <c r="AU401">
        <f t="shared" si="2770"/>
        <v>28</v>
      </c>
      <c r="AV401">
        <v>150</v>
      </c>
      <c r="AW401">
        <f t="shared" si="2771"/>
        <v>53526.527999999984</v>
      </c>
      <c r="AX401">
        <f t="shared" si="2434"/>
        <v>293040000</v>
      </c>
      <c r="AY401">
        <f t="shared" si="2772"/>
        <v>4884</v>
      </c>
      <c r="AZ401">
        <f t="shared" si="2773"/>
        <v>9768</v>
      </c>
      <c r="BA401">
        <f t="shared" si="2774"/>
        <v>63359.999999999993</v>
      </c>
      <c r="BB401">
        <f t="shared" si="2775"/>
        <v>2442</v>
      </c>
      <c r="BC401">
        <f t="shared" si="2435"/>
        <v>293040000</v>
      </c>
      <c r="BD401">
        <f t="shared" si="2776"/>
        <v>0.29411764705882354</v>
      </c>
      <c r="BE401" s="27">
        <f t="shared" si="2436"/>
        <v>255470513.76000008</v>
      </c>
      <c r="BF401" s="30">
        <f t="shared" si="2777"/>
        <v>0.40799999999999997</v>
      </c>
      <c r="BG401" s="27"/>
      <c r="BH401" s="27"/>
      <c r="BI401" s="27"/>
      <c r="CA401" s="20">
        <f t="shared" si="2778"/>
        <v>320</v>
      </c>
      <c r="CB401" s="20">
        <f t="shared" si="2779"/>
        <v>32000</v>
      </c>
    </row>
    <row r="402" spans="1:80" x14ac:dyDescent="0.15">
      <c r="A402">
        <v>4503</v>
      </c>
      <c r="B402" s="3" t="s">
        <v>117</v>
      </c>
      <c r="C402" s="4" t="s">
        <v>109</v>
      </c>
      <c r="D402" s="4" t="s">
        <v>110</v>
      </c>
      <c r="E402" s="5">
        <v>1</v>
      </c>
      <c r="F402" s="7" t="s">
        <v>144</v>
      </c>
      <c r="G402" s="5">
        <v>3</v>
      </c>
      <c r="H402" s="7" t="s">
        <v>189</v>
      </c>
      <c r="I402" s="5">
        <v>0</v>
      </c>
      <c r="J402" s="2">
        <v>0</v>
      </c>
      <c r="K402">
        <v>6</v>
      </c>
      <c r="L402">
        <v>1.5</v>
      </c>
      <c r="M402" s="5">
        <v>1.5</v>
      </c>
      <c r="N402" s="5">
        <v>10</v>
      </c>
      <c r="O402" s="5">
        <f t="shared" si="2759"/>
        <v>54499</v>
      </c>
      <c r="P402" s="5">
        <f t="shared" si="2760"/>
        <v>298368000</v>
      </c>
      <c r="Q402" s="5">
        <f t="shared" si="2761"/>
        <v>4972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70031</v>
      </c>
      <c r="X402" s="6" t="s">
        <v>181</v>
      </c>
      <c r="Y402" s="5">
        <v>300</v>
      </c>
      <c r="Z402" s="5">
        <v>1</v>
      </c>
      <c r="AA402" s="5">
        <v>61689600</v>
      </c>
      <c r="AB402" s="16" t="s">
        <v>111</v>
      </c>
      <c r="AC402" s="7" t="s">
        <v>112</v>
      </c>
      <c r="AD402" s="7" t="s">
        <v>112</v>
      </c>
      <c r="AE402" s="7" t="s">
        <v>112</v>
      </c>
      <c r="AF402" s="6" t="s">
        <v>113</v>
      </c>
      <c r="AG402" s="26" t="str">
        <f t="shared" ref="AG402" si="2865">CM$6</f>
        <v>4,28,6,28,6,4,28,6,28,6</v>
      </c>
      <c r="AH402" s="26" t="str">
        <f t="shared" ref="AH402" si="2866">CN$6</f>
        <v>0,0,1,0,1,0,0,1,0,1</v>
      </c>
      <c r="AI402" s="26" t="str">
        <f t="shared" ref="AI402" si="2867">CO$6</f>
        <v>0,0,0,0,1,0,0,0,0,1</v>
      </c>
      <c r="AJ402" s="26" t="str">
        <f t="shared" ref="AJ402" si="2868">CP$6</f>
        <v>0,0,5,0,5,0,0,5,0,5</v>
      </c>
      <c r="AK402" s="26" t="str">
        <f t="shared" ref="AK402" si="2869">CQ$6</f>
        <v>100,1000,5,1500,5,200,1000,5,1500,5</v>
      </c>
      <c r="AL402" s="26" t="str">
        <f t="shared" ref="AL402" si="2870">CR$6</f>
        <v>5,5,5,5,5,5,5,5,5,5</v>
      </c>
      <c r="AM402" s="7">
        <v>2001</v>
      </c>
      <c r="AO402">
        <f t="shared" ref="AO402" si="2871">AQ402*100+3</f>
        <v>4503</v>
      </c>
      <c r="AP402">
        <v>398</v>
      </c>
      <c r="AQ402">
        <f t="shared" si="2769"/>
        <v>45</v>
      </c>
      <c r="AR402">
        <v>9</v>
      </c>
      <c r="AS402" s="17">
        <f t="shared" si="2850"/>
        <v>270</v>
      </c>
      <c r="AT402">
        <v>8</v>
      </c>
      <c r="AU402">
        <f t="shared" si="2770"/>
        <v>28</v>
      </c>
      <c r="AV402">
        <v>150</v>
      </c>
      <c r="AW402">
        <f t="shared" si="2771"/>
        <v>54499.737599999993</v>
      </c>
      <c r="AX402">
        <f t="shared" si="2434"/>
        <v>298368000</v>
      </c>
      <c r="AY402">
        <f t="shared" si="2772"/>
        <v>4972.8</v>
      </c>
      <c r="AZ402">
        <f t="shared" si="2773"/>
        <v>9945.6</v>
      </c>
      <c r="BA402">
        <f t="shared" si="2774"/>
        <v>64511.999999999993</v>
      </c>
      <c r="BB402">
        <f t="shared" si="2775"/>
        <v>2486.4</v>
      </c>
      <c r="BC402">
        <f t="shared" si="2435"/>
        <v>298368000</v>
      </c>
      <c r="BD402">
        <f t="shared" si="2776"/>
        <v>0.29411764705882348</v>
      </c>
      <c r="BE402" s="27">
        <f t="shared" si="2436"/>
        <v>264844803.68640003</v>
      </c>
      <c r="BF402" s="30">
        <f t="shared" si="2777"/>
        <v>0.40799999999999997</v>
      </c>
      <c r="BG402" s="27"/>
      <c r="BH402" s="27"/>
      <c r="BI402" s="27"/>
      <c r="CA402" s="20">
        <f t="shared" si="2778"/>
        <v>320</v>
      </c>
      <c r="CB402" s="20">
        <f t="shared" si="2779"/>
        <v>32000</v>
      </c>
    </row>
    <row r="403" spans="1:80" x14ac:dyDescent="0.15">
      <c r="A403">
        <v>4504</v>
      </c>
      <c r="B403" s="3" t="s">
        <v>119</v>
      </c>
      <c r="C403" s="4" t="s">
        <v>109</v>
      </c>
      <c r="D403" s="6" t="s">
        <v>120</v>
      </c>
      <c r="E403" s="5">
        <v>3</v>
      </c>
      <c r="F403" s="7" t="s">
        <v>145</v>
      </c>
      <c r="G403" s="5">
        <v>3</v>
      </c>
      <c r="H403" s="7" t="s">
        <v>190</v>
      </c>
      <c r="I403" s="5">
        <v>0</v>
      </c>
      <c r="J403" s="5">
        <v>0</v>
      </c>
      <c r="K403">
        <v>2</v>
      </c>
      <c r="L403">
        <v>1.5</v>
      </c>
      <c r="M403" s="5">
        <v>1.5</v>
      </c>
      <c r="N403" s="5">
        <v>10</v>
      </c>
      <c r="O403" s="5">
        <f t="shared" si="2759"/>
        <v>55472</v>
      </c>
      <c r="P403" s="5">
        <f t="shared" si="2760"/>
        <v>303696000</v>
      </c>
      <c r="Q403" s="5">
        <f t="shared" si="2761"/>
        <v>5061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70041</v>
      </c>
      <c r="X403" s="6" t="s">
        <v>182</v>
      </c>
      <c r="Y403" s="5">
        <v>300</v>
      </c>
      <c r="Z403" s="5">
        <v>1</v>
      </c>
      <c r="AA403" s="5">
        <v>64181860</v>
      </c>
      <c r="AB403" s="16" t="s">
        <v>111</v>
      </c>
      <c r="AC403" s="7" t="s">
        <v>112</v>
      </c>
      <c r="AD403" s="7" t="s">
        <v>112</v>
      </c>
      <c r="AE403" s="7" t="s">
        <v>112</v>
      </c>
      <c r="AF403" s="6" t="s">
        <v>113</v>
      </c>
      <c r="AG403" s="26" t="str">
        <f t="shared" ref="AG403" si="2872">CM$7</f>
        <v>4,14,28,14,6,4,14,28,14,6</v>
      </c>
      <c r="AH403" s="26" t="str">
        <f t="shared" ref="AH403" si="2873">CN$7</f>
        <v>0,0,0,0,1,0,0,0,0,1</v>
      </c>
      <c r="AI403" s="26" t="str">
        <f t="shared" ref="AI403" si="2874">CO$7</f>
        <v>0,0,0,0,1,0,0,0,0,1</v>
      </c>
      <c r="AJ403" s="26" t="str">
        <f t="shared" ref="AJ403" si="2875">CP$7</f>
        <v>0,0,0,0,5,0,0,0,0,5</v>
      </c>
      <c r="AK403" s="26" t="str">
        <f t="shared" ref="AK403" si="2876">CQ$7</f>
        <v>100,1,1000,2,5,200,1,1000,2,5</v>
      </c>
      <c r="AL403" s="26" t="str">
        <f t="shared" ref="AL403" si="2877">CR$7</f>
        <v>5,5,5,5,5,5,5,5,5,5</v>
      </c>
      <c r="AM403" s="7">
        <v>2001</v>
      </c>
      <c r="AO403">
        <f t="shared" ref="AO403" si="2878">AQ403*100+4</f>
        <v>4504</v>
      </c>
      <c r="AP403">
        <v>399</v>
      </c>
      <c r="AQ403">
        <f t="shared" si="2769"/>
        <v>45</v>
      </c>
      <c r="AR403">
        <v>9</v>
      </c>
      <c r="AS403" s="17">
        <f t="shared" si="2850"/>
        <v>275</v>
      </c>
      <c r="AT403">
        <v>8</v>
      </c>
      <c r="AU403">
        <f t="shared" si="2770"/>
        <v>28</v>
      </c>
      <c r="AV403">
        <v>150</v>
      </c>
      <c r="AW403">
        <f t="shared" si="2771"/>
        <v>55472.947200000002</v>
      </c>
      <c r="AX403">
        <f t="shared" si="2434"/>
        <v>303696000</v>
      </c>
      <c r="AY403">
        <f t="shared" si="2772"/>
        <v>5061.6000000000004</v>
      </c>
      <c r="AZ403">
        <f t="shared" si="2773"/>
        <v>10123.200000000001</v>
      </c>
      <c r="BA403">
        <f t="shared" si="2774"/>
        <v>65664</v>
      </c>
      <c r="BB403">
        <f t="shared" si="2775"/>
        <v>2530.8000000000002</v>
      </c>
      <c r="BC403">
        <f t="shared" si="2435"/>
        <v>303696000</v>
      </c>
      <c r="BD403">
        <f t="shared" si="2776"/>
        <v>0.29411764705882348</v>
      </c>
      <c r="BE403" s="27">
        <f t="shared" si="2436"/>
        <v>274387999.73760003</v>
      </c>
      <c r="BF403" s="30">
        <f t="shared" si="2777"/>
        <v>0.40799999999999997</v>
      </c>
      <c r="BG403" s="27"/>
      <c r="BH403" s="27"/>
      <c r="BI403" s="27"/>
      <c r="CA403" s="20">
        <f t="shared" si="2778"/>
        <v>320</v>
      </c>
      <c r="CB403" s="20">
        <f t="shared" si="2779"/>
        <v>32000</v>
      </c>
    </row>
    <row r="404" spans="1:80" x14ac:dyDescent="0.15">
      <c r="A404">
        <v>4505</v>
      </c>
      <c r="B404" s="3" t="s">
        <v>122</v>
      </c>
      <c r="C404" s="4" t="s">
        <v>109</v>
      </c>
      <c r="D404" s="4" t="s">
        <v>110</v>
      </c>
      <c r="E404" s="5">
        <v>2</v>
      </c>
      <c r="F404" s="7" t="s">
        <v>146</v>
      </c>
      <c r="G404" s="5">
        <v>3</v>
      </c>
      <c r="H404" s="7" t="s">
        <v>191</v>
      </c>
      <c r="I404" s="5">
        <v>0</v>
      </c>
      <c r="J404" s="7" t="s">
        <v>148</v>
      </c>
      <c r="K404">
        <v>6</v>
      </c>
      <c r="L404">
        <v>1.5</v>
      </c>
      <c r="M404" s="5">
        <v>1.5</v>
      </c>
      <c r="N404" s="5">
        <v>10</v>
      </c>
      <c r="O404" s="5">
        <f t="shared" si="2759"/>
        <v>56446</v>
      </c>
      <c r="P404" s="5">
        <f t="shared" si="2760"/>
        <v>309024000</v>
      </c>
      <c r="Q404" s="5">
        <f t="shared" si="2761"/>
        <v>5150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70051</v>
      </c>
      <c r="X404" s="6" t="s">
        <v>183</v>
      </c>
      <c r="Y404" s="5">
        <v>300</v>
      </c>
      <c r="Z404" s="5">
        <v>1</v>
      </c>
      <c r="AA404" s="5">
        <v>66723471</v>
      </c>
      <c r="AB404" s="16" t="s">
        <v>111</v>
      </c>
      <c r="AC404" s="7" t="s">
        <v>112</v>
      </c>
      <c r="AD404" s="7" t="s">
        <v>112</v>
      </c>
      <c r="AE404" s="7" t="s">
        <v>112</v>
      </c>
      <c r="AF404" s="6" t="s">
        <v>113</v>
      </c>
      <c r="AG404" s="26" t="str">
        <f t="shared" ref="AG404" si="2879">CM$8</f>
        <v>4,19,28,19,6,4,19,28,19,6</v>
      </c>
      <c r="AH404" s="26" t="str">
        <f t="shared" ref="AH404" si="2880">CN$8</f>
        <v>0,0,0,0,1,0,0,0,0,1</v>
      </c>
      <c r="AI404" s="26" t="str">
        <f t="shared" ref="AI404" si="2881">CO$8</f>
        <v>0,0,0,0,1,0,0,0,0,1</v>
      </c>
      <c r="AJ404" s="26" t="str">
        <f t="shared" ref="AJ404" si="2882">CP$8</f>
        <v>0,0,0,0,5,0,0,0,0,5</v>
      </c>
      <c r="AK404" s="26" t="str">
        <f t="shared" ref="AK404" si="2883">CQ$8</f>
        <v>200,100,1000,200,5,200,100,1000,200,5</v>
      </c>
      <c r="AL404" s="26" t="str">
        <f t="shared" ref="AL404" si="2884">CR$8</f>
        <v>5,5,5,5,5,5,5,5,5,5</v>
      </c>
      <c r="AM404" s="7">
        <v>2001</v>
      </c>
      <c r="AO404">
        <f t="shared" ref="AO404" si="2885">AQ404*100+5</f>
        <v>4505</v>
      </c>
      <c r="AP404">
        <v>400</v>
      </c>
      <c r="AQ404">
        <f t="shared" si="2769"/>
        <v>45</v>
      </c>
      <c r="AR404">
        <v>9</v>
      </c>
      <c r="AS404" s="17">
        <f t="shared" si="2850"/>
        <v>280</v>
      </c>
      <c r="AT404">
        <v>8</v>
      </c>
      <c r="AU404">
        <f t="shared" si="2770"/>
        <v>28</v>
      </c>
      <c r="AV404">
        <v>150</v>
      </c>
      <c r="AW404">
        <f t="shared" si="2771"/>
        <v>56446.156799999997</v>
      </c>
      <c r="AX404">
        <f t="shared" si="2434"/>
        <v>309024000.00000006</v>
      </c>
      <c r="AY404">
        <f t="shared" si="2772"/>
        <v>5150.4000000000005</v>
      </c>
      <c r="AZ404">
        <f t="shared" si="2773"/>
        <v>10300.800000000001</v>
      </c>
      <c r="BA404">
        <f t="shared" si="2774"/>
        <v>66816</v>
      </c>
      <c r="BB404">
        <f t="shared" si="2775"/>
        <v>2575.2000000000003</v>
      </c>
      <c r="BC404">
        <f t="shared" si="2435"/>
        <v>309024000.00000006</v>
      </c>
      <c r="BD404">
        <f t="shared" si="2776"/>
        <v>0.29411764705882354</v>
      </c>
      <c r="BE404" s="27">
        <f t="shared" si="2436"/>
        <v>284100101.91360009</v>
      </c>
      <c r="BF404" s="30">
        <f t="shared" si="2777"/>
        <v>0.40799999999999997</v>
      </c>
      <c r="BG404" s="27"/>
      <c r="BH404" s="27"/>
      <c r="BI404" s="27"/>
      <c r="CA404" s="20">
        <f t="shared" si="2778"/>
        <v>320</v>
      </c>
      <c r="CB404" s="20">
        <f t="shared" si="2779"/>
        <v>32000</v>
      </c>
    </row>
    <row r="405" spans="1:80" x14ac:dyDescent="0.15">
      <c r="A405">
        <v>4506</v>
      </c>
      <c r="B405" s="3" t="s">
        <v>124</v>
      </c>
      <c r="C405" s="4" t="s">
        <v>109</v>
      </c>
      <c r="D405" s="6" t="s">
        <v>120</v>
      </c>
      <c r="E405" s="5">
        <v>1</v>
      </c>
      <c r="F405" s="7" t="s">
        <v>147</v>
      </c>
      <c r="G405" s="5">
        <v>3</v>
      </c>
      <c r="H405" s="7" t="s">
        <v>192</v>
      </c>
      <c r="I405" s="5">
        <v>0</v>
      </c>
      <c r="J405" s="7" t="s">
        <v>149</v>
      </c>
      <c r="K405">
        <v>6</v>
      </c>
      <c r="L405">
        <v>1.5</v>
      </c>
      <c r="M405" s="5">
        <v>1.5</v>
      </c>
      <c r="N405" s="5">
        <v>10</v>
      </c>
      <c r="O405" s="5">
        <f t="shared" si="2759"/>
        <v>57419</v>
      </c>
      <c r="P405" s="5">
        <f t="shared" si="2760"/>
        <v>314352000</v>
      </c>
      <c r="Q405" s="5">
        <f t="shared" si="2761"/>
        <v>5239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70061</v>
      </c>
      <c r="X405" s="6" t="s">
        <v>184</v>
      </c>
      <c r="Y405" s="5">
        <v>300</v>
      </c>
      <c r="Z405" s="5">
        <v>1</v>
      </c>
      <c r="AA405" s="5">
        <v>69314435</v>
      </c>
      <c r="AB405" s="16" t="s">
        <v>111</v>
      </c>
      <c r="AC405" s="7" t="s">
        <v>112</v>
      </c>
      <c r="AD405" s="7" t="s">
        <v>112</v>
      </c>
      <c r="AE405" s="7" t="s">
        <v>112</v>
      </c>
      <c r="AF405" s="6" t="s">
        <v>113</v>
      </c>
      <c r="AG405" s="26" t="str">
        <f t="shared" ref="AG405" si="2886">CM$9</f>
        <v>4,33,28,33,6,4,33,28,33,6</v>
      </c>
      <c r="AH405" s="26" t="str">
        <f t="shared" ref="AH405" si="2887">CN$9</f>
        <v>0,6,0,6,1,0,6,0,6,1</v>
      </c>
      <c r="AI405" s="26" t="str">
        <f t="shared" ref="AI405" si="2888">CO$9</f>
        <v>0,0,0,0,1,0,0,0,0,1</v>
      </c>
      <c r="AJ405" s="26" t="str">
        <f t="shared" ref="AJ405" si="2889">CP$9</f>
        <v>0,0,0,0,5,0,0,0,0,5</v>
      </c>
      <c r="AK405" s="26" t="str">
        <f t="shared" ref="AK405" si="2890">CQ$9</f>
        <v>200,1,1000,2,5,200,1,1000,2,5</v>
      </c>
      <c r="AL405" s="26" t="str">
        <f t="shared" ref="AL405" si="2891">CR$9</f>
        <v>5,5,5,5,5,5,5,5,5,5</v>
      </c>
      <c r="AM405" s="7">
        <v>2001</v>
      </c>
      <c r="AO405">
        <f t="shared" ref="AO405" si="2892">AQ405*100+6</f>
        <v>4506</v>
      </c>
      <c r="AP405">
        <v>401</v>
      </c>
      <c r="AQ405">
        <f t="shared" si="2769"/>
        <v>45</v>
      </c>
      <c r="AR405">
        <v>9</v>
      </c>
      <c r="AS405" s="17">
        <f t="shared" si="2850"/>
        <v>285</v>
      </c>
      <c r="AT405">
        <v>8</v>
      </c>
      <c r="AU405">
        <f t="shared" si="2770"/>
        <v>28</v>
      </c>
      <c r="AV405">
        <v>150</v>
      </c>
      <c r="AW405">
        <f t="shared" si="2771"/>
        <v>57419.366399999992</v>
      </c>
      <c r="AX405">
        <f t="shared" si="2434"/>
        <v>314352000</v>
      </c>
      <c r="AY405">
        <f t="shared" si="2772"/>
        <v>5239.2</v>
      </c>
      <c r="AZ405">
        <f t="shared" si="2773"/>
        <v>10478.4</v>
      </c>
      <c r="BA405">
        <f t="shared" si="2774"/>
        <v>67968</v>
      </c>
      <c r="BB405">
        <f t="shared" si="2775"/>
        <v>2619.6</v>
      </c>
      <c r="BC405">
        <f t="shared" si="2435"/>
        <v>314352000</v>
      </c>
      <c r="BD405">
        <f t="shared" si="2776"/>
        <v>0.29411764705882354</v>
      </c>
      <c r="BE405" s="27">
        <f t="shared" si="2436"/>
        <v>293981110.21440005</v>
      </c>
      <c r="BF405" s="30">
        <f t="shared" si="2777"/>
        <v>0.40799999999999997</v>
      </c>
      <c r="BG405" s="27"/>
      <c r="BH405" s="27"/>
      <c r="BI405" s="27"/>
      <c r="CA405" s="20">
        <f t="shared" si="2778"/>
        <v>320</v>
      </c>
      <c r="CB405" s="20">
        <f t="shared" si="2779"/>
        <v>32000</v>
      </c>
    </row>
    <row r="406" spans="1:80" x14ac:dyDescent="0.15">
      <c r="A406">
        <v>4507</v>
      </c>
      <c r="B406" s="3" t="s">
        <v>126</v>
      </c>
      <c r="C406" s="4" t="s">
        <v>109</v>
      </c>
      <c r="D406" s="4" t="s">
        <v>110</v>
      </c>
      <c r="E406" s="5">
        <v>2</v>
      </c>
      <c r="F406" s="7" t="s">
        <v>143</v>
      </c>
      <c r="G406" s="5">
        <v>3</v>
      </c>
      <c r="H406" s="7" t="s">
        <v>193</v>
      </c>
      <c r="I406" s="5">
        <v>0</v>
      </c>
      <c r="J406" s="5">
        <v>0</v>
      </c>
      <c r="K406">
        <v>2</v>
      </c>
      <c r="L406">
        <v>1.5</v>
      </c>
      <c r="M406" s="5">
        <v>1.5</v>
      </c>
      <c r="N406" s="5">
        <v>10</v>
      </c>
      <c r="O406" s="5">
        <f t="shared" si="2759"/>
        <v>58392</v>
      </c>
      <c r="P406" s="5">
        <f t="shared" si="2760"/>
        <v>319680000</v>
      </c>
      <c r="Q406" s="5">
        <f t="shared" si="2761"/>
        <v>5328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70071</v>
      </c>
      <c r="X406" s="6" t="s">
        <v>185</v>
      </c>
      <c r="Y406" s="5">
        <v>300</v>
      </c>
      <c r="Z406" s="5">
        <v>1</v>
      </c>
      <c r="AA406" s="5">
        <v>71954749</v>
      </c>
      <c r="AB406" s="16" t="s">
        <v>111</v>
      </c>
      <c r="AC406" s="7" t="s">
        <v>112</v>
      </c>
      <c r="AD406" s="7" t="s">
        <v>112</v>
      </c>
      <c r="AE406" s="7" t="s">
        <v>112</v>
      </c>
      <c r="AF406" s="6" t="s">
        <v>113</v>
      </c>
      <c r="AG406" s="26" t="str">
        <f t="shared" ref="AG406" si="2893">CM$10</f>
        <v>4,14,28,14,6,4,14,28,14,6</v>
      </c>
      <c r="AH406" s="26" t="str">
        <f t="shared" ref="AH406" si="2894">CN$10</f>
        <v>0,0,0,0,1,0,0,0,0,1</v>
      </c>
      <c r="AI406" s="26" t="str">
        <f t="shared" ref="AI406" si="2895">CO$10</f>
        <v>0,0,0,0,1,0,0,0,0,1</v>
      </c>
      <c r="AJ406" s="26" t="str">
        <f t="shared" ref="AJ406" si="2896">CP$10</f>
        <v>0,0,0,0,5,0,0,0,0,5</v>
      </c>
      <c r="AK406" s="26" t="str">
        <f t="shared" ref="AK406" si="2897">CQ$10</f>
        <v>200,1,1000,2,5,200,1,1000,2,5</v>
      </c>
      <c r="AL406" s="26" t="str">
        <f t="shared" ref="AL406" si="2898">CR$10</f>
        <v>5,5,5,5,5,5,5,5,5,5</v>
      </c>
      <c r="AM406" s="7">
        <v>2001</v>
      </c>
      <c r="AO406">
        <f t="shared" ref="AO406" si="2899">AQ406*100+7</f>
        <v>4507</v>
      </c>
      <c r="AP406">
        <v>402</v>
      </c>
      <c r="AQ406">
        <f t="shared" si="2769"/>
        <v>45</v>
      </c>
      <c r="AR406">
        <v>9</v>
      </c>
      <c r="AS406" s="17">
        <f t="shared" si="2850"/>
        <v>290</v>
      </c>
      <c r="AT406">
        <v>8</v>
      </c>
      <c r="AU406">
        <f t="shared" si="2770"/>
        <v>28</v>
      </c>
      <c r="AV406">
        <v>150</v>
      </c>
      <c r="AW406">
        <f t="shared" si="2771"/>
        <v>58392.575999999994</v>
      </c>
      <c r="AX406">
        <f t="shared" ref="AX406:AX469" si="2900">BC406</f>
        <v>319680000</v>
      </c>
      <c r="AY406">
        <f t="shared" si="2772"/>
        <v>5328</v>
      </c>
      <c r="AZ406">
        <f t="shared" si="2773"/>
        <v>10656</v>
      </c>
      <c r="BA406">
        <f t="shared" si="2774"/>
        <v>69120</v>
      </c>
      <c r="BB406">
        <f t="shared" si="2775"/>
        <v>2664</v>
      </c>
      <c r="BC406">
        <f t="shared" ref="BC406:BC469" si="2901">90/1.5*AZ406*(1/(1+AZ406/(5*BB406)))*6*AV406</f>
        <v>319680000</v>
      </c>
      <c r="BD406">
        <f t="shared" si="2776"/>
        <v>0.29411764705882354</v>
      </c>
      <c r="BE406" s="27">
        <f t="shared" ref="BE406:BE469" si="2902">BC406/10000/(1-BD406)/1*AZ406/L406*(1+0.1*0.5)*0.9*1</f>
        <v>304031024.6400001</v>
      </c>
      <c r="BF406" s="30">
        <f t="shared" si="2777"/>
        <v>0.40799999999999997</v>
      </c>
      <c r="BG406" s="27"/>
      <c r="BH406" s="27"/>
      <c r="BI406" s="27"/>
      <c r="CA406" s="20">
        <f t="shared" si="2778"/>
        <v>320</v>
      </c>
      <c r="CB406" s="20">
        <f t="shared" si="2779"/>
        <v>32000</v>
      </c>
    </row>
    <row r="407" spans="1:80" x14ac:dyDescent="0.15">
      <c r="A407">
        <v>4508</v>
      </c>
      <c r="B407" s="3" t="s">
        <v>128</v>
      </c>
      <c r="C407" s="4" t="s">
        <v>109</v>
      </c>
      <c r="D407" s="4" t="s">
        <v>110</v>
      </c>
      <c r="E407" s="5">
        <v>5</v>
      </c>
      <c r="F407" s="7" t="s">
        <v>129</v>
      </c>
      <c r="G407" s="5">
        <v>2</v>
      </c>
      <c r="H407" s="7" t="s">
        <v>130</v>
      </c>
      <c r="I407" s="5">
        <v>0</v>
      </c>
      <c r="J407" s="5">
        <v>0</v>
      </c>
      <c r="K407">
        <v>2</v>
      </c>
      <c r="L407">
        <v>1.5</v>
      </c>
      <c r="M407" s="5">
        <v>1.5</v>
      </c>
      <c r="N407" s="5">
        <v>10</v>
      </c>
      <c r="O407" s="5">
        <f t="shared" si="2759"/>
        <v>59365</v>
      </c>
      <c r="P407" s="5">
        <f t="shared" si="2760"/>
        <v>325008000</v>
      </c>
      <c r="Q407" s="5">
        <f t="shared" si="2761"/>
        <v>5416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70081</v>
      </c>
      <c r="X407" s="6" t="s">
        <v>186</v>
      </c>
      <c r="Y407" s="5">
        <v>300</v>
      </c>
      <c r="Z407" s="5">
        <v>1</v>
      </c>
      <c r="AA407" s="5">
        <v>74644416</v>
      </c>
      <c r="AB407" s="16" t="s">
        <v>111</v>
      </c>
      <c r="AC407" s="7" t="s">
        <v>112</v>
      </c>
      <c r="AD407" s="7" t="s">
        <v>112</v>
      </c>
      <c r="AE407" s="7" t="s">
        <v>112</v>
      </c>
      <c r="AF407" s="6" t="s">
        <v>113</v>
      </c>
      <c r="AG407" s="26" t="str">
        <f t="shared" ref="AG407" si="2903">CM$11</f>
        <v>4,28,6,28,6,4,28,6,28,6</v>
      </c>
      <c r="AH407" s="26" t="str">
        <f t="shared" ref="AH407" si="2904">CN$11</f>
        <v>0,0,1,0,1,0,0,1,0,1</v>
      </c>
      <c r="AI407" s="26" t="str">
        <f t="shared" ref="AI407" si="2905">CO$11</f>
        <v>0,0,1,0,1,0,0,1,0,1</v>
      </c>
      <c r="AJ407" s="26" t="str">
        <f t="shared" ref="AJ407" si="2906">CP$11</f>
        <v>0,0,5,0,5,0,0,5,0,5</v>
      </c>
      <c r="AK407" s="26" t="str">
        <f t="shared" ref="AK407" si="2907">CQ$11</f>
        <v>100,1000,5,1500,5,200,1000,5,1500,5</v>
      </c>
      <c r="AL407" s="26" t="str">
        <f t="shared" ref="AL407" si="2908">CR$11</f>
        <v>5,5,5,5,5,5,5,5,5,5</v>
      </c>
      <c r="AM407" s="7">
        <v>2001</v>
      </c>
      <c r="AO407">
        <f t="shared" ref="AO407" si="2909">AQ407*100+8</f>
        <v>4508</v>
      </c>
      <c r="AP407">
        <v>403</v>
      </c>
      <c r="AQ407">
        <f t="shared" si="2769"/>
        <v>45</v>
      </c>
      <c r="AR407">
        <v>9</v>
      </c>
      <c r="AS407" s="17">
        <f t="shared" si="2850"/>
        <v>295</v>
      </c>
      <c r="AT407">
        <v>8</v>
      </c>
      <c r="AU407">
        <f t="shared" si="2770"/>
        <v>28</v>
      </c>
      <c r="AV407">
        <v>150</v>
      </c>
      <c r="AW407">
        <f t="shared" si="2771"/>
        <v>59365.785599999996</v>
      </c>
      <c r="AX407">
        <f t="shared" si="2900"/>
        <v>325008000</v>
      </c>
      <c r="AY407">
        <f t="shared" si="2772"/>
        <v>5416.8</v>
      </c>
      <c r="AZ407">
        <f t="shared" si="2773"/>
        <v>10833.6</v>
      </c>
      <c r="BA407">
        <f t="shared" si="2774"/>
        <v>70272</v>
      </c>
      <c r="BB407">
        <f t="shared" si="2775"/>
        <v>2708.4</v>
      </c>
      <c r="BC407">
        <f t="shared" si="2901"/>
        <v>325008000</v>
      </c>
      <c r="BD407">
        <f t="shared" si="2776"/>
        <v>0.29411764705882348</v>
      </c>
      <c r="BE407" s="27">
        <f t="shared" si="2902"/>
        <v>314249845.19039994</v>
      </c>
      <c r="BF407" s="30">
        <f t="shared" si="2777"/>
        <v>0.40799999999999997</v>
      </c>
      <c r="BG407" s="27"/>
      <c r="BH407" s="27"/>
      <c r="BI407" s="27"/>
      <c r="CA407" s="20">
        <f t="shared" si="2778"/>
        <v>320</v>
      </c>
      <c r="CB407" s="20">
        <f t="shared" si="2779"/>
        <v>32000</v>
      </c>
    </row>
    <row r="408" spans="1:80" x14ac:dyDescent="0.15">
      <c r="A408">
        <v>4509</v>
      </c>
      <c r="B408" s="3" t="s">
        <v>132</v>
      </c>
      <c r="C408" s="4" t="s">
        <v>109</v>
      </c>
      <c r="D408" s="4" t="s">
        <v>110</v>
      </c>
      <c r="E408" s="5">
        <v>5</v>
      </c>
      <c r="F408" s="7" t="s">
        <v>140</v>
      </c>
      <c r="G408" s="5">
        <v>3</v>
      </c>
      <c r="H408" s="7" t="s">
        <v>140</v>
      </c>
      <c r="I408" s="5">
        <v>0</v>
      </c>
      <c r="J408" s="7">
        <v>0</v>
      </c>
      <c r="K408">
        <v>6</v>
      </c>
      <c r="L408">
        <v>1.5</v>
      </c>
      <c r="M408" s="5">
        <v>1.5</v>
      </c>
      <c r="N408" s="5">
        <v>10</v>
      </c>
      <c r="O408" s="5">
        <f t="shared" si="2759"/>
        <v>60338</v>
      </c>
      <c r="P408" s="5">
        <f t="shared" si="2760"/>
        <v>330336000</v>
      </c>
      <c r="Q408" s="5">
        <f t="shared" si="2761"/>
        <v>5505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70091</v>
      </c>
      <c r="X408" s="6" t="s">
        <v>187</v>
      </c>
      <c r="Y408" s="5">
        <v>300</v>
      </c>
      <c r="Z408" s="5">
        <v>1</v>
      </c>
      <c r="AA408" s="5">
        <v>77383434</v>
      </c>
      <c r="AB408" s="16" t="s">
        <v>111</v>
      </c>
      <c r="AC408" s="7" t="s">
        <v>112</v>
      </c>
      <c r="AD408" s="7" t="s">
        <v>112</v>
      </c>
      <c r="AE408" s="7" t="s">
        <v>112</v>
      </c>
      <c r="AF408" s="6" t="s">
        <v>113</v>
      </c>
      <c r="AG408" s="26" t="str">
        <f t="shared" ref="AG408" si="2910">CM$12</f>
        <v>4,33,28,33,6,4,33,28,33,6</v>
      </c>
      <c r="AH408" s="26" t="str">
        <f t="shared" ref="AH408" si="2911">CN$12</f>
        <v>0,5,0,5,1,0,5,0,5,1</v>
      </c>
      <c r="AI408" s="26" t="str">
        <f t="shared" ref="AI408" si="2912">CO$12</f>
        <v>0,0,0,0,1,0,0,0,0,1</v>
      </c>
      <c r="AJ408" s="26" t="str">
        <f t="shared" ref="AJ408" si="2913">CP$12</f>
        <v>0,0,0,0,5,0,0,0,0,5</v>
      </c>
      <c r="AK408" s="26" t="str">
        <f t="shared" ref="AK408" si="2914">CQ$12</f>
        <v>100,1,1000,2,5,200,1,1000,2,5</v>
      </c>
      <c r="AL408" s="26" t="str">
        <f t="shared" ref="AL408" si="2915">CR$12</f>
        <v>5,5,5,5,5,5,5,5,5,5</v>
      </c>
      <c r="AM408" s="7">
        <v>2001</v>
      </c>
      <c r="AO408">
        <f t="shared" ref="AO408" si="2916">AQ408*100+9</f>
        <v>4509</v>
      </c>
      <c r="AP408">
        <v>404</v>
      </c>
      <c r="AQ408">
        <f t="shared" si="2769"/>
        <v>45</v>
      </c>
      <c r="AR408">
        <v>9</v>
      </c>
      <c r="AS408" s="17">
        <f t="shared" si="2850"/>
        <v>300</v>
      </c>
      <c r="AT408">
        <v>8</v>
      </c>
      <c r="AU408">
        <f t="shared" si="2770"/>
        <v>28</v>
      </c>
      <c r="AV408">
        <v>150</v>
      </c>
      <c r="AW408">
        <f t="shared" si="2771"/>
        <v>60338.995199999998</v>
      </c>
      <c r="AX408">
        <f t="shared" si="2900"/>
        <v>330336000</v>
      </c>
      <c r="AY408">
        <f t="shared" si="2772"/>
        <v>5505.6</v>
      </c>
      <c r="AZ408">
        <f t="shared" si="2773"/>
        <v>11011.2</v>
      </c>
      <c r="BA408">
        <f t="shared" si="2774"/>
        <v>71424</v>
      </c>
      <c r="BB408">
        <f t="shared" si="2775"/>
        <v>2752.8</v>
      </c>
      <c r="BC408">
        <f t="shared" si="2901"/>
        <v>330336000</v>
      </c>
      <c r="BD408">
        <f t="shared" si="2776"/>
        <v>0.29411764705882348</v>
      </c>
      <c r="BE408" s="27">
        <f t="shared" si="2902"/>
        <v>324637571.86560005</v>
      </c>
      <c r="BF408" s="30">
        <f t="shared" si="2777"/>
        <v>0.40799999999999997</v>
      </c>
      <c r="BG408" s="27"/>
      <c r="BH408" s="27"/>
      <c r="BI408" s="27"/>
      <c r="CA408" s="20">
        <f t="shared" si="2778"/>
        <v>320</v>
      </c>
      <c r="CB408" s="20">
        <f t="shared" si="2779"/>
        <v>32000</v>
      </c>
    </row>
    <row r="409" spans="1:80" x14ac:dyDescent="0.15">
      <c r="A409">
        <v>4601</v>
      </c>
      <c r="B409" s="3" t="s">
        <v>108</v>
      </c>
      <c r="C409" s="4" t="s">
        <v>109</v>
      </c>
      <c r="D409" s="4" t="s">
        <v>110</v>
      </c>
      <c r="E409" s="5">
        <v>3</v>
      </c>
      <c r="F409" s="7" t="s">
        <v>141</v>
      </c>
      <c r="G409" s="5">
        <v>2.5</v>
      </c>
      <c r="H409" s="7" t="s">
        <v>194</v>
      </c>
      <c r="I409" s="5">
        <v>0</v>
      </c>
      <c r="J409" s="5">
        <v>0</v>
      </c>
      <c r="K409">
        <v>2</v>
      </c>
      <c r="L409">
        <v>1.5</v>
      </c>
      <c r="M409" s="5">
        <v>1.5</v>
      </c>
      <c r="N409" s="5">
        <v>10</v>
      </c>
      <c r="O409" s="5">
        <f t="shared" si="2759"/>
        <v>53617</v>
      </c>
      <c r="P409" s="5">
        <f t="shared" si="2760"/>
        <v>293040000</v>
      </c>
      <c r="Q409" s="5">
        <f t="shared" si="2761"/>
        <v>4884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70011</v>
      </c>
      <c r="X409" s="6" t="s">
        <v>179</v>
      </c>
      <c r="Y409" s="5">
        <v>300</v>
      </c>
      <c r="Z409" s="5">
        <v>1</v>
      </c>
      <c r="AA409" s="5">
        <v>80171804</v>
      </c>
      <c r="AB409" s="16" t="s">
        <v>111</v>
      </c>
      <c r="AC409" s="7" t="s">
        <v>112</v>
      </c>
      <c r="AD409" s="7" t="s">
        <v>112</v>
      </c>
      <c r="AE409" s="7" t="s">
        <v>112</v>
      </c>
      <c r="AF409" s="6" t="s">
        <v>113</v>
      </c>
      <c r="AG409" s="26" t="str">
        <f t="shared" ref="AG409" si="2917">CM$4</f>
        <v>4,33,28,33,6,4,33,28,33,6</v>
      </c>
      <c r="AH409" s="26" t="str">
        <f t="shared" ref="AH409" si="2918">CN$4</f>
        <v>0,8,0,8,1,0,8,0,8,1</v>
      </c>
      <c r="AI409" s="26" t="str">
        <f t="shared" ref="AI409" si="2919">CO$4</f>
        <v>0,0,0,0,1,0,0,0,0,1</v>
      </c>
      <c r="AJ409" s="26" t="str">
        <f t="shared" ref="AJ409" si="2920">CP$4</f>
        <v>0,0,0,0,5,0,0,0,0,5</v>
      </c>
      <c r="AK409" s="26" t="str">
        <f t="shared" ref="AK409" si="2921">CQ$4</f>
        <v>100,1,1000,2,5,200,1,1000,2,5</v>
      </c>
      <c r="AL409" s="26" t="str">
        <f t="shared" ref="AL409" si="2922">CR$4</f>
        <v>5,5,5,5,5,5,5,5,5,5</v>
      </c>
      <c r="AM409" s="7">
        <v>2001</v>
      </c>
      <c r="AO409">
        <f t="shared" ref="AO409" si="2923">AQ409*100+1</f>
        <v>4601</v>
      </c>
      <c r="AP409">
        <v>405</v>
      </c>
      <c r="AQ409">
        <f t="shared" si="2769"/>
        <v>46</v>
      </c>
      <c r="AR409">
        <v>9</v>
      </c>
      <c r="AS409" s="17">
        <f t="shared" si="2850"/>
        <v>265</v>
      </c>
      <c r="AT409">
        <v>8</v>
      </c>
      <c r="AU409">
        <f t="shared" si="2770"/>
        <v>28</v>
      </c>
      <c r="AV409">
        <v>150</v>
      </c>
      <c r="AW409">
        <f t="shared" si="2771"/>
        <v>53617.766399999993</v>
      </c>
      <c r="AX409">
        <f t="shared" si="2900"/>
        <v>293040000</v>
      </c>
      <c r="AY409">
        <f t="shared" si="2772"/>
        <v>4884</v>
      </c>
      <c r="AZ409">
        <f t="shared" si="2773"/>
        <v>9768</v>
      </c>
      <c r="BA409">
        <f t="shared" si="2774"/>
        <v>63359.999999999993</v>
      </c>
      <c r="BB409">
        <f t="shared" si="2775"/>
        <v>2442</v>
      </c>
      <c r="BC409">
        <f t="shared" si="2901"/>
        <v>293040000</v>
      </c>
      <c r="BD409">
        <f t="shared" si="2776"/>
        <v>0.29411764705882354</v>
      </c>
      <c r="BE409" s="27">
        <f t="shared" si="2902"/>
        <v>255470513.76000008</v>
      </c>
      <c r="BF409" s="30">
        <f t="shared" si="2777"/>
        <v>0.41039999999999999</v>
      </c>
      <c r="BG409" s="27"/>
      <c r="BH409" s="27"/>
      <c r="BI409" s="27"/>
      <c r="CA409" s="20">
        <f t="shared" si="2778"/>
        <v>325</v>
      </c>
      <c r="CB409" s="20">
        <f t="shared" si="2779"/>
        <v>32500</v>
      </c>
    </row>
    <row r="410" spans="1:80" x14ac:dyDescent="0.15">
      <c r="A410">
        <v>4602</v>
      </c>
      <c r="B410" s="3" t="s">
        <v>115</v>
      </c>
      <c r="C410" s="4" t="s">
        <v>109</v>
      </c>
      <c r="D410" s="6" t="s">
        <v>110</v>
      </c>
      <c r="E410" s="5">
        <v>3</v>
      </c>
      <c r="F410" s="7" t="s">
        <v>142</v>
      </c>
      <c r="G410" s="5">
        <v>3</v>
      </c>
      <c r="H410" s="7" t="s">
        <v>188</v>
      </c>
      <c r="I410" s="5">
        <v>0</v>
      </c>
      <c r="J410" s="5">
        <v>0</v>
      </c>
      <c r="K410">
        <v>2</v>
      </c>
      <c r="L410">
        <v>1.5</v>
      </c>
      <c r="M410" s="5">
        <v>1.5</v>
      </c>
      <c r="N410" s="5">
        <v>10</v>
      </c>
      <c r="O410" s="5">
        <f t="shared" si="2759"/>
        <v>54592</v>
      </c>
      <c r="P410" s="5">
        <f t="shared" si="2760"/>
        <v>298368000</v>
      </c>
      <c r="Q410" s="5">
        <f t="shared" si="2761"/>
        <v>4972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70021</v>
      </c>
      <c r="X410" s="6" t="s">
        <v>180</v>
      </c>
      <c r="Y410" s="5">
        <v>300</v>
      </c>
      <c r="Z410" s="5">
        <v>1</v>
      </c>
      <c r="AA410" s="5">
        <v>61689600</v>
      </c>
      <c r="AB410" s="16" t="s">
        <v>111</v>
      </c>
      <c r="AC410" s="7" t="s">
        <v>112</v>
      </c>
      <c r="AD410" s="7" t="s">
        <v>112</v>
      </c>
      <c r="AE410" s="7" t="s">
        <v>112</v>
      </c>
      <c r="AF410" s="6" t="s">
        <v>113</v>
      </c>
      <c r="AG410" s="26" t="str">
        <f t="shared" ref="AG410" si="2924">CM$5</f>
        <v>4,33,28,33,6,4,33,28,33,6</v>
      </c>
      <c r="AH410" s="26" t="str">
        <f t="shared" ref="AH410" si="2925">CN$5</f>
        <v>0,7,0,7,1,0,7,0,7,1</v>
      </c>
      <c r="AI410" s="26" t="str">
        <f t="shared" ref="AI410" si="2926">CO$5</f>
        <v>0,0,0,0,1,0,0,0,0,1</v>
      </c>
      <c r="AJ410" s="26" t="str">
        <f t="shared" ref="AJ410" si="2927">CP$5</f>
        <v>0,0,0,0,5,0,0,0,0,5</v>
      </c>
      <c r="AK410" s="26" t="str">
        <f t="shared" ref="AK410" si="2928">CQ$5</f>
        <v>100,1,1000,2,5,200,1,1000,2,5</v>
      </c>
      <c r="AL410" s="26" t="str">
        <f t="shared" ref="AL410" si="2929">CR$5</f>
        <v>5,5,5,5,5,5,5,5,5,5</v>
      </c>
      <c r="AM410" s="7">
        <v>2001</v>
      </c>
      <c r="AO410">
        <f t="shared" ref="AO410" si="2930">AQ410*100+2</f>
        <v>4602</v>
      </c>
      <c r="AP410">
        <v>406</v>
      </c>
      <c r="AQ410">
        <f t="shared" si="2769"/>
        <v>46</v>
      </c>
      <c r="AR410">
        <v>9</v>
      </c>
      <c r="AS410" s="17">
        <f t="shared" si="2850"/>
        <v>270</v>
      </c>
      <c r="AT410">
        <v>8</v>
      </c>
      <c r="AU410">
        <f t="shared" si="2770"/>
        <v>28</v>
      </c>
      <c r="AV410">
        <v>150</v>
      </c>
      <c r="AW410">
        <f t="shared" si="2771"/>
        <v>54592.634879999998</v>
      </c>
      <c r="AX410">
        <f t="shared" si="2900"/>
        <v>298368000</v>
      </c>
      <c r="AY410">
        <f t="shared" si="2772"/>
        <v>4972.8</v>
      </c>
      <c r="AZ410">
        <f t="shared" si="2773"/>
        <v>9945.6</v>
      </c>
      <c r="BA410">
        <f t="shared" si="2774"/>
        <v>64511.999999999993</v>
      </c>
      <c r="BB410">
        <f t="shared" si="2775"/>
        <v>2486.4</v>
      </c>
      <c r="BC410">
        <f t="shared" si="2901"/>
        <v>298368000</v>
      </c>
      <c r="BD410">
        <f t="shared" si="2776"/>
        <v>0.29411764705882348</v>
      </c>
      <c r="BE410" s="27">
        <f t="shared" si="2902"/>
        <v>264844803.68640003</v>
      </c>
      <c r="BF410" s="30">
        <f t="shared" si="2777"/>
        <v>0.41039999999999999</v>
      </c>
      <c r="BG410" s="27"/>
      <c r="BH410" s="27"/>
      <c r="BI410" s="27"/>
      <c r="CA410" s="20">
        <f t="shared" si="2778"/>
        <v>325</v>
      </c>
      <c r="CB410" s="20">
        <f t="shared" si="2779"/>
        <v>32500</v>
      </c>
    </row>
    <row r="411" spans="1:80" x14ac:dyDescent="0.15">
      <c r="A411">
        <v>4603</v>
      </c>
      <c r="B411" s="3" t="s">
        <v>117</v>
      </c>
      <c r="C411" s="4" t="s">
        <v>109</v>
      </c>
      <c r="D411" s="4" t="s">
        <v>110</v>
      </c>
      <c r="E411" s="5">
        <v>1</v>
      </c>
      <c r="F411" s="7" t="s">
        <v>144</v>
      </c>
      <c r="G411" s="5">
        <v>3</v>
      </c>
      <c r="H411" s="7" t="s">
        <v>189</v>
      </c>
      <c r="I411" s="5">
        <v>0</v>
      </c>
      <c r="J411" s="2">
        <v>0</v>
      </c>
      <c r="K411">
        <v>6</v>
      </c>
      <c r="L411">
        <v>1.5</v>
      </c>
      <c r="M411" s="5">
        <v>1.5</v>
      </c>
      <c r="N411" s="5">
        <v>10</v>
      </c>
      <c r="O411" s="5">
        <f t="shared" si="2759"/>
        <v>55567</v>
      </c>
      <c r="P411" s="5">
        <f t="shared" si="2760"/>
        <v>303696000</v>
      </c>
      <c r="Q411" s="5">
        <f t="shared" si="2761"/>
        <v>5061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70031</v>
      </c>
      <c r="X411" s="6" t="s">
        <v>181</v>
      </c>
      <c r="Y411" s="5">
        <v>300</v>
      </c>
      <c r="Z411" s="5">
        <v>1</v>
      </c>
      <c r="AA411" s="5">
        <v>64181860</v>
      </c>
      <c r="AB411" s="16" t="s">
        <v>111</v>
      </c>
      <c r="AC411" s="7" t="s">
        <v>112</v>
      </c>
      <c r="AD411" s="7" t="s">
        <v>112</v>
      </c>
      <c r="AE411" s="7" t="s">
        <v>112</v>
      </c>
      <c r="AF411" s="6" t="s">
        <v>113</v>
      </c>
      <c r="AG411" s="26" t="str">
        <f t="shared" ref="AG411" si="2931">CM$6</f>
        <v>4,28,6,28,6,4,28,6,28,6</v>
      </c>
      <c r="AH411" s="26" t="str">
        <f t="shared" ref="AH411" si="2932">CN$6</f>
        <v>0,0,1,0,1,0,0,1,0,1</v>
      </c>
      <c r="AI411" s="26" t="str">
        <f t="shared" ref="AI411" si="2933">CO$6</f>
        <v>0,0,0,0,1,0,0,0,0,1</v>
      </c>
      <c r="AJ411" s="26" t="str">
        <f t="shared" ref="AJ411" si="2934">CP$6</f>
        <v>0,0,5,0,5,0,0,5,0,5</v>
      </c>
      <c r="AK411" s="26" t="str">
        <f t="shared" ref="AK411" si="2935">CQ$6</f>
        <v>100,1000,5,1500,5,200,1000,5,1500,5</v>
      </c>
      <c r="AL411" s="26" t="str">
        <f t="shared" ref="AL411" si="2936">CR$6</f>
        <v>5,5,5,5,5,5,5,5,5,5</v>
      </c>
      <c r="AM411" s="7">
        <v>2001</v>
      </c>
      <c r="AO411">
        <f t="shared" ref="AO411" si="2937">AQ411*100+3</f>
        <v>4603</v>
      </c>
      <c r="AP411">
        <v>407</v>
      </c>
      <c r="AQ411">
        <f t="shared" si="2769"/>
        <v>46</v>
      </c>
      <c r="AR411">
        <v>9</v>
      </c>
      <c r="AS411" s="17">
        <f t="shared" si="2850"/>
        <v>275</v>
      </c>
      <c r="AT411">
        <v>8</v>
      </c>
      <c r="AU411">
        <f t="shared" si="2770"/>
        <v>28</v>
      </c>
      <c r="AV411">
        <v>150</v>
      </c>
      <c r="AW411">
        <f t="shared" si="2771"/>
        <v>55567.503360000002</v>
      </c>
      <c r="AX411">
        <f t="shared" si="2900"/>
        <v>303696000</v>
      </c>
      <c r="AY411">
        <f t="shared" si="2772"/>
        <v>5061.6000000000004</v>
      </c>
      <c r="AZ411">
        <f t="shared" si="2773"/>
        <v>10123.200000000001</v>
      </c>
      <c r="BA411">
        <f t="shared" si="2774"/>
        <v>65664</v>
      </c>
      <c r="BB411">
        <f t="shared" si="2775"/>
        <v>2530.8000000000002</v>
      </c>
      <c r="BC411">
        <f t="shared" si="2901"/>
        <v>303696000</v>
      </c>
      <c r="BD411">
        <f t="shared" si="2776"/>
        <v>0.29411764705882348</v>
      </c>
      <c r="BE411" s="27">
        <f t="shared" si="2902"/>
        <v>274387999.73760003</v>
      </c>
      <c r="BF411" s="30">
        <f t="shared" si="2777"/>
        <v>0.41039999999999999</v>
      </c>
      <c r="BG411" s="27"/>
      <c r="BH411" s="27"/>
      <c r="BI411" s="27"/>
      <c r="CA411" s="20">
        <f t="shared" si="2778"/>
        <v>325</v>
      </c>
      <c r="CB411" s="20">
        <f t="shared" si="2779"/>
        <v>32500</v>
      </c>
    </row>
    <row r="412" spans="1:80" x14ac:dyDescent="0.15">
      <c r="A412">
        <v>4604</v>
      </c>
      <c r="B412" s="3" t="s">
        <v>119</v>
      </c>
      <c r="C412" s="4" t="s">
        <v>109</v>
      </c>
      <c r="D412" s="6" t="s">
        <v>120</v>
      </c>
      <c r="E412" s="5">
        <v>3</v>
      </c>
      <c r="F412" s="7" t="s">
        <v>145</v>
      </c>
      <c r="G412" s="5">
        <v>3</v>
      </c>
      <c r="H412" s="7" t="s">
        <v>190</v>
      </c>
      <c r="I412" s="5">
        <v>0</v>
      </c>
      <c r="J412" s="5">
        <v>0</v>
      </c>
      <c r="K412">
        <v>2</v>
      </c>
      <c r="L412">
        <v>1.5</v>
      </c>
      <c r="M412" s="5">
        <v>1.5</v>
      </c>
      <c r="N412" s="5">
        <v>10</v>
      </c>
      <c r="O412" s="5">
        <f t="shared" si="2759"/>
        <v>56542</v>
      </c>
      <c r="P412" s="5">
        <f t="shared" si="2760"/>
        <v>309024000</v>
      </c>
      <c r="Q412" s="5">
        <f t="shared" si="2761"/>
        <v>5150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70041</v>
      </c>
      <c r="X412" s="6" t="s">
        <v>182</v>
      </c>
      <c r="Y412" s="5">
        <v>300</v>
      </c>
      <c r="Z412" s="5">
        <v>1</v>
      </c>
      <c r="AA412" s="5">
        <v>66723471</v>
      </c>
      <c r="AB412" s="16" t="s">
        <v>111</v>
      </c>
      <c r="AC412" s="7" t="s">
        <v>112</v>
      </c>
      <c r="AD412" s="7" t="s">
        <v>112</v>
      </c>
      <c r="AE412" s="7" t="s">
        <v>112</v>
      </c>
      <c r="AF412" s="6" t="s">
        <v>113</v>
      </c>
      <c r="AG412" s="26" t="str">
        <f t="shared" ref="AG412" si="2938">CM$7</f>
        <v>4,14,28,14,6,4,14,28,14,6</v>
      </c>
      <c r="AH412" s="26" t="str">
        <f t="shared" ref="AH412" si="2939">CN$7</f>
        <v>0,0,0,0,1,0,0,0,0,1</v>
      </c>
      <c r="AI412" s="26" t="str">
        <f t="shared" ref="AI412" si="2940">CO$7</f>
        <v>0,0,0,0,1,0,0,0,0,1</v>
      </c>
      <c r="AJ412" s="26" t="str">
        <f t="shared" ref="AJ412" si="2941">CP$7</f>
        <v>0,0,0,0,5,0,0,0,0,5</v>
      </c>
      <c r="AK412" s="26" t="str">
        <f t="shared" ref="AK412" si="2942">CQ$7</f>
        <v>100,1,1000,2,5,200,1,1000,2,5</v>
      </c>
      <c r="AL412" s="26" t="str">
        <f t="shared" ref="AL412" si="2943">CR$7</f>
        <v>5,5,5,5,5,5,5,5,5,5</v>
      </c>
      <c r="AM412" s="7">
        <v>2001</v>
      </c>
      <c r="AO412">
        <f t="shared" ref="AO412" si="2944">AQ412*100+4</f>
        <v>4604</v>
      </c>
      <c r="AP412">
        <v>408</v>
      </c>
      <c r="AQ412">
        <f t="shared" si="2769"/>
        <v>46</v>
      </c>
      <c r="AR412">
        <v>9</v>
      </c>
      <c r="AS412" s="17">
        <f t="shared" si="2850"/>
        <v>280</v>
      </c>
      <c r="AT412">
        <v>8</v>
      </c>
      <c r="AU412">
        <f t="shared" si="2770"/>
        <v>28</v>
      </c>
      <c r="AV412">
        <v>150</v>
      </c>
      <c r="AW412">
        <f t="shared" si="2771"/>
        <v>56542.37184</v>
      </c>
      <c r="AX412">
        <f t="shared" si="2900"/>
        <v>309024000.00000006</v>
      </c>
      <c r="AY412">
        <f t="shared" si="2772"/>
        <v>5150.4000000000005</v>
      </c>
      <c r="AZ412">
        <f t="shared" si="2773"/>
        <v>10300.800000000001</v>
      </c>
      <c r="BA412">
        <f t="shared" si="2774"/>
        <v>66816</v>
      </c>
      <c r="BB412">
        <f t="shared" si="2775"/>
        <v>2575.2000000000003</v>
      </c>
      <c r="BC412">
        <f t="shared" si="2901"/>
        <v>309024000.00000006</v>
      </c>
      <c r="BD412">
        <f t="shared" si="2776"/>
        <v>0.29411764705882354</v>
      </c>
      <c r="BE412" s="27">
        <f t="shared" si="2902"/>
        <v>284100101.91360009</v>
      </c>
      <c r="BF412" s="30">
        <f t="shared" si="2777"/>
        <v>0.41039999999999999</v>
      </c>
      <c r="BG412" s="27"/>
      <c r="BH412" s="27"/>
      <c r="BI412" s="27"/>
      <c r="CA412" s="20">
        <f t="shared" si="2778"/>
        <v>325</v>
      </c>
      <c r="CB412" s="20">
        <f t="shared" si="2779"/>
        <v>32500</v>
      </c>
    </row>
    <row r="413" spans="1:80" x14ac:dyDescent="0.15">
      <c r="A413">
        <v>4605</v>
      </c>
      <c r="B413" s="3" t="s">
        <v>122</v>
      </c>
      <c r="C413" s="4" t="s">
        <v>109</v>
      </c>
      <c r="D413" s="4" t="s">
        <v>110</v>
      </c>
      <c r="E413" s="5">
        <v>2</v>
      </c>
      <c r="F413" s="7" t="s">
        <v>146</v>
      </c>
      <c r="G413" s="5">
        <v>3</v>
      </c>
      <c r="H413" s="7" t="s">
        <v>191</v>
      </c>
      <c r="I413" s="5">
        <v>0</v>
      </c>
      <c r="J413" s="7" t="s">
        <v>148</v>
      </c>
      <c r="K413">
        <v>6</v>
      </c>
      <c r="L413">
        <v>1.5</v>
      </c>
      <c r="M413" s="5">
        <v>1.5</v>
      </c>
      <c r="N413" s="5">
        <v>10</v>
      </c>
      <c r="O413" s="5">
        <f t="shared" si="2759"/>
        <v>57517</v>
      </c>
      <c r="P413" s="5">
        <f t="shared" si="2760"/>
        <v>314352000</v>
      </c>
      <c r="Q413" s="5">
        <f t="shared" si="2761"/>
        <v>5239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70051</v>
      </c>
      <c r="X413" s="6" t="s">
        <v>183</v>
      </c>
      <c r="Y413" s="5">
        <v>300</v>
      </c>
      <c r="Z413" s="5">
        <v>1</v>
      </c>
      <c r="AA413" s="5">
        <v>69314435</v>
      </c>
      <c r="AB413" s="16" t="s">
        <v>111</v>
      </c>
      <c r="AC413" s="7" t="s">
        <v>112</v>
      </c>
      <c r="AD413" s="7" t="s">
        <v>112</v>
      </c>
      <c r="AE413" s="7" t="s">
        <v>112</v>
      </c>
      <c r="AF413" s="6" t="s">
        <v>113</v>
      </c>
      <c r="AG413" s="26" t="str">
        <f t="shared" ref="AG413" si="2945">CM$8</f>
        <v>4,19,28,19,6,4,19,28,19,6</v>
      </c>
      <c r="AH413" s="26" t="str">
        <f t="shared" ref="AH413" si="2946">CN$8</f>
        <v>0,0,0,0,1,0,0,0,0,1</v>
      </c>
      <c r="AI413" s="26" t="str">
        <f t="shared" ref="AI413" si="2947">CO$8</f>
        <v>0,0,0,0,1,0,0,0,0,1</v>
      </c>
      <c r="AJ413" s="26" t="str">
        <f t="shared" ref="AJ413" si="2948">CP$8</f>
        <v>0,0,0,0,5,0,0,0,0,5</v>
      </c>
      <c r="AK413" s="26" t="str">
        <f t="shared" ref="AK413" si="2949">CQ$8</f>
        <v>200,100,1000,200,5,200,100,1000,200,5</v>
      </c>
      <c r="AL413" s="26" t="str">
        <f t="shared" ref="AL413" si="2950">CR$8</f>
        <v>5,5,5,5,5,5,5,5,5,5</v>
      </c>
      <c r="AM413" s="7">
        <v>2001</v>
      </c>
      <c r="AO413">
        <f t="shared" ref="AO413" si="2951">AQ413*100+5</f>
        <v>4605</v>
      </c>
      <c r="AP413">
        <v>409</v>
      </c>
      <c r="AQ413">
        <f t="shared" si="2769"/>
        <v>46</v>
      </c>
      <c r="AR413">
        <v>9</v>
      </c>
      <c r="AS413" s="17">
        <f t="shared" si="2850"/>
        <v>285</v>
      </c>
      <c r="AT413">
        <v>8</v>
      </c>
      <c r="AU413">
        <f t="shared" si="2770"/>
        <v>28</v>
      </c>
      <c r="AV413">
        <v>150</v>
      </c>
      <c r="AW413">
        <f t="shared" si="2771"/>
        <v>57517.240319999997</v>
      </c>
      <c r="AX413">
        <f t="shared" si="2900"/>
        <v>314352000</v>
      </c>
      <c r="AY413">
        <f t="shared" si="2772"/>
        <v>5239.2</v>
      </c>
      <c r="AZ413">
        <f t="shared" si="2773"/>
        <v>10478.4</v>
      </c>
      <c r="BA413">
        <f t="shared" si="2774"/>
        <v>67968</v>
      </c>
      <c r="BB413">
        <f t="shared" si="2775"/>
        <v>2619.6</v>
      </c>
      <c r="BC413">
        <f t="shared" si="2901"/>
        <v>314352000</v>
      </c>
      <c r="BD413">
        <f t="shared" si="2776"/>
        <v>0.29411764705882354</v>
      </c>
      <c r="BE413" s="27">
        <f t="shared" si="2902"/>
        <v>293981110.21440005</v>
      </c>
      <c r="BF413" s="30">
        <f t="shared" si="2777"/>
        <v>0.41039999999999999</v>
      </c>
      <c r="BG413" s="27"/>
      <c r="BH413" s="27"/>
      <c r="BI413" s="27"/>
      <c r="CA413" s="20">
        <f t="shared" si="2778"/>
        <v>325</v>
      </c>
      <c r="CB413" s="20">
        <f t="shared" si="2779"/>
        <v>32500</v>
      </c>
    </row>
    <row r="414" spans="1:80" x14ac:dyDescent="0.15">
      <c r="A414">
        <v>4606</v>
      </c>
      <c r="B414" s="3" t="s">
        <v>124</v>
      </c>
      <c r="C414" s="4" t="s">
        <v>109</v>
      </c>
      <c r="D414" s="6" t="s">
        <v>120</v>
      </c>
      <c r="E414" s="5">
        <v>1</v>
      </c>
      <c r="F414" s="7" t="s">
        <v>147</v>
      </c>
      <c r="G414" s="5">
        <v>3</v>
      </c>
      <c r="H414" s="7" t="s">
        <v>192</v>
      </c>
      <c r="I414" s="5">
        <v>0</v>
      </c>
      <c r="J414" s="7" t="s">
        <v>149</v>
      </c>
      <c r="K414">
        <v>6</v>
      </c>
      <c r="L414">
        <v>1.5</v>
      </c>
      <c r="M414" s="5">
        <v>1.5</v>
      </c>
      <c r="N414" s="5">
        <v>10</v>
      </c>
      <c r="O414" s="5">
        <f t="shared" si="2759"/>
        <v>58492</v>
      </c>
      <c r="P414" s="5">
        <f t="shared" si="2760"/>
        <v>319680000</v>
      </c>
      <c r="Q414" s="5">
        <f t="shared" si="2761"/>
        <v>5328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70061</v>
      </c>
      <c r="X414" s="6" t="s">
        <v>184</v>
      </c>
      <c r="Y414" s="5">
        <v>300</v>
      </c>
      <c r="Z414" s="5">
        <v>1</v>
      </c>
      <c r="AA414" s="5">
        <v>71954749</v>
      </c>
      <c r="AB414" s="16" t="s">
        <v>111</v>
      </c>
      <c r="AC414" s="7" t="s">
        <v>112</v>
      </c>
      <c r="AD414" s="7" t="s">
        <v>112</v>
      </c>
      <c r="AE414" s="7" t="s">
        <v>112</v>
      </c>
      <c r="AF414" s="6" t="s">
        <v>113</v>
      </c>
      <c r="AG414" s="26" t="str">
        <f t="shared" ref="AG414" si="2952">CM$9</f>
        <v>4,33,28,33,6,4,33,28,33,6</v>
      </c>
      <c r="AH414" s="26" t="str">
        <f t="shared" ref="AH414" si="2953">CN$9</f>
        <v>0,6,0,6,1,0,6,0,6,1</v>
      </c>
      <c r="AI414" s="26" t="str">
        <f t="shared" ref="AI414" si="2954">CO$9</f>
        <v>0,0,0,0,1,0,0,0,0,1</v>
      </c>
      <c r="AJ414" s="26" t="str">
        <f t="shared" ref="AJ414" si="2955">CP$9</f>
        <v>0,0,0,0,5,0,0,0,0,5</v>
      </c>
      <c r="AK414" s="26" t="str">
        <f t="shared" ref="AK414" si="2956">CQ$9</f>
        <v>200,1,1000,2,5,200,1,1000,2,5</v>
      </c>
      <c r="AL414" s="26" t="str">
        <f t="shared" ref="AL414" si="2957">CR$9</f>
        <v>5,5,5,5,5,5,5,5,5,5</v>
      </c>
      <c r="AM414" s="7">
        <v>2001</v>
      </c>
      <c r="AO414">
        <f t="shared" ref="AO414" si="2958">AQ414*100+6</f>
        <v>4606</v>
      </c>
      <c r="AP414">
        <v>410</v>
      </c>
      <c r="AQ414">
        <f t="shared" si="2769"/>
        <v>46</v>
      </c>
      <c r="AR414">
        <v>9</v>
      </c>
      <c r="AS414" s="17">
        <f t="shared" si="2850"/>
        <v>290</v>
      </c>
      <c r="AT414">
        <v>8</v>
      </c>
      <c r="AU414">
        <f t="shared" si="2770"/>
        <v>28</v>
      </c>
      <c r="AV414">
        <v>150</v>
      </c>
      <c r="AW414">
        <f t="shared" si="2771"/>
        <v>58492.108800000002</v>
      </c>
      <c r="AX414">
        <f t="shared" si="2900"/>
        <v>319680000</v>
      </c>
      <c r="AY414">
        <f t="shared" si="2772"/>
        <v>5328</v>
      </c>
      <c r="AZ414">
        <f t="shared" si="2773"/>
        <v>10656</v>
      </c>
      <c r="BA414">
        <f t="shared" si="2774"/>
        <v>69120</v>
      </c>
      <c r="BB414">
        <f t="shared" si="2775"/>
        <v>2664</v>
      </c>
      <c r="BC414">
        <f t="shared" si="2901"/>
        <v>319680000</v>
      </c>
      <c r="BD414">
        <f t="shared" si="2776"/>
        <v>0.29411764705882354</v>
      </c>
      <c r="BE414" s="27">
        <f t="shared" si="2902"/>
        <v>304031024.6400001</v>
      </c>
      <c r="BF414" s="30">
        <f t="shared" si="2777"/>
        <v>0.41039999999999999</v>
      </c>
      <c r="BG414" s="27"/>
      <c r="BH414" s="27"/>
      <c r="BI414" s="27"/>
      <c r="CA414" s="20">
        <f t="shared" si="2778"/>
        <v>325</v>
      </c>
      <c r="CB414" s="20">
        <f t="shared" si="2779"/>
        <v>32500</v>
      </c>
    </row>
    <row r="415" spans="1:80" x14ac:dyDescent="0.15">
      <c r="A415">
        <v>4607</v>
      </c>
      <c r="B415" s="3" t="s">
        <v>126</v>
      </c>
      <c r="C415" s="4" t="s">
        <v>109</v>
      </c>
      <c r="D415" s="4" t="s">
        <v>110</v>
      </c>
      <c r="E415" s="5">
        <v>2</v>
      </c>
      <c r="F415" s="7" t="s">
        <v>143</v>
      </c>
      <c r="G415" s="5">
        <v>3</v>
      </c>
      <c r="H415" s="7" t="s">
        <v>193</v>
      </c>
      <c r="I415" s="5">
        <v>0</v>
      </c>
      <c r="J415" s="5">
        <v>0</v>
      </c>
      <c r="K415">
        <v>2</v>
      </c>
      <c r="L415">
        <v>1.5</v>
      </c>
      <c r="M415" s="5">
        <v>1.5</v>
      </c>
      <c r="N415" s="5">
        <v>10</v>
      </c>
      <c r="O415" s="5">
        <f t="shared" si="2759"/>
        <v>59466</v>
      </c>
      <c r="P415" s="5">
        <f t="shared" si="2760"/>
        <v>325008000</v>
      </c>
      <c r="Q415" s="5">
        <f t="shared" si="2761"/>
        <v>5416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70071</v>
      </c>
      <c r="X415" s="6" t="s">
        <v>185</v>
      </c>
      <c r="Y415" s="5">
        <v>300</v>
      </c>
      <c r="Z415" s="5">
        <v>1</v>
      </c>
      <c r="AA415" s="5">
        <v>74644416</v>
      </c>
      <c r="AB415" s="16" t="s">
        <v>111</v>
      </c>
      <c r="AC415" s="7" t="s">
        <v>112</v>
      </c>
      <c r="AD415" s="7" t="s">
        <v>112</v>
      </c>
      <c r="AE415" s="7" t="s">
        <v>112</v>
      </c>
      <c r="AF415" s="6" t="s">
        <v>113</v>
      </c>
      <c r="AG415" s="26" t="str">
        <f t="shared" ref="AG415" si="2959">CM$10</f>
        <v>4,14,28,14,6,4,14,28,14,6</v>
      </c>
      <c r="AH415" s="26" t="str">
        <f t="shared" ref="AH415" si="2960">CN$10</f>
        <v>0,0,0,0,1,0,0,0,0,1</v>
      </c>
      <c r="AI415" s="26" t="str">
        <f t="shared" ref="AI415" si="2961">CO$10</f>
        <v>0,0,0,0,1,0,0,0,0,1</v>
      </c>
      <c r="AJ415" s="26" t="str">
        <f t="shared" ref="AJ415" si="2962">CP$10</f>
        <v>0,0,0,0,5,0,0,0,0,5</v>
      </c>
      <c r="AK415" s="26" t="str">
        <f t="shared" ref="AK415" si="2963">CQ$10</f>
        <v>200,1,1000,2,5,200,1,1000,2,5</v>
      </c>
      <c r="AL415" s="26" t="str">
        <f t="shared" ref="AL415" si="2964">CR$10</f>
        <v>5,5,5,5,5,5,5,5,5,5</v>
      </c>
      <c r="AM415" s="7">
        <v>2001</v>
      </c>
      <c r="AO415">
        <f t="shared" ref="AO415" si="2965">AQ415*100+7</f>
        <v>4607</v>
      </c>
      <c r="AP415">
        <v>411</v>
      </c>
      <c r="AQ415">
        <f t="shared" si="2769"/>
        <v>46</v>
      </c>
      <c r="AR415">
        <v>9</v>
      </c>
      <c r="AS415" s="17">
        <f t="shared" si="2850"/>
        <v>295</v>
      </c>
      <c r="AT415">
        <v>8</v>
      </c>
      <c r="AU415">
        <f t="shared" si="2770"/>
        <v>28</v>
      </c>
      <c r="AV415">
        <v>150</v>
      </c>
      <c r="AW415">
        <f t="shared" si="2771"/>
        <v>59466.977279999999</v>
      </c>
      <c r="AX415">
        <f t="shared" si="2900"/>
        <v>325008000</v>
      </c>
      <c r="AY415">
        <f t="shared" si="2772"/>
        <v>5416.8</v>
      </c>
      <c r="AZ415">
        <f t="shared" si="2773"/>
        <v>10833.6</v>
      </c>
      <c r="BA415">
        <f t="shared" si="2774"/>
        <v>70272</v>
      </c>
      <c r="BB415">
        <f t="shared" si="2775"/>
        <v>2708.4</v>
      </c>
      <c r="BC415">
        <f t="shared" si="2901"/>
        <v>325008000</v>
      </c>
      <c r="BD415">
        <f t="shared" si="2776"/>
        <v>0.29411764705882348</v>
      </c>
      <c r="BE415" s="27">
        <f t="shared" si="2902"/>
        <v>314249845.19039994</v>
      </c>
      <c r="BF415" s="30">
        <f t="shared" si="2777"/>
        <v>0.41039999999999999</v>
      </c>
      <c r="BG415" s="27"/>
      <c r="BH415" s="27"/>
      <c r="BI415" s="27"/>
      <c r="CA415" s="20">
        <f t="shared" si="2778"/>
        <v>325</v>
      </c>
      <c r="CB415" s="20">
        <f t="shared" si="2779"/>
        <v>32500</v>
      </c>
    </row>
    <row r="416" spans="1:80" x14ac:dyDescent="0.15">
      <c r="A416">
        <v>4608</v>
      </c>
      <c r="B416" s="3" t="s">
        <v>128</v>
      </c>
      <c r="C416" s="4" t="s">
        <v>109</v>
      </c>
      <c r="D416" s="4" t="s">
        <v>110</v>
      </c>
      <c r="E416" s="5">
        <v>5</v>
      </c>
      <c r="F416" s="7" t="s">
        <v>129</v>
      </c>
      <c r="G416" s="5">
        <v>2</v>
      </c>
      <c r="H416" s="7" t="s">
        <v>130</v>
      </c>
      <c r="I416" s="5">
        <v>0</v>
      </c>
      <c r="J416" s="5">
        <v>0</v>
      </c>
      <c r="K416">
        <v>2</v>
      </c>
      <c r="L416">
        <v>1.5</v>
      </c>
      <c r="M416" s="5">
        <v>1.5</v>
      </c>
      <c r="N416" s="5">
        <v>10</v>
      </c>
      <c r="O416" s="5">
        <f t="shared" si="2759"/>
        <v>60441</v>
      </c>
      <c r="P416" s="5">
        <f t="shared" si="2760"/>
        <v>330336000</v>
      </c>
      <c r="Q416" s="5">
        <f t="shared" si="2761"/>
        <v>5505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70081</v>
      </c>
      <c r="X416" s="6" t="s">
        <v>186</v>
      </c>
      <c r="Y416" s="5">
        <v>300</v>
      </c>
      <c r="Z416" s="5">
        <v>1</v>
      </c>
      <c r="AA416" s="5">
        <v>77383434</v>
      </c>
      <c r="AB416" s="16" t="s">
        <v>111</v>
      </c>
      <c r="AC416" s="7" t="s">
        <v>112</v>
      </c>
      <c r="AD416" s="7" t="s">
        <v>112</v>
      </c>
      <c r="AE416" s="7" t="s">
        <v>112</v>
      </c>
      <c r="AF416" s="6" t="s">
        <v>113</v>
      </c>
      <c r="AG416" s="26" t="str">
        <f t="shared" ref="AG416" si="2966">CM$11</f>
        <v>4,28,6,28,6,4,28,6,28,6</v>
      </c>
      <c r="AH416" s="26" t="str">
        <f t="shared" ref="AH416" si="2967">CN$11</f>
        <v>0,0,1,0,1,0,0,1,0,1</v>
      </c>
      <c r="AI416" s="26" t="str">
        <f t="shared" ref="AI416" si="2968">CO$11</f>
        <v>0,0,1,0,1,0,0,1,0,1</v>
      </c>
      <c r="AJ416" s="26" t="str">
        <f t="shared" ref="AJ416" si="2969">CP$11</f>
        <v>0,0,5,0,5,0,0,5,0,5</v>
      </c>
      <c r="AK416" s="26" t="str">
        <f t="shared" ref="AK416" si="2970">CQ$11</f>
        <v>100,1000,5,1500,5,200,1000,5,1500,5</v>
      </c>
      <c r="AL416" s="26" t="str">
        <f t="shared" ref="AL416" si="2971">CR$11</f>
        <v>5,5,5,5,5,5,5,5,5,5</v>
      </c>
      <c r="AM416" s="7">
        <v>2001</v>
      </c>
      <c r="AO416">
        <f t="shared" ref="AO416" si="2972">AQ416*100+8</f>
        <v>4608</v>
      </c>
      <c r="AP416">
        <v>412</v>
      </c>
      <c r="AQ416">
        <f t="shared" si="2769"/>
        <v>46</v>
      </c>
      <c r="AR416">
        <v>9</v>
      </c>
      <c r="AS416" s="17">
        <f t="shared" si="2850"/>
        <v>300</v>
      </c>
      <c r="AT416">
        <v>8</v>
      </c>
      <c r="AU416">
        <f t="shared" si="2770"/>
        <v>28</v>
      </c>
      <c r="AV416">
        <v>150</v>
      </c>
      <c r="AW416">
        <f t="shared" si="2771"/>
        <v>60441.845760000004</v>
      </c>
      <c r="AX416">
        <f t="shared" si="2900"/>
        <v>330336000</v>
      </c>
      <c r="AY416">
        <f t="shared" si="2772"/>
        <v>5505.6</v>
      </c>
      <c r="AZ416">
        <f t="shared" si="2773"/>
        <v>11011.2</v>
      </c>
      <c r="BA416">
        <f t="shared" si="2774"/>
        <v>71424</v>
      </c>
      <c r="BB416">
        <f t="shared" si="2775"/>
        <v>2752.8</v>
      </c>
      <c r="BC416">
        <f t="shared" si="2901"/>
        <v>330336000</v>
      </c>
      <c r="BD416">
        <f t="shared" si="2776"/>
        <v>0.29411764705882348</v>
      </c>
      <c r="BE416" s="27">
        <f t="shared" si="2902"/>
        <v>324637571.86560005</v>
      </c>
      <c r="BF416" s="30">
        <f t="shared" si="2777"/>
        <v>0.41039999999999999</v>
      </c>
      <c r="BG416" s="27"/>
      <c r="BH416" s="27"/>
      <c r="BI416" s="27"/>
      <c r="CA416" s="20">
        <f t="shared" si="2778"/>
        <v>325</v>
      </c>
      <c r="CB416" s="20">
        <f t="shared" si="2779"/>
        <v>32500</v>
      </c>
    </row>
    <row r="417" spans="1:80" x14ac:dyDescent="0.15">
      <c r="A417">
        <v>4609</v>
      </c>
      <c r="B417" s="3" t="s">
        <v>132</v>
      </c>
      <c r="C417" s="4" t="s">
        <v>109</v>
      </c>
      <c r="D417" s="4" t="s">
        <v>110</v>
      </c>
      <c r="E417" s="5">
        <v>5</v>
      </c>
      <c r="F417" s="7" t="s">
        <v>140</v>
      </c>
      <c r="G417" s="5">
        <v>3</v>
      </c>
      <c r="H417" s="7" t="s">
        <v>140</v>
      </c>
      <c r="I417" s="5">
        <v>0</v>
      </c>
      <c r="J417" s="7">
        <v>0</v>
      </c>
      <c r="K417">
        <v>6</v>
      </c>
      <c r="L417">
        <v>1.5</v>
      </c>
      <c r="M417" s="5">
        <v>1.5</v>
      </c>
      <c r="N417" s="5">
        <v>10</v>
      </c>
      <c r="O417" s="5">
        <f t="shared" si="2759"/>
        <v>61416</v>
      </c>
      <c r="P417" s="5">
        <f t="shared" si="2760"/>
        <v>335664000</v>
      </c>
      <c r="Q417" s="5">
        <f t="shared" si="2761"/>
        <v>5594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70091</v>
      </c>
      <c r="X417" s="6" t="s">
        <v>187</v>
      </c>
      <c r="Y417" s="5">
        <v>300</v>
      </c>
      <c r="Z417" s="5">
        <v>1</v>
      </c>
      <c r="AA417" s="5">
        <v>80171804</v>
      </c>
      <c r="AB417" s="16" t="s">
        <v>111</v>
      </c>
      <c r="AC417" s="7" t="s">
        <v>112</v>
      </c>
      <c r="AD417" s="7" t="s">
        <v>112</v>
      </c>
      <c r="AE417" s="7" t="s">
        <v>112</v>
      </c>
      <c r="AF417" s="6" t="s">
        <v>113</v>
      </c>
      <c r="AG417" s="26" t="str">
        <f t="shared" ref="AG417" si="2973">CM$12</f>
        <v>4,33,28,33,6,4,33,28,33,6</v>
      </c>
      <c r="AH417" s="26" t="str">
        <f t="shared" ref="AH417" si="2974">CN$12</f>
        <v>0,5,0,5,1,0,5,0,5,1</v>
      </c>
      <c r="AI417" s="26" t="str">
        <f t="shared" ref="AI417" si="2975">CO$12</f>
        <v>0,0,0,0,1,0,0,0,0,1</v>
      </c>
      <c r="AJ417" s="26" t="str">
        <f t="shared" ref="AJ417" si="2976">CP$12</f>
        <v>0,0,0,0,5,0,0,0,0,5</v>
      </c>
      <c r="AK417" s="26" t="str">
        <f t="shared" ref="AK417" si="2977">CQ$12</f>
        <v>100,1,1000,2,5,200,1,1000,2,5</v>
      </c>
      <c r="AL417" s="26" t="str">
        <f t="shared" ref="AL417" si="2978">CR$12</f>
        <v>5,5,5,5,5,5,5,5,5,5</v>
      </c>
      <c r="AM417" s="7">
        <v>2001</v>
      </c>
      <c r="AO417">
        <f t="shared" ref="AO417" si="2979">AQ417*100+9</f>
        <v>4609</v>
      </c>
      <c r="AP417">
        <v>413</v>
      </c>
      <c r="AQ417">
        <f t="shared" si="2769"/>
        <v>46</v>
      </c>
      <c r="AR417">
        <v>9</v>
      </c>
      <c r="AS417" s="17">
        <f t="shared" si="2850"/>
        <v>305</v>
      </c>
      <c r="AT417">
        <v>8</v>
      </c>
      <c r="AU417">
        <f t="shared" si="2770"/>
        <v>28</v>
      </c>
      <c r="AV417">
        <v>150</v>
      </c>
      <c r="AW417">
        <f t="shared" si="2771"/>
        <v>61416.714240000001</v>
      </c>
      <c r="AX417">
        <f t="shared" si="2900"/>
        <v>335664000.00000006</v>
      </c>
      <c r="AY417">
        <f t="shared" si="2772"/>
        <v>5594.4000000000005</v>
      </c>
      <c r="AZ417">
        <f t="shared" si="2773"/>
        <v>11188.800000000001</v>
      </c>
      <c r="BA417">
        <f t="shared" si="2774"/>
        <v>72576</v>
      </c>
      <c r="BB417">
        <f t="shared" si="2775"/>
        <v>2797.2000000000003</v>
      </c>
      <c r="BC417">
        <f t="shared" si="2901"/>
        <v>335664000.00000006</v>
      </c>
      <c r="BD417">
        <f t="shared" si="2776"/>
        <v>0.29411764705882354</v>
      </c>
      <c r="BE417" s="27">
        <f t="shared" si="2902"/>
        <v>335194204.66560018</v>
      </c>
      <c r="BF417" s="30">
        <f t="shared" si="2777"/>
        <v>0.41039999999999999</v>
      </c>
      <c r="BG417" s="27"/>
      <c r="BH417" s="27"/>
      <c r="BI417" s="27"/>
      <c r="CA417" s="20">
        <f t="shared" si="2778"/>
        <v>325</v>
      </c>
      <c r="CB417" s="20">
        <f t="shared" si="2779"/>
        <v>32500</v>
      </c>
    </row>
    <row r="418" spans="1:80" x14ac:dyDescent="0.15">
      <c r="A418">
        <v>4701</v>
      </c>
      <c r="B418" s="3" t="s">
        <v>108</v>
      </c>
      <c r="C418" s="4" t="s">
        <v>109</v>
      </c>
      <c r="D418" s="4" t="s">
        <v>110</v>
      </c>
      <c r="E418" s="5">
        <v>3</v>
      </c>
      <c r="F418" s="7" t="s">
        <v>141</v>
      </c>
      <c r="G418" s="5">
        <v>2.5</v>
      </c>
      <c r="H418" s="7" t="s">
        <v>194</v>
      </c>
      <c r="I418" s="5">
        <v>0</v>
      </c>
      <c r="J418" s="5">
        <v>0</v>
      </c>
      <c r="K418">
        <v>2</v>
      </c>
      <c r="L418">
        <v>1.5</v>
      </c>
      <c r="M418" s="5">
        <v>1.5</v>
      </c>
      <c r="N418" s="5">
        <v>10</v>
      </c>
      <c r="O418" s="5">
        <f t="shared" si="2759"/>
        <v>54685</v>
      </c>
      <c r="P418" s="5">
        <f t="shared" si="2760"/>
        <v>298368000</v>
      </c>
      <c r="Q418" s="5">
        <f t="shared" si="2761"/>
        <v>4972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70011</v>
      </c>
      <c r="X418" s="6" t="s">
        <v>179</v>
      </c>
      <c r="Y418" s="5">
        <v>300</v>
      </c>
      <c r="Z418" s="5">
        <v>1</v>
      </c>
      <c r="AA418" s="5">
        <v>83009526</v>
      </c>
      <c r="AB418" s="16" t="s">
        <v>111</v>
      </c>
      <c r="AC418" s="7" t="s">
        <v>112</v>
      </c>
      <c r="AD418" s="7" t="s">
        <v>112</v>
      </c>
      <c r="AE418" s="7" t="s">
        <v>112</v>
      </c>
      <c r="AF418" s="6" t="s">
        <v>113</v>
      </c>
      <c r="AG418" s="26" t="str">
        <f t="shared" ref="AG418" si="2980">CM$4</f>
        <v>4,33,28,33,6,4,33,28,33,6</v>
      </c>
      <c r="AH418" s="26" t="str">
        <f t="shared" ref="AH418" si="2981">CN$4</f>
        <v>0,8,0,8,1,0,8,0,8,1</v>
      </c>
      <c r="AI418" s="26" t="str">
        <f t="shared" ref="AI418" si="2982">CO$4</f>
        <v>0,0,0,0,1,0,0,0,0,1</v>
      </c>
      <c r="AJ418" s="26" t="str">
        <f t="shared" ref="AJ418" si="2983">CP$4</f>
        <v>0,0,0,0,5,0,0,0,0,5</v>
      </c>
      <c r="AK418" s="26" t="str">
        <f t="shared" ref="AK418" si="2984">CQ$4</f>
        <v>100,1,1000,2,5,200,1,1000,2,5</v>
      </c>
      <c r="AL418" s="26" t="str">
        <f t="shared" ref="AL418" si="2985">CR$4</f>
        <v>5,5,5,5,5,5,5,5,5,5</v>
      </c>
      <c r="AM418" s="7">
        <v>2001</v>
      </c>
      <c r="AO418">
        <f t="shared" ref="AO418" si="2986">AQ418*100+1</f>
        <v>4701</v>
      </c>
      <c r="AP418">
        <v>414</v>
      </c>
      <c r="AQ418">
        <f t="shared" si="2769"/>
        <v>47</v>
      </c>
      <c r="AR418">
        <v>9</v>
      </c>
      <c r="AS418" s="17">
        <f t="shared" si="2850"/>
        <v>270</v>
      </c>
      <c r="AT418">
        <v>8</v>
      </c>
      <c r="AU418">
        <f t="shared" si="2770"/>
        <v>28</v>
      </c>
      <c r="AV418">
        <v>150</v>
      </c>
      <c r="AW418">
        <f t="shared" si="2771"/>
        <v>54685.532159999988</v>
      </c>
      <c r="AX418">
        <f t="shared" si="2900"/>
        <v>298368000</v>
      </c>
      <c r="AY418">
        <f t="shared" si="2772"/>
        <v>4972.8</v>
      </c>
      <c r="AZ418">
        <f t="shared" si="2773"/>
        <v>9945.6</v>
      </c>
      <c r="BA418">
        <f t="shared" si="2774"/>
        <v>64511.999999999993</v>
      </c>
      <c r="BB418">
        <f t="shared" si="2775"/>
        <v>2486.4</v>
      </c>
      <c r="BC418">
        <f t="shared" si="2901"/>
        <v>298368000</v>
      </c>
      <c r="BD418">
        <f t="shared" si="2776"/>
        <v>0.29411764705882348</v>
      </c>
      <c r="BE418" s="27">
        <f t="shared" si="2902"/>
        <v>264844803.68640003</v>
      </c>
      <c r="BF418" s="30">
        <f t="shared" si="2777"/>
        <v>0.41279999999999994</v>
      </c>
      <c r="BG418" s="27"/>
      <c r="BH418" s="27"/>
      <c r="BI418" s="27"/>
      <c r="CA418" s="20">
        <f t="shared" si="2778"/>
        <v>330</v>
      </c>
      <c r="CB418" s="20">
        <f t="shared" si="2779"/>
        <v>33000</v>
      </c>
    </row>
    <row r="419" spans="1:80" x14ac:dyDescent="0.15">
      <c r="A419">
        <v>4702</v>
      </c>
      <c r="B419" s="3" t="s">
        <v>115</v>
      </c>
      <c r="C419" s="4" t="s">
        <v>109</v>
      </c>
      <c r="D419" s="6" t="s">
        <v>110</v>
      </c>
      <c r="E419" s="5">
        <v>3</v>
      </c>
      <c r="F419" s="7" t="s">
        <v>142</v>
      </c>
      <c r="G419" s="5">
        <v>3</v>
      </c>
      <c r="H419" s="7" t="s">
        <v>188</v>
      </c>
      <c r="I419" s="5">
        <v>0</v>
      </c>
      <c r="J419" s="5">
        <v>0</v>
      </c>
      <c r="K419">
        <v>2</v>
      </c>
      <c r="L419">
        <v>1.5</v>
      </c>
      <c r="M419" s="5">
        <v>1.5</v>
      </c>
      <c r="N419" s="5">
        <v>10</v>
      </c>
      <c r="O419" s="5">
        <f t="shared" si="2759"/>
        <v>55662</v>
      </c>
      <c r="P419" s="5">
        <f t="shared" si="2760"/>
        <v>303696000</v>
      </c>
      <c r="Q419" s="5">
        <f t="shared" si="2761"/>
        <v>5061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70021</v>
      </c>
      <c r="X419" s="6" t="s">
        <v>180</v>
      </c>
      <c r="Y419" s="5">
        <v>300</v>
      </c>
      <c r="Z419" s="5">
        <v>1</v>
      </c>
      <c r="AA419" s="5">
        <v>64181860</v>
      </c>
      <c r="AB419" s="16" t="s">
        <v>111</v>
      </c>
      <c r="AC419" s="7" t="s">
        <v>112</v>
      </c>
      <c r="AD419" s="7" t="s">
        <v>112</v>
      </c>
      <c r="AE419" s="7" t="s">
        <v>112</v>
      </c>
      <c r="AF419" s="6" t="s">
        <v>113</v>
      </c>
      <c r="AG419" s="26" t="str">
        <f t="shared" ref="AG419" si="2987">CM$5</f>
        <v>4,33,28,33,6,4,33,28,33,6</v>
      </c>
      <c r="AH419" s="26" t="str">
        <f t="shared" ref="AH419" si="2988">CN$5</f>
        <v>0,7,0,7,1,0,7,0,7,1</v>
      </c>
      <c r="AI419" s="26" t="str">
        <f t="shared" ref="AI419" si="2989">CO$5</f>
        <v>0,0,0,0,1,0,0,0,0,1</v>
      </c>
      <c r="AJ419" s="26" t="str">
        <f t="shared" ref="AJ419" si="2990">CP$5</f>
        <v>0,0,0,0,5,0,0,0,0,5</v>
      </c>
      <c r="AK419" s="26" t="str">
        <f t="shared" ref="AK419" si="2991">CQ$5</f>
        <v>100,1,1000,2,5,200,1,1000,2,5</v>
      </c>
      <c r="AL419" s="26" t="str">
        <f t="shared" ref="AL419" si="2992">CR$5</f>
        <v>5,5,5,5,5,5,5,5,5,5</v>
      </c>
      <c r="AM419" s="7">
        <v>2001</v>
      </c>
      <c r="AO419">
        <f t="shared" ref="AO419" si="2993">AQ419*100+2</f>
        <v>4702</v>
      </c>
      <c r="AP419">
        <v>415</v>
      </c>
      <c r="AQ419">
        <f t="shared" si="2769"/>
        <v>47</v>
      </c>
      <c r="AR419">
        <v>9</v>
      </c>
      <c r="AS419" s="17">
        <f t="shared" si="2850"/>
        <v>275</v>
      </c>
      <c r="AT419">
        <v>8</v>
      </c>
      <c r="AU419">
        <f t="shared" si="2770"/>
        <v>28</v>
      </c>
      <c r="AV419">
        <v>150</v>
      </c>
      <c r="AW419">
        <f t="shared" si="2771"/>
        <v>55662.059519999995</v>
      </c>
      <c r="AX419">
        <f t="shared" si="2900"/>
        <v>303696000</v>
      </c>
      <c r="AY419">
        <f t="shared" si="2772"/>
        <v>5061.6000000000004</v>
      </c>
      <c r="AZ419">
        <f t="shared" si="2773"/>
        <v>10123.200000000001</v>
      </c>
      <c r="BA419">
        <f t="shared" si="2774"/>
        <v>65664</v>
      </c>
      <c r="BB419">
        <f t="shared" si="2775"/>
        <v>2530.8000000000002</v>
      </c>
      <c r="BC419">
        <f t="shared" si="2901"/>
        <v>303696000</v>
      </c>
      <c r="BD419">
        <f t="shared" si="2776"/>
        <v>0.29411764705882348</v>
      </c>
      <c r="BE419" s="27">
        <f t="shared" si="2902"/>
        <v>274387999.73760003</v>
      </c>
      <c r="BF419" s="30">
        <f t="shared" si="2777"/>
        <v>0.41279999999999994</v>
      </c>
      <c r="BG419" s="27"/>
      <c r="BH419" s="27"/>
      <c r="BI419" s="27"/>
      <c r="CA419" s="20">
        <f t="shared" si="2778"/>
        <v>330</v>
      </c>
      <c r="CB419" s="20">
        <f t="shared" si="2779"/>
        <v>33000</v>
      </c>
    </row>
    <row r="420" spans="1:80" x14ac:dyDescent="0.15">
      <c r="A420">
        <v>4703</v>
      </c>
      <c r="B420" s="3" t="s">
        <v>117</v>
      </c>
      <c r="C420" s="4" t="s">
        <v>109</v>
      </c>
      <c r="D420" s="4" t="s">
        <v>110</v>
      </c>
      <c r="E420" s="5">
        <v>1</v>
      </c>
      <c r="F420" s="7" t="s">
        <v>144</v>
      </c>
      <c r="G420" s="5">
        <v>3</v>
      </c>
      <c r="H420" s="7" t="s">
        <v>189</v>
      </c>
      <c r="I420" s="5">
        <v>0</v>
      </c>
      <c r="J420" s="2">
        <v>0</v>
      </c>
      <c r="K420">
        <v>6</v>
      </c>
      <c r="L420">
        <v>1.5</v>
      </c>
      <c r="M420" s="5">
        <v>1.5</v>
      </c>
      <c r="N420" s="5">
        <v>10</v>
      </c>
      <c r="O420" s="5">
        <f t="shared" si="2759"/>
        <v>56638</v>
      </c>
      <c r="P420" s="5">
        <f t="shared" si="2760"/>
        <v>309024000</v>
      </c>
      <c r="Q420" s="5">
        <f t="shared" si="2761"/>
        <v>5150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70031</v>
      </c>
      <c r="X420" s="6" t="s">
        <v>181</v>
      </c>
      <c r="Y420" s="5">
        <v>300</v>
      </c>
      <c r="Z420" s="5">
        <v>1</v>
      </c>
      <c r="AA420" s="5">
        <v>66723471</v>
      </c>
      <c r="AB420" s="16" t="s">
        <v>111</v>
      </c>
      <c r="AC420" s="7" t="s">
        <v>112</v>
      </c>
      <c r="AD420" s="7" t="s">
        <v>112</v>
      </c>
      <c r="AE420" s="7" t="s">
        <v>112</v>
      </c>
      <c r="AF420" s="6" t="s">
        <v>113</v>
      </c>
      <c r="AG420" s="26" t="str">
        <f t="shared" ref="AG420" si="2994">CM$6</f>
        <v>4,28,6,28,6,4,28,6,28,6</v>
      </c>
      <c r="AH420" s="26" t="str">
        <f t="shared" ref="AH420" si="2995">CN$6</f>
        <v>0,0,1,0,1,0,0,1,0,1</v>
      </c>
      <c r="AI420" s="26" t="str">
        <f t="shared" ref="AI420" si="2996">CO$6</f>
        <v>0,0,0,0,1,0,0,0,0,1</v>
      </c>
      <c r="AJ420" s="26" t="str">
        <f t="shared" ref="AJ420" si="2997">CP$6</f>
        <v>0,0,5,0,5,0,0,5,0,5</v>
      </c>
      <c r="AK420" s="26" t="str">
        <f t="shared" ref="AK420" si="2998">CQ$6</f>
        <v>100,1000,5,1500,5,200,1000,5,1500,5</v>
      </c>
      <c r="AL420" s="26" t="str">
        <f t="shared" ref="AL420" si="2999">CR$6</f>
        <v>5,5,5,5,5,5,5,5,5,5</v>
      </c>
      <c r="AM420" s="7">
        <v>2001</v>
      </c>
      <c r="AO420">
        <f t="shared" ref="AO420" si="3000">AQ420*100+3</f>
        <v>4703</v>
      </c>
      <c r="AP420">
        <v>416</v>
      </c>
      <c r="AQ420">
        <f t="shared" si="2769"/>
        <v>47</v>
      </c>
      <c r="AR420">
        <v>9</v>
      </c>
      <c r="AS420" s="17">
        <f t="shared" si="2850"/>
        <v>280</v>
      </c>
      <c r="AT420">
        <v>8</v>
      </c>
      <c r="AU420">
        <f t="shared" si="2770"/>
        <v>28</v>
      </c>
      <c r="AV420">
        <v>150</v>
      </c>
      <c r="AW420">
        <f t="shared" si="2771"/>
        <v>56638.586879999988</v>
      </c>
      <c r="AX420">
        <f t="shared" si="2900"/>
        <v>309024000.00000006</v>
      </c>
      <c r="AY420">
        <f t="shared" si="2772"/>
        <v>5150.4000000000005</v>
      </c>
      <c r="AZ420">
        <f t="shared" si="2773"/>
        <v>10300.800000000001</v>
      </c>
      <c r="BA420">
        <f t="shared" si="2774"/>
        <v>66816</v>
      </c>
      <c r="BB420">
        <f t="shared" si="2775"/>
        <v>2575.2000000000003</v>
      </c>
      <c r="BC420">
        <f t="shared" si="2901"/>
        <v>309024000.00000006</v>
      </c>
      <c r="BD420">
        <f t="shared" si="2776"/>
        <v>0.29411764705882354</v>
      </c>
      <c r="BE420" s="27">
        <f t="shared" si="2902"/>
        <v>284100101.91360009</v>
      </c>
      <c r="BF420" s="30">
        <f t="shared" si="2777"/>
        <v>0.41279999999999994</v>
      </c>
      <c r="BG420" s="27"/>
      <c r="BH420" s="27"/>
      <c r="BI420" s="27"/>
      <c r="CA420" s="20">
        <f t="shared" si="2778"/>
        <v>330</v>
      </c>
      <c r="CB420" s="20">
        <f t="shared" si="2779"/>
        <v>33000</v>
      </c>
    </row>
    <row r="421" spans="1:80" x14ac:dyDescent="0.15">
      <c r="A421">
        <v>4704</v>
      </c>
      <c r="B421" s="3" t="s">
        <v>119</v>
      </c>
      <c r="C421" s="4" t="s">
        <v>109</v>
      </c>
      <c r="D421" s="6" t="s">
        <v>120</v>
      </c>
      <c r="E421" s="5">
        <v>3</v>
      </c>
      <c r="F421" s="7" t="s">
        <v>145</v>
      </c>
      <c r="G421" s="5">
        <v>3</v>
      </c>
      <c r="H421" s="7" t="s">
        <v>190</v>
      </c>
      <c r="I421" s="5">
        <v>0</v>
      </c>
      <c r="J421" s="5">
        <v>0</v>
      </c>
      <c r="K421">
        <v>2</v>
      </c>
      <c r="L421">
        <v>1.5</v>
      </c>
      <c r="M421" s="5">
        <v>1.5</v>
      </c>
      <c r="N421" s="5">
        <v>10</v>
      </c>
      <c r="O421" s="5">
        <f t="shared" si="2759"/>
        <v>57615</v>
      </c>
      <c r="P421" s="5">
        <f t="shared" si="2760"/>
        <v>314352000</v>
      </c>
      <c r="Q421" s="5">
        <f t="shared" si="2761"/>
        <v>5239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70041</v>
      </c>
      <c r="X421" s="6" t="s">
        <v>182</v>
      </c>
      <c r="Y421" s="5">
        <v>300</v>
      </c>
      <c r="Z421" s="5">
        <v>1</v>
      </c>
      <c r="AA421" s="5">
        <v>69314435</v>
      </c>
      <c r="AB421" s="16" t="s">
        <v>111</v>
      </c>
      <c r="AC421" s="7" t="s">
        <v>112</v>
      </c>
      <c r="AD421" s="7" t="s">
        <v>112</v>
      </c>
      <c r="AE421" s="7" t="s">
        <v>112</v>
      </c>
      <c r="AF421" s="6" t="s">
        <v>113</v>
      </c>
      <c r="AG421" s="26" t="str">
        <f t="shared" ref="AG421" si="3001">CM$7</f>
        <v>4,14,28,14,6,4,14,28,14,6</v>
      </c>
      <c r="AH421" s="26" t="str">
        <f t="shared" ref="AH421" si="3002">CN$7</f>
        <v>0,0,0,0,1,0,0,0,0,1</v>
      </c>
      <c r="AI421" s="26" t="str">
        <f t="shared" ref="AI421" si="3003">CO$7</f>
        <v>0,0,0,0,1,0,0,0,0,1</v>
      </c>
      <c r="AJ421" s="26" t="str">
        <f t="shared" ref="AJ421" si="3004">CP$7</f>
        <v>0,0,0,0,5,0,0,0,0,5</v>
      </c>
      <c r="AK421" s="26" t="str">
        <f t="shared" ref="AK421" si="3005">CQ$7</f>
        <v>100,1,1000,2,5,200,1,1000,2,5</v>
      </c>
      <c r="AL421" s="26" t="str">
        <f t="shared" ref="AL421" si="3006">CR$7</f>
        <v>5,5,5,5,5,5,5,5,5,5</v>
      </c>
      <c r="AM421" s="7">
        <v>2001</v>
      </c>
      <c r="AO421">
        <f t="shared" ref="AO421" si="3007">AQ421*100+4</f>
        <v>4704</v>
      </c>
      <c r="AP421">
        <v>417</v>
      </c>
      <c r="AQ421">
        <f t="shared" si="2769"/>
        <v>47</v>
      </c>
      <c r="AR421">
        <v>9</v>
      </c>
      <c r="AS421" s="17">
        <f t="shared" si="2850"/>
        <v>285</v>
      </c>
      <c r="AT421">
        <v>8</v>
      </c>
      <c r="AU421">
        <f t="shared" si="2770"/>
        <v>28</v>
      </c>
      <c r="AV421">
        <v>150</v>
      </c>
      <c r="AW421">
        <f t="shared" si="2771"/>
        <v>57615.114239999988</v>
      </c>
      <c r="AX421">
        <f t="shared" si="2900"/>
        <v>314352000</v>
      </c>
      <c r="AY421">
        <f t="shared" si="2772"/>
        <v>5239.2</v>
      </c>
      <c r="AZ421">
        <f t="shared" si="2773"/>
        <v>10478.4</v>
      </c>
      <c r="BA421">
        <f t="shared" si="2774"/>
        <v>67968</v>
      </c>
      <c r="BB421">
        <f t="shared" si="2775"/>
        <v>2619.6</v>
      </c>
      <c r="BC421">
        <f t="shared" si="2901"/>
        <v>314352000</v>
      </c>
      <c r="BD421">
        <f t="shared" si="2776"/>
        <v>0.29411764705882354</v>
      </c>
      <c r="BE421" s="27">
        <f t="shared" si="2902"/>
        <v>293981110.21440005</v>
      </c>
      <c r="BF421" s="30">
        <f t="shared" si="2777"/>
        <v>0.41279999999999994</v>
      </c>
      <c r="BG421" s="27"/>
      <c r="BH421" s="27"/>
      <c r="BI421" s="27"/>
      <c r="CA421" s="20">
        <f t="shared" si="2778"/>
        <v>330</v>
      </c>
      <c r="CB421" s="20">
        <f t="shared" si="2779"/>
        <v>33000</v>
      </c>
    </row>
    <row r="422" spans="1:80" x14ac:dyDescent="0.15">
      <c r="A422">
        <v>4705</v>
      </c>
      <c r="B422" s="3" t="s">
        <v>122</v>
      </c>
      <c r="C422" s="4" t="s">
        <v>109</v>
      </c>
      <c r="D422" s="4" t="s">
        <v>110</v>
      </c>
      <c r="E422" s="5">
        <v>2</v>
      </c>
      <c r="F422" s="7" t="s">
        <v>146</v>
      </c>
      <c r="G422" s="5">
        <v>3</v>
      </c>
      <c r="H422" s="7" t="s">
        <v>191</v>
      </c>
      <c r="I422" s="5">
        <v>0</v>
      </c>
      <c r="J422" s="7" t="s">
        <v>148</v>
      </c>
      <c r="K422">
        <v>6</v>
      </c>
      <c r="L422">
        <v>1.5</v>
      </c>
      <c r="M422" s="5">
        <v>1.5</v>
      </c>
      <c r="N422" s="5">
        <v>10</v>
      </c>
      <c r="O422" s="5">
        <f t="shared" si="2759"/>
        <v>58591</v>
      </c>
      <c r="P422" s="5">
        <f t="shared" si="2760"/>
        <v>319680000</v>
      </c>
      <c r="Q422" s="5">
        <f t="shared" si="2761"/>
        <v>5328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70051</v>
      </c>
      <c r="X422" s="6" t="s">
        <v>183</v>
      </c>
      <c r="Y422" s="5">
        <v>300</v>
      </c>
      <c r="Z422" s="5">
        <v>1</v>
      </c>
      <c r="AA422" s="5">
        <v>71954749</v>
      </c>
      <c r="AB422" s="16" t="s">
        <v>111</v>
      </c>
      <c r="AC422" s="7" t="s">
        <v>112</v>
      </c>
      <c r="AD422" s="7" t="s">
        <v>112</v>
      </c>
      <c r="AE422" s="7" t="s">
        <v>112</v>
      </c>
      <c r="AF422" s="6" t="s">
        <v>113</v>
      </c>
      <c r="AG422" s="26" t="str">
        <f t="shared" ref="AG422" si="3008">CM$8</f>
        <v>4,19,28,19,6,4,19,28,19,6</v>
      </c>
      <c r="AH422" s="26" t="str">
        <f t="shared" ref="AH422" si="3009">CN$8</f>
        <v>0,0,0,0,1,0,0,0,0,1</v>
      </c>
      <c r="AI422" s="26" t="str">
        <f t="shared" ref="AI422" si="3010">CO$8</f>
        <v>0,0,0,0,1,0,0,0,0,1</v>
      </c>
      <c r="AJ422" s="26" t="str">
        <f t="shared" ref="AJ422" si="3011">CP$8</f>
        <v>0,0,0,0,5,0,0,0,0,5</v>
      </c>
      <c r="AK422" s="26" t="str">
        <f t="shared" ref="AK422" si="3012">CQ$8</f>
        <v>200,100,1000,200,5,200,100,1000,200,5</v>
      </c>
      <c r="AL422" s="26" t="str">
        <f t="shared" ref="AL422" si="3013">CR$8</f>
        <v>5,5,5,5,5,5,5,5,5,5</v>
      </c>
      <c r="AM422" s="7">
        <v>2001</v>
      </c>
      <c r="AO422">
        <f t="shared" ref="AO422" si="3014">AQ422*100+5</f>
        <v>4705</v>
      </c>
      <c r="AP422">
        <v>418</v>
      </c>
      <c r="AQ422">
        <f t="shared" si="2769"/>
        <v>47</v>
      </c>
      <c r="AR422">
        <v>9</v>
      </c>
      <c r="AS422" s="17">
        <f t="shared" si="2850"/>
        <v>290</v>
      </c>
      <c r="AT422">
        <v>8</v>
      </c>
      <c r="AU422">
        <f t="shared" si="2770"/>
        <v>28</v>
      </c>
      <c r="AV422">
        <v>150</v>
      </c>
      <c r="AW422">
        <f t="shared" si="2771"/>
        <v>58591.641599999995</v>
      </c>
      <c r="AX422">
        <f t="shared" si="2900"/>
        <v>319680000</v>
      </c>
      <c r="AY422">
        <f t="shared" si="2772"/>
        <v>5328</v>
      </c>
      <c r="AZ422">
        <f t="shared" si="2773"/>
        <v>10656</v>
      </c>
      <c r="BA422">
        <f t="shared" si="2774"/>
        <v>69120</v>
      </c>
      <c r="BB422">
        <f t="shared" si="2775"/>
        <v>2664</v>
      </c>
      <c r="BC422">
        <f t="shared" si="2901"/>
        <v>319680000</v>
      </c>
      <c r="BD422">
        <f t="shared" si="2776"/>
        <v>0.29411764705882354</v>
      </c>
      <c r="BE422" s="27">
        <f t="shared" si="2902"/>
        <v>304031024.6400001</v>
      </c>
      <c r="BF422" s="30">
        <f t="shared" si="2777"/>
        <v>0.41279999999999994</v>
      </c>
      <c r="BG422" s="27"/>
      <c r="BH422" s="27"/>
      <c r="BI422" s="27"/>
      <c r="CA422" s="20">
        <f t="shared" si="2778"/>
        <v>330</v>
      </c>
      <c r="CB422" s="20">
        <f t="shared" si="2779"/>
        <v>33000</v>
      </c>
    </row>
    <row r="423" spans="1:80" x14ac:dyDescent="0.15">
      <c r="A423">
        <v>4706</v>
      </c>
      <c r="B423" s="3" t="s">
        <v>124</v>
      </c>
      <c r="C423" s="4" t="s">
        <v>109</v>
      </c>
      <c r="D423" s="6" t="s">
        <v>120</v>
      </c>
      <c r="E423" s="5">
        <v>1</v>
      </c>
      <c r="F423" s="7" t="s">
        <v>147</v>
      </c>
      <c r="G423" s="5">
        <v>3</v>
      </c>
      <c r="H423" s="7" t="s">
        <v>192</v>
      </c>
      <c r="I423" s="5">
        <v>0</v>
      </c>
      <c r="J423" s="7" t="s">
        <v>149</v>
      </c>
      <c r="K423">
        <v>6</v>
      </c>
      <c r="L423">
        <v>1.5</v>
      </c>
      <c r="M423" s="5">
        <v>1.5</v>
      </c>
      <c r="N423" s="5">
        <v>10</v>
      </c>
      <c r="O423" s="5">
        <f t="shared" si="2759"/>
        <v>59568</v>
      </c>
      <c r="P423" s="5">
        <f t="shared" si="2760"/>
        <v>325008000</v>
      </c>
      <c r="Q423" s="5">
        <f t="shared" si="2761"/>
        <v>5416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70061</v>
      </c>
      <c r="X423" s="6" t="s">
        <v>184</v>
      </c>
      <c r="Y423" s="5">
        <v>300</v>
      </c>
      <c r="Z423" s="5">
        <v>1</v>
      </c>
      <c r="AA423" s="5">
        <v>74644416</v>
      </c>
      <c r="AB423" s="16" t="s">
        <v>111</v>
      </c>
      <c r="AC423" s="7" t="s">
        <v>112</v>
      </c>
      <c r="AD423" s="7" t="s">
        <v>112</v>
      </c>
      <c r="AE423" s="7" t="s">
        <v>112</v>
      </c>
      <c r="AF423" s="6" t="s">
        <v>113</v>
      </c>
      <c r="AG423" s="26" t="str">
        <f t="shared" ref="AG423" si="3015">CM$9</f>
        <v>4,33,28,33,6,4,33,28,33,6</v>
      </c>
      <c r="AH423" s="26" t="str">
        <f t="shared" ref="AH423" si="3016">CN$9</f>
        <v>0,6,0,6,1,0,6,0,6,1</v>
      </c>
      <c r="AI423" s="26" t="str">
        <f t="shared" ref="AI423" si="3017">CO$9</f>
        <v>0,0,0,0,1,0,0,0,0,1</v>
      </c>
      <c r="AJ423" s="26" t="str">
        <f t="shared" ref="AJ423" si="3018">CP$9</f>
        <v>0,0,0,0,5,0,0,0,0,5</v>
      </c>
      <c r="AK423" s="26" t="str">
        <f t="shared" ref="AK423" si="3019">CQ$9</f>
        <v>200,1,1000,2,5,200,1,1000,2,5</v>
      </c>
      <c r="AL423" s="26" t="str">
        <f t="shared" ref="AL423" si="3020">CR$9</f>
        <v>5,5,5,5,5,5,5,5,5,5</v>
      </c>
      <c r="AM423" s="7">
        <v>2001</v>
      </c>
      <c r="AO423">
        <f t="shared" ref="AO423" si="3021">AQ423*100+6</f>
        <v>4706</v>
      </c>
      <c r="AP423">
        <v>419</v>
      </c>
      <c r="AQ423">
        <f t="shared" si="2769"/>
        <v>47</v>
      </c>
      <c r="AR423">
        <v>9</v>
      </c>
      <c r="AS423" s="17">
        <f t="shared" si="2850"/>
        <v>295</v>
      </c>
      <c r="AT423">
        <v>8</v>
      </c>
      <c r="AU423">
        <f t="shared" si="2770"/>
        <v>28</v>
      </c>
      <c r="AV423">
        <v>150</v>
      </c>
      <c r="AW423">
        <f t="shared" si="2771"/>
        <v>59568.168959999988</v>
      </c>
      <c r="AX423">
        <f t="shared" si="2900"/>
        <v>325008000</v>
      </c>
      <c r="AY423">
        <f t="shared" si="2772"/>
        <v>5416.8</v>
      </c>
      <c r="AZ423">
        <f t="shared" si="2773"/>
        <v>10833.6</v>
      </c>
      <c r="BA423">
        <f t="shared" si="2774"/>
        <v>70272</v>
      </c>
      <c r="BB423">
        <f t="shared" si="2775"/>
        <v>2708.4</v>
      </c>
      <c r="BC423">
        <f t="shared" si="2901"/>
        <v>325008000</v>
      </c>
      <c r="BD423">
        <f t="shared" si="2776"/>
        <v>0.29411764705882348</v>
      </c>
      <c r="BE423" s="27">
        <f t="shared" si="2902"/>
        <v>314249845.19039994</v>
      </c>
      <c r="BF423" s="30">
        <f t="shared" si="2777"/>
        <v>0.41279999999999994</v>
      </c>
      <c r="BG423" s="27"/>
      <c r="BH423" s="27"/>
      <c r="BI423" s="27"/>
      <c r="CA423" s="20">
        <f t="shared" si="2778"/>
        <v>330</v>
      </c>
      <c r="CB423" s="20">
        <f t="shared" si="2779"/>
        <v>33000</v>
      </c>
    </row>
    <row r="424" spans="1:80" x14ac:dyDescent="0.15">
      <c r="A424">
        <v>4707</v>
      </c>
      <c r="B424" s="3" t="s">
        <v>126</v>
      </c>
      <c r="C424" s="4" t="s">
        <v>109</v>
      </c>
      <c r="D424" s="4" t="s">
        <v>110</v>
      </c>
      <c r="E424" s="5">
        <v>2</v>
      </c>
      <c r="F424" s="7" t="s">
        <v>143</v>
      </c>
      <c r="G424" s="5">
        <v>3</v>
      </c>
      <c r="H424" s="7" t="s">
        <v>193</v>
      </c>
      <c r="I424" s="5">
        <v>0</v>
      </c>
      <c r="J424" s="5">
        <v>0</v>
      </c>
      <c r="K424">
        <v>2</v>
      </c>
      <c r="L424">
        <v>1.5</v>
      </c>
      <c r="M424" s="5">
        <v>1.5</v>
      </c>
      <c r="N424" s="5">
        <v>10</v>
      </c>
      <c r="O424" s="5">
        <f t="shared" si="2759"/>
        <v>60544</v>
      </c>
      <c r="P424" s="5">
        <f t="shared" si="2760"/>
        <v>330336000</v>
      </c>
      <c r="Q424" s="5">
        <f t="shared" si="2761"/>
        <v>5505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70071</v>
      </c>
      <c r="X424" s="6" t="s">
        <v>185</v>
      </c>
      <c r="Y424" s="5">
        <v>300</v>
      </c>
      <c r="Z424" s="5">
        <v>1</v>
      </c>
      <c r="AA424" s="5">
        <v>77383434</v>
      </c>
      <c r="AB424" s="16" t="s">
        <v>111</v>
      </c>
      <c r="AC424" s="7" t="s">
        <v>112</v>
      </c>
      <c r="AD424" s="7" t="s">
        <v>112</v>
      </c>
      <c r="AE424" s="7" t="s">
        <v>112</v>
      </c>
      <c r="AF424" s="6" t="s">
        <v>113</v>
      </c>
      <c r="AG424" s="26" t="str">
        <f t="shared" ref="AG424" si="3022">CM$10</f>
        <v>4,14,28,14,6,4,14,28,14,6</v>
      </c>
      <c r="AH424" s="26" t="str">
        <f t="shared" ref="AH424" si="3023">CN$10</f>
        <v>0,0,0,0,1,0,0,0,0,1</v>
      </c>
      <c r="AI424" s="26" t="str">
        <f t="shared" ref="AI424" si="3024">CO$10</f>
        <v>0,0,0,0,1,0,0,0,0,1</v>
      </c>
      <c r="AJ424" s="26" t="str">
        <f t="shared" ref="AJ424" si="3025">CP$10</f>
        <v>0,0,0,0,5,0,0,0,0,5</v>
      </c>
      <c r="AK424" s="26" t="str">
        <f t="shared" ref="AK424" si="3026">CQ$10</f>
        <v>200,1,1000,2,5,200,1,1000,2,5</v>
      </c>
      <c r="AL424" s="26" t="str">
        <f t="shared" ref="AL424" si="3027">CR$10</f>
        <v>5,5,5,5,5,5,5,5,5,5</v>
      </c>
      <c r="AM424" s="7">
        <v>2001</v>
      </c>
      <c r="AO424">
        <f t="shared" ref="AO424" si="3028">AQ424*100+7</f>
        <v>4707</v>
      </c>
      <c r="AP424">
        <v>420</v>
      </c>
      <c r="AQ424">
        <f t="shared" si="2769"/>
        <v>47</v>
      </c>
      <c r="AR424">
        <v>9</v>
      </c>
      <c r="AS424" s="17">
        <f t="shared" si="2850"/>
        <v>300</v>
      </c>
      <c r="AT424">
        <v>8</v>
      </c>
      <c r="AU424">
        <f t="shared" si="2770"/>
        <v>28</v>
      </c>
      <c r="AV424">
        <v>150</v>
      </c>
      <c r="AW424">
        <f t="shared" si="2771"/>
        <v>60544.696319999995</v>
      </c>
      <c r="AX424">
        <f t="shared" si="2900"/>
        <v>330336000</v>
      </c>
      <c r="AY424">
        <f t="shared" si="2772"/>
        <v>5505.6</v>
      </c>
      <c r="AZ424">
        <f t="shared" si="2773"/>
        <v>11011.2</v>
      </c>
      <c r="BA424">
        <f t="shared" si="2774"/>
        <v>71424</v>
      </c>
      <c r="BB424">
        <f t="shared" si="2775"/>
        <v>2752.8</v>
      </c>
      <c r="BC424">
        <f t="shared" si="2901"/>
        <v>330336000</v>
      </c>
      <c r="BD424">
        <f t="shared" si="2776"/>
        <v>0.29411764705882348</v>
      </c>
      <c r="BE424" s="27">
        <f t="shared" si="2902"/>
        <v>324637571.86560005</v>
      </c>
      <c r="BF424" s="30">
        <f t="shared" si="2777"/>
        <v>0.41279999999999994</v>
      </c>
      <c r="BG424" s="27"/>
      <c r="BH424" s="27"/>
      <c r="BI424" s="27"/>
      <c r="CA424" s="20">
        <f t="shared" si="2778"/>
        <v>330</v>
      </c>
      <c r="CB424" s="20">
        <f t="shared" si="2779"/>
        <v>33000</v>
      </c>
    </row>
    <row r="425" spans="1:80" x14ac:dyDescent="0.15">
      <c r="A425">
        <v>4708</v>
      </c>
      <c r="B425" s="3" t="s">
        <v>128</v>
      </c>
      <c r="C425" s="4" t="s">
        <v>109</v>
      </c>
      <c r="D425" s="4" t="s">
        <v>110</v>
      </c>
      <c r="E425" s="5">
        <v>5</v>
      </c>
      <c r="F425" s="7" t="s">
        <v>129</v>
      </c>
      <c r="G425" s="5">
        <v>2</v>
      </c>
      <c r="H425" s="7" t="s">
        <v>130</v>
      </c>
      <c r="I425" s="5">
        <v>0</v>
      </c>
      <c r="J425" s="5">
        <v>0</v>
      </c>
      <c r="K425">
        <v>2</v>
      </c>
      <c r="L425">
        <v>1.5</v>
      </c>
      <c r="M425" s="5">
        <v>1.5</v>
      </c>
      <c r="N425" s="5">
        <v>10</v>
      </c>
      <c r="O425" s="5">
        <f t="shared" si="2759"/>
        <v>61521</v>
      </c>
      <c r="P425" s="5">
        <f t="shared" si="2760"/>
        <v>335664000</v>
      </c>
      <c r="Q425" s="5">
        <f t="shared" si="2761"/>
        <v>5594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70081</v>
      </c>
      <c r="X425" s="6" t="s">
        <v>186</v>
      </c>
      <c r="Y425" s="5">
        <v>300</v>
      </c>
      <c r="Z425" s="5">
        <v>1</v>
      </c>
      <c r="AA425" s="5">
        <v>80171804</v>
      </c>
      <c r="AB425" s="16" t="s">
        <v>111</v>
      </c>
      <c r="AC425" s="7" t="s">
        <v>112</v>
      </c>
      <c r="AD425" s="7" t="s">
        <v>112</v>
      </c>
      <c r="AE425" s="7" t="s">
        <v>112</v>
      </c>
      <c r="AF425" s="6" t="s">
        <v>113</v>
      </c>
      <c r="AG425" s="26" t="str">
        <f t="shared" ref="AG425" si="3029">CM$11</f>
        <v>4,28,6,28,6,4,28,6,28,6</v>
      </c>
      <c r="AH425" s="26" t="str">
        <f t="shared" ref="AH425" si="3030">CN$11</f>
        <v>0,0,1,0,1,0,0,1,0,1</v>
      </c>
      <c r="AI425" s="26" t="str">
        <f t="shared" ref="AI425" si="3031">CO$11</f>
        <v>0,0,1,0,1,0,0,1,0,1</v>
      </c>
      <c r="AJ425" s="26" t="str">
        <f t="shared" ref="AJ425" si="3032">CP$11</f>
        <v>0,0,5,0,5,0,0,5,0,5</v>
      </c>
      <c r="AK425" s="26" t="str">
        <f t="shared" ref="AK425" si="3033">CQ$11</f>
        <v>100,1000,5,1500,5,200,1000,5,1500,5</v>
      </c>
      <c r="AL425" s="26" t="str">
        <f t="shared" ref="AL425" si="3034">CR$11</f>
        <v>5,5,5,5,5,5,5,5,5,5</v>
      </c>
      <c r="AM425" s="7">
        <v>2001</v>
      </c>
      <c r="AO425">
        <f t="shared" ref="AO425" si="3035">AQ425*100+8</f>
        <v>4708</v>
      </c>
      <c r="AP425">
        <v>421</v>
      </c>
      <c r="AQ425">
        <f t="shared" si="2769"/>
        <v>47</v>
      </c>
      <c r="AR425">
        <v>9</v>
      </c>
      <c r="AS425" s="17">
        <f t="shared" si="2850"/>
        <v>305</v>
      </c>
      <c r="AT425">
        <v>8</v>
      </c>
      <c r="AU425">
        <f t="shared" si="2770"/>
        <v>28</v>
      </c>
      <c r="AV425">
        <v>150</v>
      </c>
      <c r="AW425">
        <f t="shared" si="2771"/>
        <v>61521.223679999988</v>
      </c>
      <c r="AX425">
        <f t="shared" si="2900"/>
        <v>335664000.00000006</v>
      </c>
      <c r="AY425">
        <f t="shared" si="2772"/>
        <v>5594.4000000000005</v>
      </c>
      <c r="AZ425">
        <f t="shared" si="2773"/>
        <v>11188.800000000001</v>
      </c>
      <c r="BA425">
        <f t="shared" si="2774"/>
        <v>72576</v>
      </c>
      <c r="BB425">
        <f t="shared" si="2775"/>
        <v>2797.2000000000003</v>
      </c>
      <c r="BC425">
        <f t="shared" si="2901"/>
        <v>335664000.00000006</v>
      </c>
      <c r="BD425">
        <f t="shared" si="2776"/>
        <v>0.29411764705882354</v>
      </c>
      <c r="BE425" s="27">
        <f t="shared" si="2902"/>
        <v>335194204.66560018</v>
      </c>
      <c r="BF425" s="30">
        <f t="shared" si="2777"/>
        <v>0.41279999999999994</v>
      </c>
      <c r="BG425" s="27"/>
      <c r="BH425" s="27"/>
      <c r="BI425" s="27"/>
      <c r="CA425" s="20">
        <f t="shared" si="2778"/>
        <v>330</v>
      </c>
      <c r="CB425" s="20">
        <f t="shared" si="2779"/>
        <v>33000</v>
      </c>
    </row>
    <row r="426" spans="1:80" x14ac:dyDescent="0.15">
      <c r="A426">
        <v>4709</v>
      </c>
      <c r="B426" s="3" t="s">
        <v>132</v>
      </c>
      <c r="C426" s="4" t="s">
        <v>109</v>
      </c>
      <c r="D426" s="4" t="s">
        <v>110</v>
      </c>
      <c r="E426" s="5">
        <v>5</v>
      </c>
      <c r="F426" s="7" t="s">
        <v>140</v>
      </c>
      <c r="G426" s="5">
        <v>3</v>
      </c>
      <c r="H426" s="7" t="s">
        <v>140</v>
      </c>
      <c r="I426" s="5">
        <v>0</v>
      </c>
      <c r="J426" s="7">
        <v>0</v>
      </c>
      <c r="K426">
        <v>6</v>
      </c>
      <c r="L426">
        <v>1.5</v>
      </c>
      <c r="M426" s="5">
        <v>1.5</v>
      </c>
      <c r="N426" s="5">
        <v>10</v>
      </c>
      <c r="O426" s="5">
        <f t="shared" si="2759"/>
        <v>62497</v>
      </c>
      <c r="P426" s="5">
        <f t="shared" si="2760"/>
        <v>340992000</v>
      </c>
      <c r="Q426" s="5">
        <f t="shared" si="2761"/>
        <v>5683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70091</v>
      </c>
      <c r="X426" s="6" t="s">
        <v>187</v>
      </c>
      <c r="Y426" s="5">
        <v>300</v>
      </c>
      <c r="Z426" s="5">
        <v>1</v>
      </c>
      <c r="AA426" s="5">
        <v>83009526</v>
      </c>
      <c r="AB426" s="16" t="s">
        <v>111</v>
      </c>
      <c r="AC426" s="7" t="s">
        <v>112</v>
      </c>
      <c r="AD426" s="7" t="s">
        <v>112</v>
      </c>
      <c r="AE426" s="7" t="s">
        <v>112</v>
      </c>
      <c r="AF426" s="6" t="s">
        <v>113</v>
      </c>
      <c r="AG426" s="26" t="str">
        <f t="shared" ref="AG426" si="3036">CM$12</f>
        <v>4,33,28,33,6,4,33,28,33,6</v>
      </c>
      <c r="AH426" s="26" t="str">
        <f t="shared" ref="AH426" si="3037">CN$12</f>
        <v>0,5,0,5,1,0,5,0,5,1</v>
      </c>
      <c r="AI426" s="26" t="str">
        <f t="shared" ref="AI426" si="3038">CO$12</f>
        <v>0,0,0,0,1,0,0,0,0,1</v>
      </c>
      <c r="AJ426" s="26" t="str">
        <f t="shared" ref="AJ426" si="3039">CP$12</f>
        <v>0,0,0,0,5,0,0,0,0,5</v>
      </c>
      <c r="AK426" s="26" t="str">
        <f t="shared" ref="AK426" si="3040">CQ$12</f>
        <v>100,1,1000,2,5,200,1,1000,2,5</v>
      </c>
      <c r="AL426" s="26" t="str">
        <f t="shared" ref="AL426" si="3041">CR$12</f>
        <v>5,5,5,5,5,5,5,5,5,5</v>
      </c>
      <c r="AM426" s="7">
        <v>2001</v>
      </c>
      <c r="AO426">
        <f t="shared" ref="AO426" si="3042">AQ426*100+9</f>
        <v>4709</v>
      </c>
      <c r="AP426">
        <v>422</v>
      </c>
      <c r="AQ426">
        <f t="shared" si="2769"/>
        <v>47</v>
      </c>
      <c r="AR426">
        <v>9</v>
      </c>
      <c r="AS426" s="17">
        <f t="shared" si="2850"/>
        <v>310</v>
      </c>
      <c r="AT426">
        <v>8</v>
      </c>
      <c r="AU426">
        <f t="shared" si="2770"/>
        <v>28</v>
      </c>
      <c r="AV426">
        <v>150</v>
      </c>
      <c r="AW426">
        <f t="shared" si="2771"/>
        <v>62497.751039999988</v>
      </c>
      <c r="AX426">
        <f t="shared" si="2900"/>
        <v>340992000.00000006</v>
      </c>
      <c r="AY426">
        <f t="shared" si="2772"/>
        <v>5683.2000000000007</v>
      </c>
      <c r="AZ426">
        <f t="shared" si="2773"/>
        <v>11366.400000000001</v>
      </c>
      <c r="BA426">
        <f t="shared" si="2774"/>
        <v>73728</v>
      </c>
      <c r="BB426">
        <f t="shared" si="2775"/>
        <v>2841.6000000000004</v>
      </c>
      <c r="BC426">
        <f t="shared" si="2901"/>
        <v>340992000.00000006</v>
      </c>
      <c r="BD426">
        <f t="shared" si="2776"/>
        <v>0.29411764705882354</v>
      </c>
      <c r="BE426" s="27">
        <f t="shared" si="2902"/>
        <v>345919743.59040016</v>
      </c>
      <c r="BF426" s="30">
        <f t="shared" si="2777"/>
        <v>0.41279999999999994</v>
      </c>
      <c r="BG426" s="27"/>
      <c r="BH426" s="27"/>
      <c r="BI426" s="27"/>
      <c r="CA426" s="20">
        <f t="shared" si="2778"/>
        <v>330</v>
      </c>
      <c r="CB426" s="20">
        <f t="shared" si="2779"/>
        <v>33000</v>
      </c>
    </row>
    <row r="427" spans="1:80" x14ac:dyDescent="0.15">
      <c r="A427">
        <v>4801</v>
      </c>
      <c r="B427" s="3" t="s">
        <v>108</v>
      </c>
      <c r="C427" s="4" t="s">
        <v>109</v>
      </c>
      <c r="D427" s="4" t="s">
        <v>110</v>
      </c>
      <c r="E427" s="5">
        <v>3</v>
      </c>
      <c r="F427" s="7" t="s">
        <v>141</v>
      </c>
      <c r="G427" s="5">
        <v>2.5</v>
      </c>
      <c r="H427" s="7" t="s">
        <v>194</v>
      </c>
      <c r="I427" s="5">
        <v>0</v>
      </c>
      <c r="J427" s="5">
        <v>0</v>
      </c>
      <c r="K427">
        <v>2</v>
      </c>
      <c r="L427">
        <v>1.5</v>
      </c>
      <c r="M427" s="5">
        <v>1.5</v>
      </c>
      <c r="N427" s="5">
        <v>10</v>
      </c>
      <c r="O427" s="5">
        <f t="shared" si="2759"/>
        <v>55756</v>
      </c>
      <c r="P427" s="5">
        <f t="shared" si="2760"/>
        <v>303696000</v>
      </c>
      <c r="Q427" s="5">
        <f t="shared" si="2761"/>
        <v>5061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70011</v>
      </c>
      <c r="X427" s="6" t="s">
        <v>179</v>
      </c>
      <c r="Y427" s="5">
        <v>300</v>
      </c>
      <c r="Z427" s="5">
        <v>1</v>
      </c>
      <c r="AA427" s="5">
        <v>85896599</v>
      </c>
      <c r="AB427" s="16" t="s">
        <v>111</v>
      </c>
      <c r="AC427" s="7" t="s">
        <v>112</v>
      </c>
      <c r="AD427" s="7" t="s">
        <v>112</v>
      </c>
      <c r="AE427" s="7" t="s">
        <v>112</v>
      </c>
      <c r="AF427" s="6" t="s">
        <v>113</v>
      </c>
      <c r="AG427" s="26" t="str">
        <f t="shared" ref="AG427" si="3043">CM$4</f>
        <v>4,33,28,33,6,4,33,28,33,6</v>
      </c>
      <c r="AH427" s="26" t="str">
        <f t="shared" ref="AH427" si="3044">CN$4</f>
        <v>0,8,0,8,1,0,8,0,8,1</v>
      </c>
      <c r="AI427" s="26" t="str">
        <f t="shared" ref="AI427" si="3045">CO$4</f>
        <v>0,0,0,0,1,0,0,0,0,1</v>
      </c>
      <c r="AJ427" s="26" t="str">
        <f t="shared" ref="AJ427" si="3046">CP$4</f>
        <v>0,0,0,0,5,0,0,0,0,5</v>
      </c>
      <c r="AK427" s="26" t="str">
        <f t="shared" ref="AK427" si="3047">CQ$4</f>
        <v>100,1,1000,2,5,200,1,1000,2,5</v>
      </c>
      <c r="AL427" s="26" t="str">
        <f t="shared" ref="AL427" si="3048">CR$4</f>
        <v>5,5,5,5,5,5,5,5,5,5</v>
      </c>
      <c r="AM427" s="7">
        <v>2001</v>
      </c>
      <c r="AO427">
        <f t="shared" ref="AO427" si="3049">AQ427*100+1</f>
        <v>4801</v>
      </c>
      <c r="AP427">
        <v>423</v>
      </c>
      <c r="AQ427">
        <f t="shared" si="2769"/>
        <v>48</v>
      </c>
      <c r="AR427">
        <v>9</v>
      </c>
      <c r="AS427" s="17">
        <f t="shared" si="2850"/>
        <v>275</v>
      </c>
      <c r="AT427">
        <v>8</v>
      </c>
      <c r="AU427">
        <f t="shared" si="2770"/>
        <v>28</v>
      </c>
      <c r="AV427">
        <v>150</v>
      </c>
      <c r="AW427">
        <f t="shared" si="2771"/>
        <v>55756.615680000003</v>
      </c>
      <c r="AX427">
        <f t="shared" si="2900"/>
        <v>303696000</v>
      </c>
      <c r="AY427">
        <f t="shared" si="2772"/>
        <v>5061.6000000000004</v>
      </c>
      <c r="AZ427">
        <f t="shared" si="2773"/>
        <v>10123.200000000001</v>
      </c>
      <c r="BA427">
        <f t="shared" si="2774"/>
        <v>65664</v>
      </c>
      <c r="BB427">
        <f t="shared" si="2775"/>
        <v>2530.8000000000002</v>
      </c>
      <c r="BC427">
        <f t="shared" si="2901"/>
        <v>303696000</v>
      </c>
      <c r="BD427">
        <f t="shared" si="2776"/>
        <v>0.29411764705882348</v>
      </c>
      <c r="BE427" s="27">
        <f t="shared" si="2902"/>
        <v>274387999.73760003</v>
      </c>
      <c r="BF427" s="30">
        <f t="shared" si="2777"/>
        <v>0.41520000000000001</v>
      </c>
      <c r="BG427" s="27"/>
      <c r="BH427" s="27"/>
      <c r="BI427" s="27"/>
      <c r="CA427" s="20">
        <f t="shared" si="2778"/>
        <v>335</v>
      </c>
      <c r="CB427" s="20">
        <f t="shared" si="2779"/>
        <v>33500</v>
      </c>
    </row>
    <row r="428" spans="1:80" x14ac:dyDescent="0.15">
      <c r="A428">
        <v>4802</v>
      </c>
      <c r="B428" s="3" t="s">
        <v>115</v>
      </c>
      <c r="C428" s="4" t="s">
        <v>109</v>
      </c>
      <c r="D428" s="6" t="s">
        <v>110</v>
      </c>
      <c r="E428" s="5">
        <v>3</v>
      </c>
      <c r="F428" s="7" t="s">
        <v>142</v>
      </c>
      <c r="G428" s="5">
        <v>3</v>
      </c>
      <c r="H428" s="7" t="s">
        <v>188</v>
      </c>
      <c r="I428" s="5">
        <v>0</v>
      </c>
      <c r="J428" s="5">
        <v>0</v>
      </c>
      <c r="K428">
        <v>2</v>
      </c>
      <c r="L428">
        <v>1.5</v>
      </c>
      <c r="M428" s="5">
        <v>1.5</v>
      </c>
      <c r="N428" s="5">
        <v>10</v>
      </c>
      <c r="O428" s="5">
        <f t="shared" si="2759"/>
        <v>56734</v>
      </c>
      <c r="P428" s="5">
        <f t="shared" si="2760"/>
        <v>309024000</v>
      </c>
      <c r="Q428" s="5">
        <f t="shared" si="2761"/>
        <v>5150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70021</v>
      </c>
      <c r="X428" s="6" t="s">
        <v>180</v>
      </c>
      <c r="Y428" s="5">
        <v>300</v>
      </c>
      <c r="Z428" s="5">
        <v>1</v>
      </c>
      <c r="AA428" s="5">
        <v>66723471</v>
      </c>
      <c r="AB428" s="16" t="s">
        <v>111</v>
      </c>
      <c r="AC428" s="7" t="s">
        <v>112</v>
      </c>
      <c r="AD428" s="7" t="s">
        <v>112</v>
      </c>
      <c r="AE428" s="7" t="s">
        <v>112</v>
      </c>
      <c r="AF428" s="6" t="s">
        <v>113</v>
      </c>
      <c r="AG428" s="26" t="str">
        <f t="shared" ref="AG428" si="3050">CM$5</f>
        <v>4,33,28,33,6,4,33,28,33,6</v>
      </c>
      <c r="AH428" s="26" t="str">
        <f t="shared" ref="AH428" si="3051">CN$5</f>
        <v>0,7,0,7,1,0,7,0,7,1</v>
      </c>
      <c r="AI428" s="26" t="str">
        <f t="shared" ref="AI428" si="3052">CO$5</f>
        <v>0,0,0,0,1,0,0,0,0,1</v>
      </c>
      <c r="AJ428" s="26" t="str">
        <f t="shared" ref="AJ428" si="3053">CP$5</f>
        <v>0,0,0,0,5,0,0,0,0,5</v>
      </c>
      <c r="AK428" s="26" t="str">
        <f t="shared" ref="AK428" si="3054">CQ$5</f>
        <v>100,1,1000,2,5,200,1,1000,2,5</v>
      </c>
      <c r="AL428" s="26" t="str">
        <f t="shared" ref="AL428" si="3055">CR$5</f>
        <v>5,5,5,5,5,5,5,5,5,5</v>
      </c>
      <c r="AM428" s="7">
        <v>2001</v>
      </c>
      <c r="AO428">
        <f t="shared" ref="AO428" si="3056">AQ428*100+2</f>
        <v>4802</v>
      </c>
      <c r="AP428">
        <v>424</v>
      </c>
      <c r="AQ428">
        <f t="shared" si="2769"/>
        <v>48</v>
      </c>
      <c r="AR428">
        <v>9</v>
      </c>
      <c r="AS428" s="17">
        <f t="shared" si="2850"/>
        <v>280</v>
      </c>
      <c r="AT428">
        <v>8</v>
      </c>
      <c r="AU428">
        <f t="shared" si="2770"/>
        <v>28</v>
      </c>
      <c r="AV428">
        <v>150</v>
      </c>
      <c r="AW428">
        <f t="shared" si="2771"/>
        <v>56734.801919999998</v>
      </c>
      <c r="AX428">
        <f t="shared" si="2900"/>
        <v>309024000.00000006</v>
      </c>
      <c r="AY428">
        <f t="shared" si="2772"/>
        <v>5150.4000000000005</v>
      </c>
      <c r="AZ428">
        <f t="shared" si="2773"/>
        <v>10300.800000000001</v>
      </c>
      <c r="BA428">
        <f t="shared" si="2774"/>
        <v>66816</v>
      </c>
      <c r="BB428">
        <f t="shared" si="2775"/>
        <v>2575.2000000000003</v>
      </c>
      <c r="BC428">
        <f t="shared" si="2901"/>
        <v>309024000.00000006</v>
      </c>
      <c r="BD428">
        <f t="shared" si="2776"/>
        <v>0.29411764705882354</v>
      </c>
      <c r="BE428" s="27">
        <f t="shared" si="2902"/>
        <v>284100101.91360009</v>
      </c>
      <c r="BF428" s="30">
        <f t="shared" si="2777"/>
        <v>0.41520000000000001</v>
      </c>
      <c r="BG428" s="27"/>
      <c r="BH428" s="27"/>
      <c r="BI428" s="27"/>
      <c r="CA428" s="20">
        <f t="shared" si="2778"/>
        <v>335</v>
      </c>
      <c r="CB428" s="20">
        <f t="shared" si="2779"/>
        <v>33500</v>
      </c>
    </row>
    <row r="429" spans="1:80" x14ac:dyDescent="0.15">
      <c r="A429">
        <v>4803</v>
      </c>
      <c r="B429" s="3" t="s">
        <v>117</v>
      </c>
      <c r="C429" s="4" t="s">
        <v>109</v>
      </c>
      <c r="D429" s="4" t="s">
        <v>110</v>
      </c>
      <c r="E429" s="5">
        <v>1</v>
      </c>
      <c r="F429" s="7" t="s">
        <v>144</v>
      </c>
      <c r="G429" s="5">
        <v>3</v>
      </c>
      <c r="H429" s="7" t="s">
        <v>189</v>
      </c>
      <c r="I429" s="5">
        <v>0</v>
      </c>
      <c r="J429" s="2">
        <v>0</v>
      </c>
      <c r="K429">
        <v>6</v>
      </c>
      <c r="L429">
        <v>1.5</v>
      </c>
      <c r="M429" s="5">
        <v>1.5</v>
      </c>
      <c r="N429" s="5">
        <v>10</v>
      </c>
      <c r="O429" s="5">
        <f t="shared" si="2759"/>
        <v>57712</v>
      </c>
      <c r="P429" s="5">
        <f t="shared" si="2760"/>
        <v>314352000</v>
      </c>
      <c r="Q429" s="5">
        <f t="shared" si="2761"/>
        <v>5239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70031</v>
      </c>
      <c r="X429" s="6" t="s">
        <v>181</v>
      </c>
      <c r="Y429" s="5">
        <v>300</v>
      </c>
      <c r="Z429" s="5">
        <v>1</v>
      </c>
      <c r="AA429" s="5">
        <v>69314435</v>
      </c>
      <c r="AB429" s="16" t="s">
        <v>111</v>
      </c>
      <c r="AC429" s="7" t="s">
        <v>112</v>
      </c>
      <c r="AD429" s="7" t="s">
        <v>112</v>
      </c>
      <c r="AE429" s="7" t="s">
        <v>112</v>
      </c>
      <c r="AF429" s="6" t="s">
        <v>113</v>
      </c>
      <c r="AG429" s="26" t="str">
        <f t="shared" ref="AG429" si="3057">CM$6</f>
        <v>4,28,6,28,6,4,28,6,28,6</v>
      </c>
      <c r="AH429" s="26" t="str">
        <f t="shared" ref="AH429" si="3058">CN$6</f>
        <v>0,0,1,0,1,0,0,1,0,1</v>
      </c>
      <c r="AI429" s="26" t="str">
        <f t="shared" ref="AI429" si="3059">CO$6</f>
        <v>0,0,0,0,1,0,0,0,0,1</v>
      </c>
      <c r="AJ429" s="26" t="str">
        <f t="shared" ref="AJ429" si="3060">CP$6</f>
        <v>0,0,5,0,5,0,0,5,0,5</v>
      </c>
      <c r="AK429" s="26" t="str">
        <f t="shared" ref="AK429" si="3061">CQ$6</f>
        <v>100,1000,5,1500,5,200,1000,5,1500,5</v>
      </c>
      <c r="AL429" s="26" t="str">
        <f t="shared" ref="AL429" si="3062">CR$6</f>
        <v>5,5,5,5,5,5,5,5,5,5</v>
      </c>
      <c r="AM429" s="7">
        <v>2001</v>
      </c>
      <c r="AO429">
        <f t="shared" ref="AO429" si="3063">AQ429*100+3</f>
        <v>4803</v>
      </c>
      <c r="AP429">
        <v>425</v>
      </c>
      <c r="AQ429">
        <f t="shared" si="2769"/>
        <v>48</v>
      </c>
      <c r="AR429">
        <v>9</v>
      </c>
      <c r="AS429" s="17">
        <f t="shared" si="2850"/>
        <v>285</v>
      </c>
      <c r="AT429">
        <v>8</v>
      </c>
      <c r="AU429">
        <f t="shared" si="2770"/>
        <v>28</v>
      </c>
      <c r="AV429">
        <v>150</v>
      </c>
      <c r="AW429">
        <f t="shared" si="2771"/>
        <v>57712.988159999994</v>
      </c>
      <c r="AX429">
        <f t="shared" si="2900"/>
        <v>314352000</v>
      </c>
      <c r="AY429">
        <f t="shared" si="2772"/>
        <v>5239.2</v>
      </c>
      <c r="AZ429">
        <f t="shared" si="2773"/>
        <v>10478.4</v>
      </c>
      <c r="BA429">
        <f t="shared" si="2774"/>
        <v>67968</v>
      </c>
      <c r="BB429">
        <f t="shared" si="2775"/>
        <v>2619.6</v>
      </c>
      <c r="BC429">
        <f t="shared" si="2901"/>
        <v>314352000</v>
      </c>
      <c r="BD429">
        <f t="shared" si="2776"/>
        <v>0.29411764705882354</v>
      </c>
      <c r="BE429" s="27">
        <f t="shared" si="2902"/>
        <v>293981110.21440005</v>
      </c>
      <c r="BF429" s="30">
        <f t="shared" si="2777"/>
        <v>0.41520000000000001</v>
      </c>
      <c r="BG429" s="27"/>
      <c r="BH429" s="27"/>
      <c r="BI429" s="27"/>
      <c r="CA429" s="20">
        <f t="shared" si="2778"/>
        <v>335</v>
      </c>
      <c r="CB429" s="20">
        <f t="shared" si="2779"/>
        <v>33500</v>
      </c>
    </row>
    <row r="430" spans="1:80" x14ac:dyDescent="0.15">
      <c r="A430">
        <v>4804</v>
      </c>
      <c r="B430" s="3" t="s">
        <v>119</v>
      </c>
      <c r="C430" s="4" t="s">
        <v>109</v>
      </c>
      <c r="D430" s="6" t="s">
        <v>120</v>
      </c>
      <c r="E430" s="5">
        <v>3</v>
      </c>
      <c r="F430" s="7" t="s">
        <v>145</v>
      </c>
      <c r="G430" s="5">
        <v>3</v>
      </c>
      <c r="H430" s="7" t="s">
        <v>190</v>
      </c>
      <c r="I430" s="5">
        <v>0</v>
      </c>
      <c r="J430" s="5">
        <v>0</v>
      </c>
      <c r="K430">
        <v>2</v>
      </c>
      <c r="L430">
        <v>1.5</v>
      </c>
      <c r="M430" s="5">
        <v>1.5</v>
      </c>
      <c r="N430" s="5">
        <v>10</v>
      </c>
      <c r="O430" s="5">
        <f t="shared" si="2759"/>
        <v>58691</v>
      </c>
      <c r="P430" s="5">
        <f t="shared" si="2760"/>
        <v>319680000</v>
      </c>
      <c r="Q430" s="5">
        <f t="shared" si="2761"/>
        <v>5328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70041</v>
      </c>
      <c r="X430" s="6" t="s">
        <v>182</v>
      </c>
      <c r="Y430" s="5">
        <v>300</v>
      </c>
      <c r="Z430" s="5">
        <v>1</v>
      </c>
      <c r="AA430" s="5">
        <v>71954749</v>
      </c>
      <c r="AB430" s="16" t="s">
        <v>111</v>
      </c>
      <c r="AC430" s="7" t="s">
        <v>112</v>
      </c>
      <c r="AD430" s="7" t="s">
        <v>112</v>
      </c>
      <c r="AE430" s="7" t="s">
        <v>112</v>
      </c>
      <c r="AF430" s="6" t="s">
        <v>113</v>
      </c>
      <c r="AG430" s="26" t="str">
        <f t="shared" ref="AG430" si="3064">CM$7</f>
        <v>4,14,28,14,6,4,14,28,14,6</v>
      </c>
      <c r="AH430" s="26" t="str">
        <f t="shared" ref="AH430" si="3065">CN$7</f>
        <v>0,0,0,0,1,0,0,0,0,1</v>
      </c>
      <c r="AI430" s="26" t="str">
        <f t="shared" ref="AI430" si="3066">CO$7</f>
        <v>0,0,0,0,1,0,0,0,0,1</v>
      </c>
      <c r="AJ430" s="26" t="str">
        <f t="shared" ref="AJ430" si="3067">CP$7</f>
        <v>0,0,0,0,5,0,0,0,0,5</v>
      </c>
      <c r="AK430" s="26" t="str">
        <f t="shared" ref="AK430" si="3068">CQ$7</f>
        <v>100,1,1000,2,5,200,1,1000,2,5</v>
      </c>
      <c r="AL430" s="26" t="str">
        <f t="shared" ref="AL430" si="3069">CR$7</f>
        <v>5,5,5,5,5,5,5,5,5,5</v>
      </c>
      <c r="AM430" s="7">
        <v>2001</v>
      </c>
      <c r="AO430">
        <f t="shared" ref="AO430" si="3070">AQ430*100+4</f>
        <v>4804</v>
      </c>
      <c r="AP430">
        <v>426</v>
      </c>
      <c r="AQ430">
        <f t="shared" si="2769"/>
        <v>48</v>
      </c>
      <c r="AR430">
        <v>9</v>
      </c>
      <c r="AS430" s="17">
        <f t="shared" si="2850"/>
        <v>290</v>
      </c>
      <c r="AT430">
        <v>8</v>
      </c>
      <c r="AU430">
        <f t="shared" si="2770"/>
        <v>28</v>
      </c>
      <c r="AV430">
        <v>150</v>
      </c>
      <c r="AW430">
        <f t="shared" si="2771"/>
        <v>58691.174400000004</v>
      </c>
      <c r="AX430">
        <f t="shared" si="2900"/>
        <v>319680000</v>
      </c>
      <c r="AY430">
        <f t="shared" si="2772"/>
        <v>5328</v>
      </c>
      <c r="AZ430">
        <f t="shared" si="2773"/>
        <v>10656</v>
      </c>
      <c r="BA430">
        <f t="shared" si="2774"/>
        <v>69120</v>
      </c>
      <c r="BB430">
        <f t="shared" si="2775"/>
        <v>2664</v>
      </c>
      <c r="BC430">
        <f t="shared" si="2901"/>
        <v>319680000</v>
      </c>
      <c r="BD430">
        <f t="shared" si="2776"/>
        <v>0.29411764705882354</v>
      </c>
      <c r="BE430" s="27">
        <f t="shared" si="2902"/>
        <v>304031024.6400001</v>
      </c>
      <c r="BF430" s="30">
        <f t="shared" si="2777"/>
        <v>0.41520000000000001</v>
      </c>
      <c r="BG430" s="27"/>
      <c r="BH430" s="27"/>
      <c r="BI430" s="27"/>
      <c r="CA430" s="20">
        <f t="shared" si="2778"/>
        <v>335</v>
      </c>
      <c r="CB430" s="20">
        <f t="shared" si="2779"/>
        <v>33500</v>
      </c>
    </row>
    <row r="431" spans="1:80" x14ac:dyDescent="0.15">
      <c r="A431">
        <v>4805</v>
      </c>
      <c r="B431" s="3" t="s">
        <v>122</v>
      </c>
      <c r="C431" s="4" t="s">
        <v>109</v>
      </c>
      <c r="D431" s="4" t="s">
        <v>110</v>
      </c>
      <c r="E431" s="5">
        <v>2</v>
      </c>
      <c r="F431" s="7" t="s">
        <v>146</v>
      </c>
      <c r="G431" s="5">
        <v>3</v>
      </c>
      <c r="H431" s="7" t="s">
        <v>191</v>
      </c>
      <c r="I431" s="5">
        <v>0</v>
      </c>
      <c r="J431" s="7" t="s">
        <v>148</v>
      </c>
      <c r="K431">
        <v>6</v>
      </c>
      <c r="L431">
        <v>1.5</v>
      </c>
      <c r="M431" s="5">
        <v>1.5</v>
      </c>
      <c r="N431" s="5">
        <v>10</v>
      </c>
      <c r="O431" s="5">
        <f t="shared" si="2759"/>
        <v>59669</v>
      </c>
      <c r="P431" s="5">
        <f t="shared" si="2760"/>
        <v>325008000</v>
      </c>
      <c r="Q431" s="5">
        <f t="shared" si="2761"/>
        <v>5416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70051</v>
      </c>
      <c r="X431" s="6" t="s">
        <v>183</v>
      </c>
      <c r="Y431" s="5">
        <v>300</v>
      </c>
      <c r="Z431" s="5">
        <v>1</v>
      </c>
      <c r="AA431" s="5">
        <v>74644416</v>
      </c>
      <c r="AB431" s="16" t="s">
        <v>111</v>
      </c>
      <c r="AC431" s="7" t="s">
        <v>112</v>
      </c>
      <c r="AD431" s="7" t="s">
        <v>112</v>
      </c>
      <c r="AE431" s="7" t="s">
        <v>112</v>
      </c>
      <c r="AF431" s="6" t="s">
        <v>113</v>
      </c>
      <c r="AG431" s="26" t="str">
        <f t="shared" ref="AG431" si="3071">CM$8</f>
        <v>4,19,28,19,6,4,19,28,19,6</v>
      </c>
      <c r="AH431" s="26" t="str">
        <f t="shared" ref="AH431" si="3072">CN$8</f>
        <v>0,0,0,0,1,0,0,0,0,1</v>
      </c>
      <c r="AI431" s="26" t="str">
        <f t="shared" ref="AI431" si="3073">CO$8</f>
        <v>0,0,0,0,1,0,0,0,0,1</v>
      </c>
      <c r="AJ431" s="26" t="str">
        <f t="shared" ref="AJ431" si="3074">CP$8</f>
        <v>0,0,0,0,5,0,0,0,0,5</v>
      </c>
      <c r="AK431" s="26" t="str">
        <f t="shared" ref="AK431" si="3075">CQ$8</f>
        <v>200,100,1000,200,5,200,100,1000,200,5</v>
      </c>
      <c r="AL431" s="26" t="str">
        <f t="shared" ref="AL431" si="3076">CR$8</f>
        <v>5,5,5,5,5,5,5,5,5,5</v>
      </c>
      <c r="AM431" s="7">
        <v>2001</v>
      </c>
      <c r="AO431">
        <f t="shared" ref="AO431" si="3077">AQ431*100+5</f>
        <v>4805</v>
      </c>
      <c r="AP431">
        <v>427</v>
      </c>
      <c r="AQ431">
        <f t="shared" si="2769"/>
        <v>48</v>
      </c>
      <c r="AR431">
        <v>9</v>
      </c>
      <c r="AS431" s="17">
        <f t="shared" si="2850"/>
        <v>295</v>
      </c>
      <c r="AT431">
        <v>8</v>
      </c>
      <c r="AU431">
        <f t="shared" si="2770"/>
        <v>28</v>
      </c>
      <c r="AV431">
        <v>150</v>
      </c>
      <c r="AW431">
        <f t="shared" si="2771"/>
        <v>59669.360639999999</v>
      </c>
      <c r="AX431">
        <f t="shared" si="2900"/>
        <v>325008000</v>
      </c>
      <c r="AY431">
        <f t="shared" si="2772"/>
        <v>5416.8</v>
      </c>
      <c r="AZ431">
        <f t="shared" si="2773"/>
        <v>10833.6</v>
      </c>
      <c r="BA431">
        <f t="shared" si="2774"/>
        <v>70272</v>
      </c>
      <c r="BB431">
        <f t="shared" si="2775"/>
        <v>2708.4</v>
      </c>
      <c r="BC431">
        <f t="shared" si="2901"/>
        <v>325008000</v>
      </c>
      <c r="BD431">
        <f t="shared" si="2776"/>
        <v>0.29411764705882348</v>
      </c>
      <c r="BE431" s="27">
        <f t="shared" si="2902"/>
        <v>314249845.19039994</v>
      </c>
      <c r="BF431" s="30">
        <f t="shared" si="2777"/>
        <v>0.41520000000000001</v>
      </c>
      <c r="BG431" s="27"/>
      <c r="BH431" s="27"/>
      <c r="BI431" s="27"/>
      <c r="CA431" s="20">
        <f t="shared" si="2778"/>
        <v>335</v>
      </c>
      <c r="CB431" s="20">
        <f t="shared" si="2779"/>
        <v>33500</v>
      </c>
    </row>
    <row r="432" spans="1:80" x14ac:dyDescent="0.15">
      <c r="A432">
        <v>4806</v>
      </c>
      <c r="B432" s="3" t="s">
        <v>124</v>
      </c>
      <c r="C432" s="4" t="s">
        <v>109</v>
      </c>
      <c r="D432" s="6" t="s">
        <v>120</v>
      </c>
      <c r="E432" s="5">
        <v>1</v>
      </c>
      <c r="F432" s="7" t="s">
        <v>147</v>
      </c>
      <c r="G432" s="5">
        <v>3</v>
      </c>
      <c r="H432" s="7" t="s">
        <v>192</v>
      </c>
      <c r="I432" s="5">
        <v>0</v>
      </c>
      <c r="J432" s="7" t="s">
        <v>149</v>
      </c>
      <c r="K432">
        <v>6</v>
      </c>
      <c r="L432">
        <v>1.5</v>
      </c>
      <c r="M432" s="5">
        <v>1.5</v>
      </c>
      <c r="N432" s="5">
        <v>10</v>
      </c>
      <c r="O432" s="5">
        <f t="shared" si="2759"/>
        <v>60647</v>
      </c>
      <c r="P432" s="5">
        <f t="shared" si="2760"/>
        <v>330336000</v>
      </c>
      <c r="Q432" s="5">
        <f t="shared" si="2761"/>
        <v>5505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70061</v>
      </c>
      <c r="X432" s="6" t="s">
        <v>184</v>
      </c>
      <c r="Y432" s="5">
        <v>300</v>
      </c>
      <c r="Z432" s="5">
        <v>1</v>
      </c>
      <c r="AA432" s="5">
        <v>77383434</v>
      </c>
      <c r="AB432" s="16" t="s">
        <v>111</v>
      </c>
      <c r="AC432" s="7" t="s">
        <v>112</v>
      </c>
      <c r="AD432" s="7" t="s">
        <v>112</v>
      </c>
      <c r="AE432" s="7" t="s">
        <v>112</v>
      </c>
      <c r="AF432" s="6" t="s">
        <v>113</v>
      </c>
      <c r="AG432" s="26" t="str">
        <f t="shared" ref="AG432" si="3078">CM$9</f>
        <v>4,33,28,33,6,4,33,28,33,6</v>
      </c>
      <c r="AH432" s="26" t="str">
        <f t="shared" ref="AH432" si="3079">CN$9</f>
        <v>0,6,0,6,1,0,6,0,6,1</v>
      </c>
      <c r="AI432" s="26" t="str">
        <f t="shared" ref="AI432" si="3080">CO$9</f>
        <v>0,0,0,0,1,0,0,0,0,1</v>
      </c>
      <c r="AJ432" s="26" t="str">
        <f t="shared" ref="AJ432" si="3081">CP$9</f>
        <v>0,0,0,0,5,0,0,0,0,5</v>
      </c>
      <c r="AK432" s="26" t="str">
        <f t="shared" ref="AK432" si="3082">CQ$9</f>
        <v>200,1,1000,2,5,200,1,1000,2,5</v>
      </c>
      <c r="AL432" s="26" t="str">
        <f t="shared" ref="AL432" si="3083">CR$9</f>
        <v>5,5,5,5,5,5,5,5,5,5</v>
      </c>
      <c r="AM432" s="7">
        <v>2001</v>
      </c>
      <c r="AO432">
        <f t="shared" ref="AO432" si="3084">AQ432*100+6</f>
        <v>4806</v>
      </c>
      <c r="AP432">
        <v>428</v>
      </c>
      <c r="AQ432">
        <f t="shared" si="2769"/>
        <v>48</v>
      </c>
      <c r="AR432">
        <v>9</v>
      </c>
      <c r="AS432" s="17">
        <f t="shared" si="2850"/>
        <v>300</v>
      </c>
      <c r="AT432">
        <v>8</v>
      </c>
      <c r="AU432">
        <f t="shared" si="2770"/>
        <v>28</v>
      </c>
      <c r="AV432">
        <v>150</v>
      </c>
      <c r="AW432">
        <f t="shared" si="2771"/>
        <v>60647.546880000002</v>
      </c>
      <c r="AX432">
        <f t="shared" si="2900"/>
        <v>330336000</v>
      </c>
      <c r="AY432">
        <f t="shared" si="2772"/>
        <v>5505.6</v>
      </c>
      <c r="AZ432">
        <f t="shared" si="2773"/>
        <v>11011.2</v>
      </c>
      <c r="BA432">
        <f t="shared" si="2774"/>
        <v>71424</v>
      </c>
      <c r="BB432">
        <f t="shared" si="2775"/>
        <v>2752.8</v>
      </c>
      <c r="BC432">
        <f t="shared" si="2901"/>
        <v>330336000</v>
      </c>
      <c r="BD432">
        <f t="shared" si="2776"/>
        <v>0.29411764705882348</v>
      </c>
      <c r="BE432" s="27">
        <f t="shared" si="2902"/>
        <v>324637571.86560005</v>
      </c>
      <c r="BF432" s="30">
        <f t="shared" si="2777"/>
        <v>0.41520000000000001</v>
      </c>
      <c r="BG432" s="27"/>
      <c r="BH432" s="27"/>
      <c r="BI432" s="27"/>
      <c r="CA432" s="20">
        <f t="shared" si="2778"/>
        <v>335</v>
      </c>
      <c r="CB432" s="20">
        <f t="shared" si="2779"/>
        <v>33500</v>
      </c>
    </row>
    <row r="433" spans="1:80" x14ac:dyDescent="0.15">
      <c r="A433">
        <v>4807</v>
      </c>
      <c r="B433" s="3" t="s">
        <v>126</v>
      </c>
      <c r="C433" s="4" t="s">
        <v>109</v>
      </c>
      <c r="D433" s="4" t="s">
        <v>110</v>
      </c>
      <c r="E433" s="5">
        <v>2</v>
      </c>
      <c r="F433" s="7" t="s">
        <v>143</v>
      </c>
      <c r="G433" s="5">
        <v>3</v>
      </c>
      <c r="H433" s="7" t="s">
        <v>193</v>
      </c>
      <c r="I433" s="5">
        <v>0</v>
      </c>
      <c r="J433" s="5">
        <v>0</v>
      </c>
      <c r="K433">
        <v>2</v>
      </c>
      <c r="L433">
        <v>1.5</v>
      </c>
      <c r="M433" s="5">
        <v>1.5</v>
      </c>
      <c r="N433" s="5">
        <v>10</v>
      </c>
      <c r="O433" s="5">
        <f t="shared" si="2759"/>
        <v>61625</v>
      </c>
      <c r="P433" s="5">
        <f t="shared" si="2760"/>
        <v>335664000</v>
      </c>
      <c r="Q433" s="5">
        <f t="shared" si="2761"/>
        <v>5594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70071</v>
      </c>
      <c r="X433" s="6" t="s">
        <v>185</v>
      </c>
      <c r="Y433" s="5">
        <v>300</v>
      </c>
      <c r="Z433" s="5">
        <v>1</v>
      </c>
      <c r="AA433" s="5">
        <v>80171804</v>
      </c>
      <c r="AB433" s="16" t="s">
        <v>111</v>
      </c>
      <c r="AC433" s="7" t="s">
        <v>112</v>
      </c>
      <c r="AD433" s="7" t="s">
        <v>112</v>
      </c>
      <c r="AE433" s="7" t="s">
        <v>112</v>
      </c>
      <c r="AF433" s="6" t="s">
        <v>113</v>
      </c>
      <c r="AG433" s="26" t="str">
        <f t="shared" ref="AG433" si="3085">CM$10</f>
        <v>4,14,28,14,6,4,14,28,14,6</v>
      </c>
      <c r="AH433" s="26" t="str">
        <f t="shared" ref="AH433" si="3086">CN$10</f>
        <v>0,0,0,0,1,0,0,0,0,1</v>
      </c>
      <c r="AI433" s="26" t="str">
        <f t="shared" ref="AI433" si="3087">CO$10</f>
        <v>0,0,0,0,1,0,0,0,0,1</v>
      </c>
      <c r="AJ433" s="26" t="str">
        <f t="shared" ref="AJ433" si="3088">CP$10</f>
        <v>0,0,0,0,5,0,0,0,0,5</v>
      </c>
      <c r="AK433" s="26" t="str">
        <f t="shared" ref="AK433" si="3089">CQ$10</f>
        <v>200,1,1000,2,5,200,1,1000,2,5</v>
      </c>
      <c r="AL433" s="26" t="str">
        <f t="shared" ref="AL433" si="3090">CR$10</f>
        <v>5,5,5,5,5,5,5,5,5,5</v>
      </c>
      <c r="AM433" s="7">
        <v>2001</v>
      </c>
      <c r="AO433">
        <f t="shared" ref="AO433" si="3091">AQ433*100+7</f>
        <v>4807</v>
      </c>
      <c r="AP433">
        <v>429</v>
      </c>
      <c r="AQ433">
        <f t="shared" si="2769"/>
        <v>48</v>
      </c>
      <c r="AR433">
        <v>9</v>
      </c>
      <c r="AS433" s="17">
        <f t="shared" si="2850"/>
        <v>305</v>
      </c>
      <c r="AT433">
        <v>8</v>
      </c>
      <c r="AU433">
        <f t="shared" si="2770"/>
        <v>28</v>
      </c>
      <c r="AV433">
        <v>150</v>
      </c>
      <c r="AW433">
        <f t="shared" si="2771"/>
        <v>61625.733119999997</v>
      </c>
      <c r="AX433">
        <f t="shared" si="2900"/>
        <v>335664000.00000006</v>
      </c>
      <c r="AY433">
        <f t="shared" si="2772"/>
        <v>5594.4000000000005</v>
      </c>
      <c r="AZ433">
        <f t="shared" si="2773"/>
        <v>11188.800000000001</v>
      </c>
      <c r="BA433">
        <f t="shared" si="2774"/>
        <v>72576</v>
      </c>
      <c r="BB433">
        <f t="shared" si="2775"/>
        <v>2797.2000000000003</v>
      </c>
      <c r="BC433">
        <f t="shared" si="2901"/>
        <v>335664000.00000006</v>
      </c>
      <c r="BD433">
        <f t="shared" si="2776"/>
        <v>0.29411764705882354</v>
      </c>
      <c r="BE433" s="27">
        <f t="shared" si="2902"/>
        <v>335194204.66560018</v>
      </c>
      <c r="BF433" s="30">
        <f t="shared" si="2777"/>
        <v>0.41520000000000001</v>
      </c>
      <c r="BG433" s="27"/>
      <c r="BH433" s="27"/>
      <c r="BI433" s="27"/>
      <c r="CA433" s="20">
        <f t="shared" si="2778"/>
        <v>335</v>
      </c>
      <c r="CB433" s="20">
        <f t="shared" si="2779"/>
        <v>33500</v>
      </c>
    </row>
    <row r="434" spans="1:80" x14ac:dyDescent="0.15">
      <c r="A434">
        <v>4808</v>
      </c>
      <c r="B434" s="3" t="s">
        <v>128</v>
      </c>
      <c r="C434" s="4" t="s">
        <v>109</v>
      </c>
      <c r="D434" s="4" t="s">
        <v>110</v>
      </c>
      <c r="E434" s="5">
        <v>5</v>
      </c>
      <c r="F434" s="7" t="s">
        <v>129</v>
      </c>
      <c r="G434" s="5">
        <v>2</v>
      </c>
      <c r="H434" s="7" t="s">
        <v>130</v>
      </c>
      <c r="I434" s="5">
        <v>0</v>
      </c>
      <c r="J434" s="5">
        <v>0</v>
      </c>
      <c r="K434">
        <v>2</v>
      </c>
      <c r="L434">
        <v>1.5</v>
      </c>
      <c r="M434" s="5">
        <v>1.5</v>
      </c>
      <c r="N434" s="5">
        <v>10</v>
      </c>
      <c r="O434" s="5">
        <f t="shared" si="2759"/>
        <v>62603</v>
      </c>
      <c r="P434" s="5">
        <f t="shared" si="2760"/>
        <v>340992000</v>
      </c>
      <c r="Q434" s="5">
        <f t="shared" si="2761"/>
        <v>5683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70081</v>
      </c>
      <c r="X434" s="6" t="s">
        <v>186</v>
      </c>
      <c r="Y434" s="5">
        <v>300</v>
      </c>
      <c r="Z434" s="5">
        <v>1</v>
      </c>
      <c r="AA434" s="5">
        <v>83009526</v>
      </c>
      <c r="AB434" s="16" t="s">
        <v>111</v>
      </c>
      <c r="AC434" s="7" t="s">
        <v>112</v>
      </c>
      <c r="AD434" s="7" t="s">
        <v>112</v>
      </c>
      <c r="AE434" s="7" t="s">
        <v>112</v>
      </c>
      <c r="AF434" s="6" t="s">
        <v>113</v>
      </c>
      <c r="AG434" s="26" t="str">
        <f t="shared" ref="AG434" si="3092">CM$11</f>
        <v>4,28,6,28,6,4,28,6,28,6</v>
      </c>
      <c r="AH434" s="26" t="str">
        <f t="shared" ref="AH434" si="3093">CN$11</f>
        <v>0,0,1,0,1,0,0,1,0,1</v>
      </c>
      <c r="AI434" s="26" t="str">
        <f t="shared" ref="AI434" si="3094">CO$11</f>
        <v>0,0,1,0,1,0,0,1,0,1</v>
      </c>
      <c r="AJ434" s="26" t="str">
        <f t="shared" ref="AJ434" si="3095">CP$11</f>
        <v>0,0,5,0,5,0,0,5,0,5</v>
      </c>
      <c r="AK434" s="26" t="str">
        <f t="shared" ref="AK434" si="3096">CQ$11</f>
        <v>100,1000,5,1500,5,200,1000,5,1500,5</v>
      </c>
      <c r="AL434" s="26" t="str">
        <f t="shared" ref="AL434" si="3097">CR$11</f>
        <v>5,5,5,5,5,5,5,5,5,5</v>
      </c>
      <c r="AM434" s="7">
        <v>2001</v>
      </c>
      <c r="AO434">
        <f t="shared" ref="AO434" si="3098">AQ434*100+8</f>
        <v>4808</v>
      </c>
      <c r="AP434">
        <v>430</v>
      </c>
      <c r="AQ434">
        <f t="shared" si="2769"/>
        <v>48</v>
      </c>
      <c r="AR434">
        <v>9</v>
      </c>
      <c r="AS434" s="17">
        <f t="shared" si="2850"/>
        <v>310</v>
      </c>
      <c r="AT434">
        <v>8</v>
      </c>
      <c r="AU434">
        <f t="shared" si="2770"/>
        <v>28</v>
      </c>
      <c r="AV434">
        <v>150</v>
      </c>
      <c r="AW434">
        <f t="shared" si="2771"/>
        <v>62603.919359999993</v>
      </c>
      <c r="AX434">
        <f t="shared" si="2900"/>
        <v>340992000.00000006</v>
      </c>
      <c r="AY434">
        <f t="shared" si="2772"/>
        <v>5683.2000000000007</v>
      </c>
      <c r="AZ434">
        <f t="shared" si="2773"/>
        <v>11366.400000000001</v>
      </c>
      <c r="BA434">
        <f t="shared" si="2774"/>
        <v>73728</v>
      </c>
      <c r="BB434">
        <f t="shared" si="2775"/>
        <v>2841.6000000000004</v>
      </c>
      <c r="BC434">
        <f t="shared" si="2901"/>
        <v>340992000.00000006</v>
      </c>
      <c r="BD434">
        <f t="shared" si="2776"/>
        <v>0.29411764705882354</v>
      </c>
      <c r="BE434" s="27">
        <f t="shared" si="2902"/>
        <v>345919743.59040016</v>
      </c>
      <c r="BF434" s="30">
        <f t="shared" si="2777"/>
        <v>0.41520000000000001</v>
      </c>
      <c r="BG434" s="27"/>
      <c r="BH434" s="27"/>
      <c r="BI434" s="27"/>
      <c r="CA434" s="20">
        <f t="shared" si="2778"/>
        <v>335</v>
      </c>
      <c r="CB434" s="20">
        <f t="shared" si="2779"/>
        <v>33500</v>
      </c>
    </row>
    <row r="435" spans="1:80" x14ac:dyDescent="0.15">
      <c r="A435">
        <v>4809</v>
      </c>
      <c r="B435" s="3" t="s">
        <v>132</v>
      </c>
      <c r="C435" s="4" t="s">
        <v>109</v>
      </c>
      <c r="D435" s="4" t="s">
        <v>110</v>
      </c>
      <c r="E435" s="5">
        <v>5</v>
      </c>
      <c r="F435" s="7" t="s">
        <v>140</v>
      </c>
      <c r="G435" s="5">
        <v>3</v>
      </c>
      <c r="H435" s="7" t="s">
        <v>140</v>
      </c>
      <c r="I435" s="5">
        <v>0</v>
      </c>
      <c r="J435" s="7">
        <v>0</v>
      </c>
      <c r="K435">
        <v>6</v>
      </c>
      <c r="L435">
        <v>1.5</v>
      </c>
      <c r="M435" s="5">
        <v>1.5</v>
      </c>
      <c r="N435" s="5">
        <v>10</v>
      </c>
      <c r="O435" s="5">
        <f t="shared" si="2759"/>
        <v>63582</v>
      </c>
      <c r="P435" s="5">
        <f t="shared" si="2760"/>
        <v>346320000</v>
      </c>
      <c r="Q435" s="5">
        <f t="shared" si="2761"/>
        <v>5772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70091</v>
      </c>
      <c r="X435" s="6" t="s">
        <v>187</v>
      </c>
      <c r="Y435" s="5">
        <v>300</v>
      </c>
      <c r="Z435" s="5">
        <v>1</v>
      </c>
      <c r="AA435" s="5">
        <v>85896599</v>
      </c>
      <c r="AB435" s="16" t="s">
        <v>111</v>
      </c>
      <c r="AC435" s="7" t="s">
        <v>112</v>
      </c>
      <c r="AD435" s="7" t="s">
        <v>112</v>
      </c>
      <c r="AE435" s="7" t="s">
        <v>112</v>
      </c>
      <c r="AF435" s="6" t="s">
        <v>113</v>
      </c>
      <c r="AG435" s="26" t="str">
        <f t="shared" ref="AG435" si="3099">CM$12</f>
        <v>4,33,28,33,6,4,33,28,33,6</v>
      </c>
      <c r="AH435" s="26" t="str">
        <f t="shared" ref="AH435" si="3100">CN$12</f>
        <v>0,5,0,5,1,0,5,0,5,1</v>
      </c>
      <c r="AI435" s="26" t="str">
        <f t="shared" ref="AI435" si="3101">CO$12</f>
        <v>0,0,0,0,1,0,0,0,0,1</v>
      </c>
      <c r="AJ435" s="26" t="str">
        <f t="shared" ref="AJ435" si="3102">CP$12</f>
        <v>0,0,0,0,5,0,0,0,0,5</v>
      </c>
      <c r="AK435" s="26" t="str">
        <f t="shared" ref="AK435" si="3103">CQ$12</f>
        <v>100,1,1000,2,5,200,1,1000,2,5</v>
      </c>
      <c r="AL435" s="26" t="str">
        <f t="shared" ref="AL435" si="3104">CR$12</f>
        <v>5,5,5,5,5,5,5,5,5,5</v>
      </c>
      <c r="AM435" s="7">
        <v>2001</v>
      </c>
      <c r="AO435">
        <f t="shared" ref="AO435" si="3105">AQ435*100+9</f>
        <v>4809</v>
      </c>
      <c r="AP435">
        <v>431</v>
      </c>
      <c r="AQ435">
        <f t="shared" si="2769"/>
        <v>48</v>
      </c>
      <c r="AR435">
        <v>9</v>
      </c>
      <c r="AS435" s="17">
        <f t="shared" si="2850"/>
        <v>315</v>
      </c>
      <c r="AT435">
        <v>8</v>
      </c>
      <c r="AU435">
        <f t="shared" si="2770"/>
        <v>28</v>
      </c>
      <c r="AV435">
        <v>150</v>
      </c>
      <c r="AW435">
        <f t="shared" si="2771"/>
        <v>63582.105600000003</v>
      </c>
      <c r="AX435">
        <f t="shared" si="2900"/>
        <v>346320000</v>
      </c>
      <c r="AY435">
        <f t="shared" si="2772"/>
        <v>5772</v>
      </c>
      <c r="AZ435">
        <f t="shared" si="2773"/>
        <v>11544</v>
      </c>
      <c r="BA435">
        <f t="shared" si="2774"/>
        <v>74880</v>
      </c>
      <c r="BB435">
        <f t="shared" si="2775"/>
        <v>2886</v>
      </c>
      <c r="BC435">
        <f t="shared" si="2901"/>
        <v>346320000</v>
      </c>
      <c r="BD435">
        <f t="shared" si="2776"/>
        <v>0.29411764705882354</v>
      </c>
      <c r="BE435" s="27">
        <f t="shared" si="2902"/>
        <v>356814188.6400001</v>
      </c>
      <c r="BF435" s="30">
        <f t="shared" si="2777"/>
        <v>0.41520000000000001</v>
      </c>
      <c r="BG435" s="27"/>
      <c r="BH435" s="27"/>
      <c r="BI435" s="27"/>
      <c r="CA435" s="20">
        <f t="shared" si="2778"/>
        <v>335</v>
      </c>
      <c r="CB435" s="20">
        <f t="shared" si="2779"/>
        <v>33500</v>
      </c>
    </row>
    <row r="436" spans="1:80" x14ac:dyDescent="0.15">
      <c r="A436">
        <v>4901</v>
      </c>
      <c r="B436" s="3" t="s">
        <v>108</v>
      </c>
      <c r="C436" s="4" t="s">
        <v>109</v>
      </c>
      <c r="D436" s="4" t="s">
        <v>110</v>
      </c>
      <c r="E436" s="5">
        <v>3</v>
      </c>
      <c r="F436" s="7" t="s">
        <v>141</v>
      </c>
      <c r="G436" s="5">
        <v>2.5</v>
      </c>
      <c r="H436" s="7" t="s">
        <v>194</v>
      </c>
      <c r="I436" s="5">
        <v>0</v>
      </c>
      <c r="J436" s="5">
        <v>0</v>
      </c>
      <c r="K436">
        <v>2</v>
      </c>
      <c r="L436">
        <v>1.5</v>
      </c>
      <c r="M436" s="5">
        <v>1.5</v>
      </c>
      <c r="N436" s="5">
        <v>10</v>
      </c>
      <c r="O436" s="5">
        <f t="shared" si="2759"/>
        <v>56831</v>
      </c>
      <c r="P436" s="5">
        <f t="shared" si="2760"/>
        <v>309024000</v>
      </c>
      <c r="Q436" s="5">
        <f t="shared" si="2761"/>
        <v>5150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70011</v>
      </c>
      <c r="X436" s="6" t="s">
        <v>179</v>
      </c>
      <c r="Y436" s="5">
        <v>300</v>
      </c>
      <c r="Z436" s="5">
        <v>1</v>
      </c>
      <c r="AA436" s="5">
        <v>88833024</v>
      </c>
      <c r="AB436" s="16" t="s">
        <v>111</v>
      </c>
      <c r="AC436" s="7" t="s">
        <v>112</v>
      </c>
      <c r="AD436" s="7" t="s">
        <v>112</v>
      </c>
      <c r="AE436" s="7" t="s">
        <v>112</v>
      </c>
      <c r="AF436" s="6" t="s">
        <v>113</v>
      </c>
      <c r="AG436" s="26" t="str">
        <f t="shared" ref="AG436" si="3106">CM$4</f>
        <v>4,33,28,33,6,4,33,28,33,6</v>
      </c>
      <c r="AH436" s="26" t="str">
        <f t="shared" ref="AH436" si="3107">CN$4</f>
        <v>0,8,0,8,1,0,8,0,8,1</v>
      </c>
      <c r="AI436" s="26" t="str">
        <f t="shared" ref="AI436" si="3108">CO$4</f>
        <v>0,0,0,0,1,0,0,0,0,1</v>
      </c>
      <c r="AJ436" s="26" t="str">
        <f t="shared" ref="AJ436" si="3109">CP$4</f>
        <v>0,0,0,0,5,0,0,0,0,5</v>
      </c>
      <c r="AK436" s="26" t="str">
        <f t="shared" ref="AK436" si="3110">CQ$4</f>
        <v>100,1,1000,2,5,200,1,1000,2,5</v>
      </c>
      <c r="AL436" s="26" t="str">
        <f t="shared" ref="AL436" si="3111">CR$4</f>
        <v>5,5,5,5,5,5,5,5,5,5</v>
      </c>
      <c r="AM436" s="7">
        <v>2001</v>
      </c>
      <c r="AO436">
        <f t="shared" ref="AO436" si="3112">AQ436*100+1</f>
        <v>4901</v>
      </c>
      <c r="AP436">
        <v>432</v>
      </c>
      <c r="AQ436">
        <f t="shared" si="2769"/>
        <v>49</v>
      </c>
      <c r="AR436">
        <v>9</v>
      </c>
      <c r="AS436" s="17">
        <f t="shared" si="2850"/>
        <v>280</v>
      </c>
      <c r="AT436">
        <v>8</v>
      </c>
      <c r="AU436">
        <f t="shared" si="2770"/>
        <v>28</v>
      </c>
      <c r="AV436">
        <v>150</v>
      </c>
      <c r="AW436">
        <f t="shared" si="2771"/>
        <v>56831.016959999994</v>
      </c>
      <c r="AX436">
        <f t="shared" si="2900"/>
        <v>309024000.00000006</v>
      </c>
      <c r="AY436">
        <f t="shared" si="2772"/>
        <v>5150.4000000000005</v>
      </c>
      <c r="AZ436">
        <f t="shared" si="2773"/>
        <v>10300.800000000001</v>
      </c>
      <c r="BA436">
        <f t="shared" si="2774"/>
        <v>66816</v>
      </c>
      <c r="BB436">
        <f t="shared" si="2775"/>
        <v>2575.2000000000003</v>
      </c>
      <c r="BC436">
        <f t="shared" si="2901"/>
        <v>309024000.00000006</v>
      </c>
      <c r="BD436">
        <f t="shared" si="2776"/>
        <v>0.29411764705882354</v>
      </c>
      <c r="BE436" s="27">
        <f t="shared" si="2902"/>
        <v>284100101.91360009</v>
      </c>
      <c r="BF436" s="30">
        <f t="shared" si="2777"/>
        <v>0.41759999999999997</v>
      </c>
      <c r="BG436" s="27"/>
      <c r="BH436" s="27"/>
      <c r="BI436" s="27"/>
      <c r="CA436" s="20">
        <f t="shared" si="2778"/>
        <v>340</v>
      </c>
      <c r="CB436" s="20">
        <f t="shared" si="2779"/>
        <v>34000</v>
      </c>
    </row>
    <row r="437" spans="1:80" x14ac:dyDescent="0.15">
      <c r="A437">
        <v>4902</v>
      </c>
      <c r="B437" s="3" t="s">
        <v>115</v>
      </c>
      <c r="C437" s="4" t="s">
        <v>109</v>
      </c>
      <c r="D437" s="6" t="s">
        <v>110</v>
      </c>
      <c r="E437" s="5">
        <v>3</v>
      </c>
      <c r="F437" s="7" t="s">
        <v>142</v>
      </c>
      <c r="G437" s="5">
        <v>3</v>
      </c>
      <c r="H437" s="7" t="s">
        <v>188</v>
      </c>
      <c r="I437" s="5">
        <v>0</v>
      </c>
      <c r="J437" s="5">
        <v>0</v>
      </c>
      <c r="K437">
        <v>2</v>
      </c>
      <c r="L437">
        <v>1.5</v>
      </c>
      <c r="M437" s="5">
        <v>1.5</v>
      </c>
      <c r="N437" s="5">
        <v>10</v>
      </c>
      <c r="O437" s="5">
        <f t="shared" si="2759"/>
        <v>57810</v>
      </c>
      <c r="P437" s="5">
        <f t="shared" si="2760"/>
        <v>314352000</v>
      </c>
      <c r="Q437" s="5">
        <f t="shared" si="2761"/>
        <v>5239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70021</v>
      </c>
      <c r="X437" s="6" t="s">
        <v>180</v>
      </c>
      <c r="Y437" s="5">
        <v>300</v>
      </c>
      <c r="Z437" s="5">
        <v>1</v>
      </c>
      <c r="AA437" s="5">
        <v>69314435</v>
      </c>
      <c r="AB437" s="16" t="s">
        <v>111</v>
      </c>
      <c r="AC437" s="7" t="s">
        <v>112</v>
      </c>
      <c r="AD437" s="7" t="s">
        <v>112</v>
      </c>
      <c r="AE437" s="7" t="s">
        <v>112</v>
      </c>
      <c r="AF437" s="6" t="s">
        <v>113</v>
      </c>
      <c r="AG437" s="26" t="str">
        <f t="shared" ref="AG437" si="3113">CM$5</f>
        <v>4,33,28,33,6,4,33,28,33,6</v>
      </c>
      <c r="AH437" s="26" t="str">
        <f t="shared" ref="AH437" si="3114">CN$5</f>
        <v>0,7,0,7,1,0,7,0,7,1</v>
      </c>
      <c r="AI437" s="26" t="str">
        <f t="shared" ref="AI437" si="3115">CO$5</f>
        <v>0,0,0,0,1,0,0,0,0,1</v>
      </c>
      <c r="AJ437" s="26" t="str">
        <f t="shared" ref="AJ437" si="3116">CP$5</f>
        <v>0,0,0,0,5,0,0,0,0,5</v>
      </c>
      <c r="AK437" s="26" t="str">
        <f t="shared" ref="AK437" si="3117">CQ$5</f>
        <v>100,1,1000,2,5,200,1,1000,2,5</v>
      </c>
      <c r="AL437" s="26" t="str">
        <f t="shared" ref="AL437" si="3118">CR$5</f>
        <v>5,5,5,5,5,5,5,5,5,5</v>
      </c>
      <c r="AM437" s="7">
        <v>2001</v>
      </c>
      <c r="AO437">
        <f t="shared" ref="AO437" si="3119">AQ437*100+2</f>
        <v>4902</v>
      </c>
      <c r="AP437">
        <v>433</v>
      </c>
      <c r="AQ437">
        <f t="shared" si="2769"/>
        <v>49</v>
      </c>
      <c r="AR437">
        <v>9</v>
      </c>
      <c r="AS437" s="17">
        <f t="shared" si="2850"/>
        <v>285</v>
      </c>
      <c r="AT437">
        <v>8</v>
      </c>
      <c r="AU437">
        <f t="shared" si="2770"/>
        <v>28</v>
      </c>
      <c r="AV437">
        <v>150</v>
      </c>
      <c r="AW437">
        <f t="shared" si="2771"/>
        <v>57810.862079999992</v>
      </c>
      <c r="AX437">
        <f t="shared" si="2900"/>
        <v>314352000</v>
      </c>
      <c r="AY437">
        <f t="shared" si="2772"/>
        <v>5239.2</v>
      </c>
      <c r="AZ437">
        <f t="shared" si="2773"/>
        <v>10478.4</v>
      </c>
      <c r="BA437">
        <f t="shared" si="2774"/>
        <v>67968</v>
      </c>
      <c r="BB437">
        <f t="shared" si="2775"/>
        <v>2619.6</v>
      </c>
      <c r="BC437">
        <f t="shared" si="2901"/>
        <v>314352000</v>
      </c>
      <c r="BD437">
        <f t="shared" si="2776"/>
        <v>0.29411764705882354</v>
      </c>
      <c r="BE437" s="27">
        <f t="shared" si="2902"/>
        <v>293981110.21440005</v>
      </c>
      <c r="BF437" s="30">
        <f t="shared" si="2777"/>
        <v>0.41759999999999997</v>
      </c>
      <c r="BG437" s="27"/>
      <c r="BH437" s="27"/>
      <c r="BI437" s="27"/>
      <c r="CA437" s="20">
        <f t="shared" si="2778"/>
        <v>340</v>
      </c>
      <c r="CB437" s="20">
        <f t="shared" si="2779"/>
        <v>34000</v>
      </c>
    </row>
    <row r="438" spans="1:80" x14ac:dyDescent="0.15">
      <c r="A438">
        <v>4903</v>
      </c>
      <c r="B438" s="3" t="s">
        <v>117</v>
      </c>
      <c r="C438" s="4" t="s">
        <v>109</v>
      </c>
      <c r="D438" s="4" t="s">
        <v>110</v>
      </c>
      <c r="E438" s="5">
        <v>1</v>
      </c>
      <c r="F438" s="7" t="s">
        <v>144</v>
      </c>
      <c r="G438" s="5">
        <v>3</v>
      </c>
      <c r="H438" s="7" t="s">
        <v>189</v>
      </c>
      <c r="I438" s="5">
        <v>0</v>
      </c>
      <c r="J438" s="2">
        <v>0</v>
      </c>
      <c r="K438">
        <v>6</v>
      </c>
      <c r="L438">
        <v>1.5</v>
      </c>
      <c r="M438" s="5">
        <v>1.5</v>
      </c>
      <c r="N438" s="5">
        <v>10</v>
      </c>
      <c r="O438" s="5">
        <f t="shared" si="2759"/>
        <v>58790</v>
      </c>
      <c r="P438" s="5">
        <f t="shared" si="2760"/>
        <v>319680000</v>
      </c>
      <c r="Q438" s="5">
        <f t="shared" si="2761"/>
        <v>5328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70031</v>
      </c>
      <c r="X438" s="6" t="s">
        <v>181</v>
      </c>
      <c r="Y438" s="5">
        <v>300</v>
      </c>
      <c r="Z438" s="5">
        <v>1</v>
      </c>
      <c r="AA438" s="5">
        <v>71954749</v>
      </c>
      <c r="AB438" s="16" t="s">
        <v>111</v>
      </c>
      <c r="AC438" s="7" t="s">
        <v>112</v>
      </c>
      <c r="AD438" s="7" t="s">
        <v>112</v>
      </c>
      <c r="AE438" s="7" t="s">
        <v>112</v>
      </c>
      <c r="AF438" s="6" t="s">
        <v>113</v>
      </c>
      <c r="AG438" s="26" t="str">
        <f t="shared" ref="AG438" si="3120">CM$6</f>
        <v>4,28,6,28,6,4,28,6,28,6</v>
      </c>
      <c r="AH438" s="26" t="str">
        <f t="shared" ref="AH438" si="3121">CN$6</f>
        <v>0,0,1,0,1,0,0,1,0,1</v>
      </c>
      <c r="AI438" s="26" t="str">
        <f t="shared" ref="AI438" si="3122">CO$6</f>
        <v>0,0,0,0,1,0,0,0,0,1</v>
      </c>
      <c r="AJ438" s="26" t="str">
        <f t="shared" ref="AJ438" si="3123">CP$6</f>
        <v>0,0,5,0,5,0,0,5,0,5</v>
      </c>
      <c r="AK438" s="26" t="str">
        <f t="shared" ref="AK438" si="3124">CQ$6</f>
        <v>100,1000,5,1500,5,200,1000,5,1500,5</v>
      </c>
      <c r="AL438" s="26" t="str">
        <f t="shared" ref="AL438" si="3125">CR$6</f>
        <v>5,5,5,5,5,5,5,5,5,5</v>
      </c>
      <c r="AM438" s="7">
        <v>2001</v>
      </c>
      <c r="AO438">
        <f t="shared" ref="AO438" si="3126">AQ438*100+3</f>
        <v>4903</v>
      </c>
      <c r="AP438">
        <v>434</v>
      </c>
      <c r="AQ438">
        <f t="shared" si="2769"/>
        <v>49</v>
      </c>
      <c r="AR438">
        <v>9</v>
      </c>
      <c r="AS438" s="17">
        <f t="shared" si="2850"/>
        <v>290</v>
      </c>
      <c r="AT438">
        <v>8</v>
      </c>
      <c r="AU438">
        <f t="shared" si="2770"/>
        <v>28</v>
      </c>
      <c r="AV438">
        <v>150</v>
      </c>
      <c r="AW438">
        <f t="shared" si="2771"/>
        <v>58790.707199999997</v>
      </c>
      <c r="AX438">
        <f t="shared" si="2900"/>
        <v>319680000</v>
      </c>
      <c r="AY438">
        <f t="shared" si="2772"/>
        <v>5328</v>
      </c>
      <c r="AZ438">
        <f t="shared" si="2773"/>
        <v>10656</v>
      </c>
      <c r="BA438">
        <f t="shared" si="2774"/>
        <v>69120</v>
      </c>
      <c r="BB438">
        <f t="shared" si="2775"/>
        <v>2664</v>
      </c>
      <c r="BC438">
        <f t="shared" si="2901"/>
        <v>319680000</v>
      </c>
      <c r="BD438">
        <f t="shared" si="2776"/>
        <v>0.29411764705882354</v>
      </c>
      <c r="BE438" s="27">
        <f t="shared" si="2902"/>
        <v>304031024.6400001</v>
      </c>
      <c r="BF438" s="30">
        <f t="shared" si="2777"/>
        <v>0.41759999999999997</v>
      </c>
      <c r="BG438" s="27"/>
      <c r="BH438" s="27"/>
      <c r="BI438" s="27"/>
      <c r="CA438" s="20">
        <f t="shared" si="2778"/>
        <v>340</v>
      </c>
      <c r="CB438" s="20">
        <f t="shared" si="2779"/>
        <v>34000</v>
      </c>
    </row>
    <row r="439" spans="1:80" x14ac:dyDescent="0.15">
      <c r="A439">
        <v>4904</v>
      </c>
      <c r="B439" s="3" t="s">
        <v>119</v>
      </c>
      <c r="C439" s="4" t="s">
        <v>109</v>
      </c>
      <c r="D439" s="6" t="s">
        <v>120</v>
      </c>
      <c r="E439" s="5">
        <v>3</v>
      </c>
      <c r="F439" s="7" t="s">
        <v>145</v>
      </c>
      <c r="G439" s="5">
        <v>3</v>
      </c>
      <c r="H439" s="7" t="s">
        <v>190</v>
      </c>
      <c r="I439" s="5">
        <v>0</v>
      </c>
      <c r="J439" s="5">
        <v>0</v>
      </c>
      <c r="K439">
        <v>2</v>
      </c>
      <c r="L439">
        <v>1.5</v>
      </c>
      <c r="M439" s="5">
        <v>1.5</v>
      </c>
      <c r="N439" s="5">
        <v>10</v>
      </c>
      <c r="O439" s="5">
        <f t="shared" si="2759"/>
        <v>59770</v>
      </c>
      <c r="P439" s="5">
        <f t="shared" si="2760"/>
        <v>325008000</v>
      </c>
      <c r="Q439" s="5">
        <f t="shared" si="2761"/>
        <v>5416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70041</v>
      </c>
      <c r="X439" s="6" t="s">
        <v>182</v>
      </c>
      <c r="Y439" s="5">
        <v>300</v>
      </c>
      <c r="Z439" s="5">
        <v>1</v>
      </c>
      <c r="AA439" s="5">
        <v>74644416</v>
      </c>
      <c r="AB439" s="16" t="s">
        <v>111</v>
      </c>
      <c r="AC439" s="7" t="s">
        <v>112</v>
      </c>
      <c r="AD439" s="7" t="s">
        <v>112</v>
      </c>
      <c r="AE439" s="7" t="s">
        <v>112</v>
      </c>
      <c r="AF439" s="6" t="s">
        <v>113</v>
      </c>
      <c r="AG439" s="26" t="str">
        <f t="shared" ref="AG439" si="3127">CM$7</f>
        <v>4,14,28,14,6,4,14,28,14,6</v>
      </c>
      <c r="AH439" s="26" t="str">
        <f t="shared" ref="AH439" si="3128">CN$7</f>
        <v>0,0,0,0,1,0,0,0,0,1</v>
      </c>
      <c r="AI439" s="26" t="str">
        <f t="shared" ref="AI439" si="3129">CO$7</f>
        <v>0,0,0,0,1,0,0,0,0,1</v>
      </c>
      <c r="AJ439" s="26" t="str">
        <f t="shared" ref="AJ439" si="3130">CP$7</f>
        <v>0,0,0,0,5,0,0,0,0,5</v>
      </c>
      <c r="AK439" s="26" t="str">
        <f t="shared" ref="AK439" si="3131">CQ$7</f>
        <v>100,1,1000,2,5,200,1,1000,2,5</v>
      </c>
      <c r="AL439" s="26" t="str">
        <f t="shared" ref="AL439" si="3132">CR$7</f>
        <v>5,5,5,5,5,5,5,5,5,5</v>
      </c>
      <c r="AM439" s="7">
        <v>2001</v>
      </c>
      <c r="AO439">
        <f t="shared" ref="AO439" si="3133">AQ439*100+4</f>
        <v>4904</v>
      </c>
      <c r="AP439">
        <v>435</v>
      </c>
      <c r="AQ439">
        <f t="shared" si="2769"/>
        <v>49</v>
      </c>
      <c r="AR439">
        <v>9</v>
      </c>
      <c r="AS439" s="17">
        <f t="shared" si="2850"/>
        <v>295</v>
      </c>
      <c r="AT439">
        <v>8</v>
      </c>
      <c r="AU439">
        <f t="shared" si="2770"/>
        <v>28</v>
      </c>
      <c r="AV439">
        <v>150</v>
      </c>
      <c r="AW439">
        <f t="shared" si="2771"/>
        <v>59770.552319999995</v>
      </c>
      <c r="AX439">
        <f t="shared" si="2900"/>
        <v>325008000</v>
      </c>
      <c r="AY439">
        <f t="shared" si="2772"/>
        <v>5416.8</v>
      </c>
      <c r="AZ439">
        <f t="shared" si="2773"/>
        <v>10833.6</v>
      </c>
      <c r="BA439">
        <f t="shared" si="2774"/>
        <v>70272</v>
      </c>
      <c r="BB439">
        <f t="shared" si="2775"/>
        <v>2708.4</v>
      </c>
      <c r="BC439">
        <f t="shared" si="2901"/>
        <v>325008000</v>
      </c>
      <c r="BD439">
        <f t="shared" si="2776"/>
        <v>0.29411764705882348</v>
      </c>
      <c r="BE439" s="27">
        <f t="shared" si="2902"/>
        <v>314249845.19039994</v>
      </c>
      <c r="BF439" s="30">
        <f t="shared" si="2777"/>
        <v>0.41759999999999997</v>
      </c>
      <c r="BG439" s="27"/>
      <c r="BH439" s="27"/>
      <c r="BI439" s="27"/>
      <c r="CA439" s="20">
        <f t="shared" si="2778"/>
        <v>340</v>
      </c>
      <c r="CB439" s="20">
        <f t="shared" si="2779"/>
        <v>34000</v>
      </c>
    </row>
    <row r="440" spans="1:80" x14ac:dyDescent="0.15">
      <c r="A440">
        <v>4905</v>
      </c>
      <c r="B440" s="3" t="s">
        <v>122</v>
      </c>
      <c r="C440" s="4" t="s">
        <v>109</v>
      </c>
      <c r="D440" s="4" t="s">
        <v>110</v>
      </c>
      <c r="E440" s="5">
        <v>2</v>
      </c>
      <c r="F440" s="7" t="s">
        <v>146</v>
      </c>
      <c r="G440" s="5">
        <v>3</v>
      </c>
      <c r="H440" s="7" t="s">
        <v>191</v>
      </c>
      <c r="I440" s="5">
        <v>0</v>
      </c>
      <c r="J440" s="7" t="s">
        <v>148</v>
      </c>
      <c r="K440">
        <v>6</v>
      </c>
      <c r="L440">
        <v>1.5</v>
      </c>
      <c r="M440" s="5">
        <v>1.5</v>
      </c>
      <c r="N440" s="5">
        <v>10</v>
      </c>
      <c r="O440" s="5">
        <f t="shared" si="2759"/>
        <v>60750</v>
      </c>
      <c r="P440" s="5">
        <f t="shared" si="2760"/>
        <v>330336000</v>
      </c>
      <c r="Q440" s="5">
        <f t="shared" si="2761"/>
        <v>5505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70051</v>
      </c>
      <c r="X440" s="6" t="s">
        <v>183</v>
      </c>
      <c r="Y440" s="5">
        <v>300</v>
      </c>
      <c r="Z440" s="5">
        <v>1</v>
      </c>
      <c r="AA440" s="5">
        <v>77383434</v>
      </c>
      <c r="AB440" s="16" t="s">
        <v>111</v>
      </c>
      <c r="AC440" s="7" t="s">
        <v>112</v>
      </c>
      <c r="AD440" s="7" t="s">
        <v>112</v>
      </c>
      <c r="AE440" s="7" t="s">
        <v>112</v>
      </c>
      <c r="AF440" s="6" t="s">
        <v>113</v>
      </c>
      <c r="AG440" s="26" t="str">
        <f t="shared" ref="AG440" si="3134">CM$8</f>
        <v>4,19,28,19,6,4,19,28,19,6</v>
      </c>
      <c r="AH440" s="26" t="str">
        <f t="shared" ref="AH440" si="3135">CN$8</f>
        <v>0,0,0,0,1,0,0,0,0,1</v>
      </c>
      <c r="AI440" s="26" t="str">
        <f t="shared" ref="AI440" si="3136">CO$8</f>
        <v>0,0,0,0,1,0,0,0,0,1</v>
      </c>
      <c r="AJ440" s="26" t="str">
        <f t="shared" ref="AJ440" si="3137">CP$8</f>
        <v>0,0,0,0,5,0,0,0,0,5</v>
      </c>
      <c r="AK440" s="26" t="str">
        <f t="shared" ref="AK440" si="3138">CQ$8</f>
        <v>200,100,1000,200,5,200,100,1000,200,5</v>
      </c>
      <c r="AL440" s="26" t="str">
        <f t="shared" ref="AL440" si="3139">CR$8</f>
        <v>5,5,5,5,5,5,5,5,5,5</v>
      </c>
      <c r="AM440" s="7">
        <v>2001</v>
      </c>
      <c r="AO440">
        <f t="shared" ref="AO440" si="3140">AQ440*100+5</f>
        <v>4905</v>
      </c>
      <c r="AP440">
        <v>436</v>
      </c>
      <c r="AQ440">
        <f t="shared" si="2769"/>
        <v>49</v>
      </c>
      <c r="AR440">
        <v>9</v>
      </c>
      <c r="AS440" s="17">
        <f t="shared" si="2850"/>
        <v>300</v>
      </c>
      <c r="AT440">
        <v>8</v>
      </c>
      <c r="AU440">
        <f t="shared" si="2770"/>
        <v>28</v>
      </c>
      <c r="AV440">
        <v>150</v>
      </c>
      <c r="AW440">
        <f t="shared" si="2771"/>
        <v>60750.397440000001</v>
      </c>
      <c r="AX440">
        <f t="shared" si="2900"/>
        <v>330336000</v>
      </c>
      <c r="AY440">
        <f t="shared" si="2772"/>
        <v>5505.6</v>
      </c>
      <c r="AZ440">
        <f t="shared" si="2773"/>
        <v>11011.2</v>
      </c>
      <c r="BA440">
        <f t="shared" si="2774"/>
        <v>71424</v>
      </c>
      <c r="BB440">
        <f t="shared" si="2775"/>
        <v>2752.8</v>
      </c>
      <c r="BC440">
        <f t="shared" si="2901"/>
        <v>330336000</v>
      </c>
      <c r="BD440">
        <f t="shared" si="2776"/>
        <v>0.29411764705882348</v>
      </c>
      <c r="BE440" s="27">
        <f t="shared" si="2902"/>
        <v>324637571.86560005</v>
      </c>
      <c r="BF440" s="30">
        <f t="shared" si="2777"/>
        <v>0.41759999999999997</v>
      </c>
      <c r="BG440" s="27"/>
      <c r="BH440" s="27"/>
      <c r="BI440" s="27"/>
      <c r="CA440" s="20">
        <f t="shared" si="2778"/>
        <v>340</v>
      </c>
      <c r="CB440" s="20">
        <f t="shared" si="2779"/>
        <v>34000</v>
      </c>
    </row>
    <row r="441" spans="1:80" x14ac:dyDescent="0.15">
      <c r="A441">
        <v>4906</v>
      </c>
      <c r="B441" s="3" t="s">
        <v>124</v>
      </c>
      <c r="C441" s="4" t="s">
        <v>109</v>
      </c>
      <c r="D441" s="6" t="s">
        <v>120</v>
      </c>
      <c r="E441" s="5">
        <v>1</v>
      </c>
      <c r="F441" s="7" t="s">
        <v>147</v>
      </c>
      <c r="G441" s="5">
        <v>3</v>
      </c>
      <c r="H441" s="7" t="s">
        <v>192</v>
      </c>
      <c r="I441" s="5">
        <v>0</v>
      </c>
      <c r="J441" s="7" t="s">
        <v>149</v>
      </c>
      <c r="K441">
        <v>6</v>
      </c>
      <c r="L441">
        <v>1.5</v>
      </c>
      <c r="M441" s="5">
        <v>1.5</v>
      </c>
      <c r="N441" s="5">
        <v>10</v>
      </c>
      <c r="O441" s="5">
        <f t="shared" si="2759"/>
        <v>61730</v>
      </c>
      <c r="P441" s="5">
        <f t="shared" si="2760"/>
        <v>335664000</v>
      </c>
      <c r="Q441" s="5">
        <f t="shared" si="2761"/>
        <v>5594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70061</v>
      </c>
      <c r="X441" s="6" t="s">
        <v>184</v>
      </c>
      <c r="Y441" s="5">
        <v>300</v>
      </c>
      <c r="Z441" s="5">
        <v>1</v>
      </c>
      <c r="AA441" s="5">
        <v>80171804</v>
      </c>
      <c r="AB441" s="16" t="s">
        <v>111</v>
      </c>
      <c r="AC441" s="7" t="s">
        <v>112</v>
      </c>
      <c r="AD441" s="7" t="s">
        <v>112</v>
      </c>
      <c r="AE441" s="7" t="s">
        <v>112</v>
      </c>
      <c r="AF441" s="6" t="s">
        <v>113</v>
      </c>
      <c r="AG441" s="26" t="str">
        <f t="shared" ref="AG441" si="3141">CM$9</f>
        <v>4,33,28,33,6,4,33,28,33,6</v>
      </c>
      <c r="AH441" s="26" t="str">
        <f t="shared" ref="AH441" si="3142">CN$9</f>
        <v>0,6,0,6,1,0,6,0,6,1</v>
      </c>
      <c r="AI441" s="26" t="str">
        <f t="shared" ref="AI441" si="3143">CO$9</f>
        <v>0,0,0,0,1,0,0,0,0,1</v>
      </c>
      <c r="AJ441" s="26" t="str">
        <f t="shared" ref="AJ441" si="3144">CP$9</f>
        <v>0,0,0,0,5,0,0,0,0,5</v>
      </c>
      <c r="AK441" s="26" t="str">
        <f t="shared" ref="AK441" si="3145">CQ$9</f>
        <v>200,1,1000,2,5,200,1,1000,2,5</v>
      </c>
      <c r="AL441" s="26" t="str">
        <f t="shared" ref="AL441" si="3146">CR$9</f>
        <v>5,5,5,5,5,5,5,5,5,5</v>
      </c>
      <c r="AM441" s="7">
        <v>2001</v>
      </c>
      <c r="AO441">
        <f t="shared" ref="AO441" si="3147">AQ441*100+6</f>
        <v>4906</v>
      </c>
      <c r="AP441">
        <v>437</v>
      </c>
      <c r="AQ441">
        <f t="shared" si="2769"/>
        <v>49</v>
      </c>
      <c r="AR441">
        <v>9</v>
      </c>
      <c r="AS441" s="17">
        <f t="shared" si="2850"/>
        <v>305</v>
      </c>
      <c r="AT441">
        <v>8</v>
      </c>
      <c r="AU441">
        <f t="shared" si="2770"/>
        <v>28</v>
      </c>
      <c r="AV441">
        <v>150</v>
      </c>
      <c r="AW441">
        <f t="shared" si="2771"/>
        <v>61730.242559999999</v>
      </c>
      <c r="AX441">
        <f t="shared" si="2900"/>
        <v>335664000.00000006</v>
      </c>
      <c r="AY441">
        <f t="shared" si="2772"/>
        <v>5594.4000000000005</v>
      </c>
      <c r="AZ441">
        <f t="shared" si="2773"/>
        <v>11188.800000000001</v>
      </c>
      <c r="BA441">
        <f t="shared" si="2774"/>
        <v>72576</v>
      </c>
      <c r="BB441">
        <f t="shared" si="2775"/>
        <v>2797.2000000000003</v>
      </c>
      <c r="BC441">
        <f t="shared" si="2901"/>
        <v>335664000.00000006</v>
      </c>
      <c r="BD441">
        <f t="shared" si="2776"/>
        <v>0.29411764705882354</v>
      </c>
      <c r="BE441" s="27">
        <f t="shared" si="2902"/>
        <v>335194204.66560018</v>
      </c>
      <c r="BF441" s="30">
        <f t="shared" si="2777"/>
        <v>0.41759999999999997</v>
      </c>
      <c r="BG441" s="27"/>
      <c r="BH441" s="27"/>
      <c r="BI441" s="27"/>
      <c r="CA441" s="20">
        <f t="shared" si="2778"/>
        <v>340</v>
      </c>
      <c r="CB441" s="20">
        <f t="shared" si="2779"/>
        <v>34000</v>
      </c>
    </row>
    <row r="442" spans="1:80" x14ac:dyDescent="0.15">
      <c r="A442">
        <v>4907</v>
      </c>
      <c r="B442" s="3" t="s">
        <v>126</v>
      </c>
      <c r="C442" s="4" t="s">
        <v>109</v>
      </c>
      <c r="D442" s="4" t="s">
        <v>110</v>
      </c>
      <c r="E442" s="5">
        <v>2</v>
      </c>
      <c r="F442" s="7" t="s">
        <v>143</v>
      </c>
      <c r="G442" s="5">
        <v>3</v>
      </c>
      <c r="H442" s="7" t="s">
        <v>193</v>
      </c>
      <c r="I442" s="5">
        <v>0</v>
      </c>
      <c r="J442" s="5">
        <v>0</v>
      </c>
      <c r="K442">
        <v>2</v>
      </c>
      <c r="L442">
        <v>1.5</v>
      </c>
      <c r="M442" s="5">
        <v>1.5</v>
      </c>
      <c r="N442" s="5">
        <v>10</v>
      </c>
      <c r="O442" s="5">
        <f t="shared" si="2759"/>
        <v>62710</v>
      </c>
      <c r="P442" s="5">
        <f t="shared" si="2760"/>
        <v>340992000</v>
      </c>
      <c r="Q442" s="5">
        <f t="shared" si="2761"/>
        <v>5683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70071</v>
      </c>
      <c r="X442" s="6" t="s">
        <v>185</v>
      </c>
      <c r="Y442" s="5">
        <v>300</v>
      </c>
      <c r="Z442" s="5">
        <v>1</v>
      </c>
      <c r="AA442" s="5">
        <v>83009526</v>
      </c>
      <c r="AB442" s="16" t="s">
        <v>111</v>
      </c>
      <c r="AC442" s="7" t="s">
        <v>112</v>
      </c>
      <c r="AD442" s="7" t="s">
        <v>112</v>
      </c>
      <c r="AE442" s="7" t="s">
        <v>112</v>
      </c>
      <c r="AF442" s="6" t="s">
        <v>113</v>
      </c>
      <c r="AG442" s="26" t="str">
        <f t="shared" ref="AG442" si="3148">CM$10</f>
        <v>4,14,28,14,6,4,14,28,14,6</v>
      </c>
      <c r="AH442" s="26" t="str">
        <f t="shared" ref="AH442" si="3149">CN$10</f>
        <v>0,0,0,0,1,0,0,0,0,1</v>
      </c>
      <c r="AI442" s="26" t="str">
        <f t="shared" ref="AI442" si="3150">CO$10</f>
        <v>0,0,0,0,1,0,0,0,0,1</v>
      </c>
      <c r="AJ442" s="26" t="str">
        <f t="shared" ref="AJ442" si="3151">CP$10</f>
        <v>0,0,0,0,5,0,0,0,0,5</v>
      </c>
      <c r="AK442" s="26" t="str">
        <f t="shared" ref="AK442" si="3152">CQ$10</f>
        <v>200,1,1000,2,5,200,1,1000,2,5</v>
      </c>
      <c r="AL442" s="26" t="str">
        <f t="shared" ref="AL442" si="3153">CR$10</f>
        <v>5,5,5,5,5,5,5,5,5,5</v>
      </c>
      <c r="AM442" s="7">
        <v>2001</v>
      </c>
      <c r="AO442">
        <f t="shared" ref="AO442" si="3154">AQ442*100+7</f>
        <v>4907</v>
      </c>
      <c r="AP442">
        <v>438</v>
      </c>
      <c r="AQ442">
        <f t="shared" si="2769"/>
        <v>49</v>
      </c>
      <c r="AR442">
        <v>9</v>
      </c>
      <c r="AS442" s="17">
        <f t="shared" si="2850"/>
        <v>310</v>
      </c>
      <c r="AT442">
        <v>8</v>
      </c>
      <c r="AU442">
        <f t="shared" si="2770"/>
        <v>28</v>
      </c>
      <c r="AV442">
        <v>150</v>
      </c>
      <c r="AW442">
        <f t="shared" si="2771"/>
        <v>62710.08767999999</v>
      </c>
      <c r="AX442">
        <f t="shared" si="2900"/>
        <v>340992000.00000006</v>
      </c>
      <c r="AY442">
        <f t="shared" si="2772"/>
        <v>5683.2000000000007</v>
      </c>
      <c r="AZ442">
        <f t="shared" si="2773"/>
        <v>11366.400000000001</v>
      </c>
      <c r="BA442">
        <f t="shared" si="2774"/>
        <v>73728</v>
      </c>
      <c r="BB442">
        <f t="shared" si="2775"/>
        <v>2841.6000000000004</v>
      </c>
      <c r="BC442">
        <f t="shared" si="2901"/>
        <v>340992000.00000006</v>
      </c>
      <c r="BD442">
        <f t="shared" si="2776"/>
        <v>0.29411764705882354</v>
      </c>
      <c r="BE442" s="27">
        <f t="shared" si="2902"/>
        <v>345919743.59040016</v>
      </c>
      <c r="BF442" s="30">
        <f t="shared" si="2777"/>
        <v>0.41759999999999997</v>
      </c>
      <c r="BG442" s="27"/>
      <c r="BH442" s="27"/>
      <c r="BI442" s="27"/>
      <c r="CA442" s="20">
        <f t="shared" si="2778"/>
        <v>340</v>
      </c>
      <c r="CB442" s="20">
        <f t="shared" si="2779"/>
        <v>34000</v>
      </c>
    </row>
    <row r="443" spans="1:80" x14ac:dyDescent="0.15">
      <c r="A443">
        <v>4908</v>
      </c>
      <c r="B443" s="3" t="s">
        <v>128</v>
      </c>
      <c r="C443" s="4" t="s">
        <v>109</v>
      </c>
      <c r="D443" s="4" t="s">
        <v>110</v>
      </c>
      <c r="E443" s="5">
        <v>5</v>
      </c>
      <c r="F443" s="7" t="s">
        <v>129</v>
      </c>
      <c r="G443" s="5">
        <v>2</v>
      </c>
      <c r="H443" s="7" t="s">
        <v>130</v>
      </c>
      <c r="I443" s="5">
        <v>0</v>
      </c>
      <c r="J443" s="5">
        <v>0</v>
      </c>
      <c r="K443">
        <v>2</v>
      </c>
      <c r="L443">
        <v>1.5</v>
      </c>
      <c r="M443" s="5">
        <v>1.5</v>
      </c>
      <c r="N443" s="5">
        <v>10</v>
      </c>
      <c r="O443" s="5">
        <f t="shared" si="2759"/>
        <v>63689</v>
      </c>
      <c r="P443" s="5">
        <f t="shared" si="2760"/>
        <v>346320000</v>
      </c>
      <c r="Q443" s="5">
        <f t="shared" si="2761"/>
        <v>5772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70081</v>
      </c>
      <c r="X443" s="6" t="s">
        <v>186</v>
      </c>
      <c r="Y443" s="5">
        <v>300</v>
      </c>
      <c r="Z443" s="5">
        <v>1</v>
      </c>
      <c r="AA443" s="5">
        <v>85896599</v>
      </c>
      <c r="AB443" s="16" t="s">
        <v>111</v>
      </c>
      <c r="AC443" s="7" t="s">
        <v>112</v>
      </c>
      <c r="AD443" s="7" t="s">
        <v>112</v>
      </c>
      <c r="AE443" s="7" t="s">
        <v>112</v>
      </c>
      <c r="AF443" s="6" t="s">
        <v>113</v>
      </c>
      <c r="AG443" s="26" t="str">
        <f t="shared" ref="AG443" si="3155">CM$11</f>
        <v>4,28,6,28,6,4,28,6,28,6</v>
      </c>
      <c r="AH443" s="26" t="str">
        <f t="shared" ref="AH443" si="3156">CN$11</f>
        <v>0,0,1,0,1,0,0,1,0,1</v>
      </c>
      <c r="AI443" s="26" t="str">
        <f t="shared" ref="AI443" si="3157">CO$11</f>
        <v>0,0,1,0,1,0,0,1,0,1</v>
      </c>
      <c r="AJ443" s="26" t="str">
        <f t="shared" ref="AJ443" si="3158">CP$11</f>
        <v>0,0,5,0,5,0,0,5,0,5</v>
      </c>
      <c r="AK443" s="26" t="str">
        <f t="shared" ref="AK443" si="3159">CQ$11</f>
        <v>100,1000,5,1500,5,200,1000,5,1500,5</v>
      </c>
      <c r="AL443" s="26" t="str">
        <f t="shared" ref="AL443" si="3160">CR$11</f>
        <v>5,5,5,5,5,5,5,5,5,5</v>
      </c>
      <c r="AM443" s="7">
        <v>2001</v>
      </c>
      <c r="AO443">
        <f t="shared" ref="AO443" si="3161">AQ443*100+8</f>
        <v>4908</v>
      </c>
      <c r="AP443">
        <v>439</v>
      </c>
      <c r="AQ443">
        <f t="shared" si="2769"/>
        <v>49</v>
      </c>
      <c r="AR443">
        <v>9</v>
      </c>
      <c r="AS443" s="17">
        <f t="shared" si="2850"/>
        <v>315</v>
      </c>
      <c r="AT443">
        <v>8</v>
      </c>
      <c r="AU443">
        <f t="shared" si="2770"/>
        <v>28</v>
      </c>
      <c r="AV443">
        <v>150</v>
      </c>
      <c r="AW443">
        <f t="shared" si="2771"/>
        <v>63689.932800000002</v>
      </c>
      <c r="AX443">
        <f t="shared" si="2900"/>
        <v>346320000</v>
      </c>
      <c r="AY443">
        <f t="shared" si="2772"/>
        <v>5772</v>
      </c>
      <c r="AZ443">
        <f t="shared" si="2773"/>
        <v>11544</v>
      </c>
      <c r="BA443">
        <f t="shared" si="2774"/>
        <v>74880</v>
      </c>
      <c r="BB443">
        <f t="shared" si="2775"/>
        <v>2886</v>
      </c>
      <c r="BC443">
        <f t="shared" si="2901"/>
        <v>346320000</v>
      </c>
      <c r="BD443">
        <f t="shared" si="2776"/>
        <v>0.29411764705882354</v>
      </c>
      <c r="BE443" s="27">
        <f t="shared" si="2902"/>
        <v>356814188.6400001</v>
      </c>
      <c r="BF443" s="30">
        <f t="shared" si="2777"/>
        <v>0.41759999999999997</v>
      </c>
      <c r="BG443" s="27"/>
      <c r="BH443" s="27"/>
      <c r="BI443" s="27"/>
      <c r="CA443" s="20">
        <f t="shared" si="2778"/>
        <v>340</v>
      </c>
      <c r="CB443" s="20">
        <f t="shared" si="2779"/>
        <v>34000</v>
      </c>
    </row>
    <row r="444" spans="1:80" x14ac:dyDescent="0.15">
      <c r="A444">
        <v>4909</v>
      </c>
      <c r="B444" s="3" t="s">
        <v>132</v>
      </c>
      <c r="C444" s="4" t="s">
        <v>109</v>
      </c>
      <c r="D444" s="4" t="s">
        <v>110</v>
      </c>
      <c r="E444" s="5">
        <v>5</v>
      </c>
      <c r="F444" s="7" t="s">
        <v>140</v>
      </c>
      <c r="G444" s="5">
        <v>3</v>
      </c>
      <c r="H444" s="7" t="s">
        <v>140</v>
      </c>
      <c r="I444" s="5">
        <v>0</v>
      </c>
      <c r="J444" s="7">
        <v>0</v>
      </c>
      <c r="K444">
        <v>6</v>
      </c>
      <c r="L444">
        <v>1.5</v>
      </c>
      <c r="M444" s="5">
        <v>1.5</v>
      </c>
      <c r="N444" s="5">
        <v>10</v>
      </c>
      <c r="O444" s="5">
        <f t="shared" si="2759"/>
        <v>64669</v>
      </c>
      <c r="P444" s="5">
        <f t="shared" si="2760"/>
        <v>351648000</v>
      </c>
      <c r="Q444" s="5">
        <f t="shared" si="2761"/>
        <v>5860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70091</v>
      </c>
      <c r="X444" s="6" t="s">
        <v>187</v>
      </c>
      <c r="Y444" s="5">
        <v>300</v>
      </c>
      <c r="Z444" s="5">
        <v>1</v>
      </c>
      <c r="AA444" s="5">
        <v>88833024</v>
      </c>
      <c r="AB444" s="16" t="s">
        <v>111</v>
      </c>
      <c r="AC444" s="7" t="s">
        <v>112</v>
      </c>
      <c r="AD444" s="7" t="s">
        <v>112</v>
      </c>
      <c r="AE444" s="7" t="s">
        <v>112</v>
      </c>
      <c r="AF444" s="6" t="s">
        <v>113</v>
      </c>
      <c r="AG444" s="26" t="str">
        <f t="shared" ref="AG444" si="3162">CM$12</f>
        <v>4,33,28,33,6,4,33,28,33,6</v>
      </c>
      <c r="AH444" s="26" t="str">
        <f t="shared" ref="AH444" si="3163">CN$12</f>
        <v>0,5,0,5,1,0,5,0,5,1</v>
      </c>
      <c r="AI444" s="26" t="str">
        <f t="shared" ref="AI444" si="3164">CO$12</f>
        <v>0,0,0,0,1,0,0,0,0,1</v>
      </c>
      <c r="AJ444" s="26" t="str">
        <f t="shared" ref="AJ444" si="3165">CP$12</f>
        <v>0,0,0,0,5,0,0,0,0,5</v>
      </c>
      <c r="AK444" s="26" t="str">
        <f t="shared" ref="AK444" si="3166">CQ$12</f>
        <v>100,1,1000,2,5,200,1,1000,2,5</v>
      </c>
      <c r="AL444" s="26" t="str">
        <f t="shared" ref="AL444" si="3167">CR$12</f>
        <v>5,5,5,5,5,5,5,5,5,5</v>
      </c>
      <c r="AM444" s="7">
        <v>2001</v>
      </c>
      <c r="AO444">
        <f t="shared" ref="AO444" si="3168">AQ444*100+9</f>
        <v>4909</v>
      </c>
      <c r="AP444">
        <v>440</v>
      </c>
      <c r="AQ444">
        <f t="shared" si="2769"/>
        <v>49</v>
      </c>
      <c r="AR444">
        <v>9</v>
      </c>
      <c r="AS444" s="17">
        <f t="shared" si="2850"/>
        <v>320</v>
      </c>
      <c r="AT444">
        <v>8</v>
      </c>
      <c r="AU444">
        <f t="shared" si="2770"/>
        <v>28</v>
      </c>
      <c r="AV444">
        <v>150</v>
      </c>
      <c r="AW444">
        <f t="shared" si="2771"/>
        <v>64669.777919999993</v>
      </c>
      <c r="AX444">
        <f t="shared" si="2900"/>
        <v>351648000</v>
      </c>
      <c r="AY444">
        <f t="shared" si="2772"/>
        <v>5860.8</v>
      </c>
      <c r="AZ444">
        <f t="shared" si="2773"/>
        <v>11721.6</v>
      </c>
      <c r="BA444">
        <f t="shared" si="2774"/>
        <v>76032</v>
      </c>
      <c r="BB444">
        <f t="shared" si="2775"/>
        <v>2930.4</v>
      </c>
      <c r="BC444">
        <f t="shared" si="2901"/>
        <v>351648000</v>
      </c>
      <c r="BD444">
        <f t="shared" si="2776"/>
        <v>0.29411764705882348</v>
      </c>
      <c r="BE444" s="27">
        <f t="shared" si="2902"/>
        <v>367877539.81440002</v>
      </c>
      <c r="BF444" s="30">
        <f t="shared" si="2777"/>
        <v>0.41759999999999997</v>
      </c>
      <c r="BG444" s="27"/>
      <c r="BH444" s="27"/>
      <c r="BI444" s="27"/>
      <c r="CA444" s="20">
        <f t="shared" si="2778"/>
        <v>340</v>
      </c>
      <c r="CB444" s="20">
        <f t="shared" si="2779"/>
        <v>34000</v>
      </c>
    </row>
    <row r="445" spans="1:80" x14ac:dyDescent="0.15">
      <c r="A445">
        <v>5001</v>
      </c>
      <c r="B445" s="3" t="s">
        <v>108</v>
      </c>
      <c r="C445" s="4" t="s">
        <v>109</v>
      </c>
      <c r="D445" s="4" t="s">
        <v>110</v>
      </c>
      <c r="E445" s="5">
        <v>3</v>
      </c>
      <c r="F445" s="7" t="s">
        <v>141</v>
      </c>
      <c r="G445" s="5">
        <v>2.5</v>
      </c>
      <c r="H445" s="7" t="s">
        <v>194</v>
      </c>
      <c r="I445" s="5">
        <v>0</v>
      </c>
      <c r="J445" s="5">
        <v>0</v>
      </c>
      <c r="K445">
        <v>2</v>
      </c>
      <c r="L445">
        <v>1.5</v>
      </c>
      <c r="M445" s="5">
        <v>1.5</v>
      </c>
      <c r="N445" s="5">
        <v>10</v>
      </c>
      <c r="O445" s="5">
        <f t="shared" si="2759"/>
        <v>57908</v>
      </c>
      <c r="P445" s="5">
        <f t="shared" si="2760"/>
        <v>314352000</v>
      </c>
      <c r="Q445" s="5">
        <f t="shared" si="2761"/>
        <v>5239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70011</v>
      </c>
      <c r="X445" s="6" t="s">
        <v>179</v>
      </c>
      <c r="Y445" s="5">
        <v>300</v>
      </c>
      <c r="Z445" s="5">
        <v>1</v>
      </c>
      <c r="AA445" s="5">
        <v>91818801</v>
      </c>
      <c r="AB445" s="16" t="s">
        <v>111</v>
      </c>
      <c r="AC445" s="7" t="s">
        <v>112</v>
      </c>
      <c r="AD445" s="7" t="s">
        <v>112</v>
      </c>
      <c r="AE445" s="7" t="s">
        <v>112</v>
      </c>
      <c r="AF445" s="6" t="s">
        <v>113</v>
      </c>
      <c r="AG445" s="26" t="str">
        <f t="shared" ref="AG445" si="3169">CM$4</f>
        <v>4,33,28,33,6,4,33,28,33,6</v>
      </c>
      <c r="AH445" s="26" t="str">
        <f t="shared" ref="AH445" si="3170">CN$4</f>
        <v>0,8,0,8,1,0,8,0,8,1</v>
      </c>
      <c r="AI445" s="26" t="str">
        <f t="shared" ref="AI445" si="3171">CO$4</f>
        <v>0,0,0,0,1,0,0,0,0,1</v>
      </c>
      <c r="AJ445" s="26" t="str">
        <f t="shared" ref="AJ445" si="3172">CP$4</f>
        <v>0,0,0,0,5,0,0,0,0,5</v>
      </c>
      <c r="AK445" s="26" t="str">
        <f t="shared" ref="AK445" si="3173">CQ$4</f>
        <v>100,1,1000,2,5,200,1,1000,2,5</v>
      </c>
      <c r="AL445" s="26" t="str">
        <f t="shared" ref="AL445" si="3174">CR$4</f>
        <v>5,5,5,5,5,5,5,5,5,5</v>
      </c>
      <c r="AM445" s="7">
        <v>2001</v>
      </c>
      <c r="AO445">
        <f t="shared" ref="AO445" si="3175">AQ445*100+1</f>
        <v>5001</v>
      </c>
      <c r="AP445">
        <v>441</v>
      </c>
      <c r="AQ445">
        <f t="shared" si="2769"/>
        <v>50</v>
      </c>
      <c r="AR445">
        <v>9</v>
      </c>
      <c r="AS445" s="17">
        <f t="shared" si="2850"/>
        <v>285</v>
      </c>
      <c r="AT445">
        <v>8</v>
      </c>
      <c r="AU445">
        <f t="shared" si="2770"/>
        <v>30</v>
      </c>
      <c r="AV445">
        <v>150</v>
      </c>
      <c r="AW445">
        <f t="shared" si="2771"/>
        <v>57908.73599999999</v>
      </c>
      <c r="AX445">
        <f t="shared" si="2900"/>
        <v>314352000</v>
      </c>
      <c r="AY445">
        <f t="shared" si="2772"/>
        <v>5239.2</v>
      </c>
      <c r="AZ445">
        <f t="shared" si="2773"/>
        <v>10478.4</v>
      </c>
      <c r="BA445">
        <f t="shared" si="2774"/>
        <v>67968</v>
      </c>
      <c r="BB445">
        <f t="shared" si="2775"/>
        <v>2619.6</v>
      </c>
      <c r="BC445">
        <f t="shared" si="2901"/>
        <v>314352000</v>
      </c>
      <c r="BD445">
        <f t="shared" si="2776"/>
        <v>0.29411764705882354</v>
      </c>
      <c r="BE445" s="27">
        <f t="shared" si="2902"/>
        <v>293981110.21440005</v>
      </c>
      <c r="BF445" s="30">
        <f t="shared" si="2777"/>
        <v>0.42</v>
      </c>
      <c r="BG445" s="27"/>
      <c r="BH445" s="27"/>
      <c r="BI445" s="27"/>
      <c r="CA445" s="20">
        <f t="shared" si="2778"/>
        <v>345</v>
      </c>
      <c r="CB445" s="20">
        <f t="shared" si="2779"/>
        <v>34500</v>
      </c>
    </row>
    <row r="446" spans="1:80" x14ac:dyDescent="0.15">
      <c r="A446">
        <v>5002</v>
      </c>
      <c r="B446" s="3" t="s">
        <v>115</v>
      </c>
      <c r="C446" s="4" t="s">
        <v>109</v>
      </c>
      <c r="D446" s="6" t="s">
        <v>110</v>
      </c>
      <c r="E446" s="5">
        <v>3</v>
      </c>
      <c r="F446" s="7" t="s">
        <v>142</v>
      </c>
      <c r="G446" s="5">
        <v>3</v>
      </c>
      <c r="H446" s="7" t="s">
        <v>188</v>
      </c>
      <c r="I446" s="5">
        <v>0</v>
      </c>
      <c r="J446" s="5">
        <v>0</v>
      </c>
      <c r="K446">
        <v>2</v>
      </c>
      <c r="L446">
        <v>1.5</v>
      </c>
      <c r="M446" s="5">
        <v>1.5</v>
      </c>
      <c r="N446" s="5">
        <v>10</v>
      </c>
      <c r="O446" s="5">
        <f t="shared" si="2759"/>
        <v>58890</v>
      </c>
      <c r="P446" s="5">
        <f t="shared" si="2760"/>
        <v>319680000</v>
      </c>
      <c r="Q446" s="5">
        <f t="shared" si="2761"/>
        <v>5328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70021</v>
      </c>
      <c r="X446" s="6" t="s">
        <v>180</v>
      </c>
      <c r="Y446" s="5">
        <v>300</v>
      </c>
      <c r="Z446" s="5">
        <v>1</v>
      </c>
      <c r="AA446" s="5">
        <v>71954749</v>
      </c>
      <c r="AB446" s="16" t="s">
        <v>111</v>
      </c>
      <c r="AC446" s="7" t="s">
        <v>112</v>
      </c>
      <c r="AD446" s="7" t="s">
        <v>112</v>
      </c>
      <c r="AE446" s="7" t="s">
        <v>112</v>
      </c>
      <c r="AF446" s="6" t="s">
        <v>113</v>
      </c>
      <c r="AG446" s="26" t="str">
        <f t="shared" ref="AG446" si="3176">CM$5</f>
        <v>4,33,28,33,6,4,33,28,33,6</v>
      </c>
      <c r="AH446" s="26" t="str">
        <f t="shared" ref="AH446" si="3177">CN$5</f>
        <v>0,7,0,7,1,0,7,0,7,1</v>
      </c>
      <c r="AI446" s="26" t="str">
        <f t="shared" ref="AI446" si="3178">CO$5</f>
        <v>0,0,0,0,1,0,0,0,0,1</v>
      </c>
      <c r="AJ446" s="26" t="str">
        <f t="shared" ref="AJ446" si="3179">CP$5</f>
        <v>0,0,0,0,5,0,0,0,0,5</v>
      </c>
      <c r="AK446" s="26" t="str">
        <f t="shared" ref="AK446" si="3180">CQ$5</f>
        <v>100,1,1000,2,5,200,1,1000,2,5</v>
      </c>
      <c r="AL446" s="26" t="str">
        <f t="shared" ref="AL446" si="3181">CR$5</f>
        <v>5,5,5,5,5,5,5,5,5,5</v>
      </c>
      <c r="AM446" s="7">
        <v>2001</v>
      </c>
      <c r="AO446">
        <f t="shared" ref="AO446" si="3182">AQ446*100+2</f>
        <v>5002</v>
      </c>
      <c r="AP446">
        <v>442</v>
      </c>
      <c r="AQ446">
        <f t="shared" si="2769"/>
        <v>50</v>
      </c>
      <c r="AR446">
        <v>9</v>
      </c>
      <c r="AS446" s="17">
        <f t="shared" si="2850"/>
        <v>290</v>
      </c>
      <c r="AT446">
        <v>8</v>
      </c>
      <c r="AU446">
        <f t="shared" si="2770"/>
        <v>30</v>
      </c>
      <c r="AV446">
        <v>150</v>
      </c>
      <c r="AW446">
        <f t="shared" si="2771"/>
        <v>58890.239999999998</v>
      </c>
      <c r="AX446">
        <f t="shared" si="2900"/>
        <v>319680000</v>
      </c>
      <c r="AY446">
        <f t="shared" si="2772"/>
        <v>5328</v>
      </c>
      <c r="AZ446">
        <f t="shared" si="2773"/>
        <v>10656</v>
      </c>
      <c r="BA446">
        <f t="shared" si="2774"/>
        <v>69120</v>
      </c>
      <c r="BB446">
        <f t="shared" si="2775"/>
        <v>2664</v>
      </c>
      <c r="BC446">
        <f t="shared" si="2901"/>
        <v>319680000</v>
      </c>
      <c r="BD446">
        <f t="shared" si="2776"/>
        <v>0.29411764705882354</v>
      </c>
      <c r="BE446" s="27">
        <f t="shared" si="2902"/>
        <v>304031024.6400001</v>
      </c>
      <c r="BF446" s="30">
        <f t="shared" si="2777"/>
        <v>0.42</v>
      </c>
      <c r="BG446" s="27"/>
      <c r="BH446" s="27"/>
      <c r="BI446" s="27"/>
      <c r="CA446" s="20">
        <f t="shared" si="2778"/>
        <v>345</v>
      </c>
      <c r="CB446" s="20">
        <f t="shared" si="2779"/>
        <v>34500</v>
      </c>
    </row>
    <row r="447" spans="1:80" x14ac:dyDescent="0.15">
      <c r="A447">
        <v>5003</v>
      </c>
      <c r="B447" s="3" t="s">
        <v>117</v>
      </c>
      <c r="C447" s="4" t="s">
        <v>109</v>
      </c>
      <c r="D447" s="4" t="s">
        <v>110</v>
      </c>
      <c r="E447" s="5">
        <v>1</v>
      </c>
      <c r="F447" s="7" t="s">
        <v>144</v>
      </c>
      <c r="G447" s="5">
        <v>3</v>
      </c>
      <c r="H447" s="7" t="s">
        <v>189</v>
      </c>
      <c r="I447" s="5">
        <v>0</v>
      </c>
      <c r="J447" s="2">
        <v>0</v>
      </c>
      <c r="K447">
        <v>6</v>
      </c>
      <c r="L447">
        <v>1.5</v>
      </c>
      <c r="M447" s="5">
        <v>1.5</v>
      </c>
      <c r="N447" s="5">
        <v>10</v>
      </c>
      <c r="O447" s="5">
        <f t="shared" si="2759"/>
        <v>59871</v>
      </c>
      <c r="P447" s="5">
        <f t="shared" si="2760"/>
        <v>325008000</v>
      </c>
      <c r="Q447" s="5">
        <f t="shared" si="2761"/>
        <v>5416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70031</v>
      </c>
      <c r="X447" s="6" t="s">
        <v>181</v>
      </c>
      <c r="Y447" s="5">
        <v>300</v>
      </c>
      <c r="Z447" s="5">
        <v>1</v>
      </c>
      <c r="AA447" s="5">
        <v>74644416</v>
      </c>
      <c r="AB447" s="16" t="s">
        <v>111</v>
      </c>
      <c r="AC447" s="7" t="s">
        <v>112</v>
      </c>
      <c r="AD447" s="7" t="s">
        <v>112</v>
      </c>
      <c r="AE447" s="7" t="s">
        <v>112</v>
      </c>
      <c r="AF447" s="6" t="s">
        <v>113</v>
      </c>
      <c r="AG447" s="26" t="str">
        <f t="shared" ref="AG447" si="3183">CM$6</f>
        <v>4,28,6,28,6,4,28,6,28,6</v>
      </c>
      <c r="AH447" s="26" t="str">
        <f t="shared" ref="AH447" si="3184">CN$6</f>
        <v>0,0,1,0,1,0,0,1,0,1</v>
      </c>
      <c r="AI447" s="26" t="str">
        <f t="shared" ref="AI447" si="3185">CO$6</f>
        <v>0,0,0,0,1,0,0,0,0,1</v>
      </c>
      <c r="AJ447" s="26" t="str">
        <f t="shared" ref="AJ447" si="3186">CP$6</f>
        <v>0,0,5,0,5,0,0,5,0,5</v>
      </c>
      <c r="AK447" s="26" t="str">
        <f t="shared" ref="AK447" si="3187">CQ$6</f>
        <v>100,1000,5,1500,5,200,1000,5,1500,5</v>
      </c>
      <c r="AL447" s="26" t="str">
        <f t="shared" ref="AL447" si="3188">CR$6</f>
        <v>5,5,5,5,5,5,5,5,5,5</v>
      </c>
      <c r="AM447" s="7">
        <v>2001</v>
      </c>
      <c r="AO447">
        <f t="shared" ref="AO447" si="3189">AQ447*100+3</f>
        <v>5003</v>
      </c>
      <c r="AP447">
        <v>443</v>
      </c>
      <c r="AQ447">
        <f t="shared" si="2769"/>
        <v>50</v>
      </c>
      <c r="AR447">
        <v>9</v>
      </c>
      <c r="AS447" s="17">
        <f t="shared" si="2850"/>
        <v>295</v>
      </c>
      <c r="AT447">
        <v>8</v>
      </c>
      <c r="AU447">
        <f t="shared" si="2770"/>
        <v>30</v>
      </c>
      <c r="AV447">
        <v>150</v>
      </c>
      <c r="AW447">
        <f t="shared" si="2771"/>
        <v>59871.743999999992</v>
      </c>
      <c r="AX447">
        <f t="shared" si="2900"/>
        <v>325008000</v>
      </c>
      <c r="AY447">
        <f t="shared" si="2772"/>
        <v>5416.8</v>
      </c>
      <c r="AZ447">
        <f t="shared" si="2773"/>
        <v>10833.6</v>
      </c>
      <c r="BA447">
        <f t="shared" si="2774"/>
        <v>70272</v>
      </c>
      <c r="BB447">
        <f t="shared" si="2775"/>
        <v>2708.4</v>
      </c>
      <c r="BC447">
        <f t="shared" si="2901"/>
        <v>325008000</v>
      </c>
      <c r="BD447">
        <f t="shared" si="2776"/>
        <v>0.29411764705882348</v>
      </c>
      <c r="BE447" s="27">
        <f t="shared" si="2902"/>
        <v>314249845.19039994</v>
      </c>
      <c r="BF447" s="30">
        <f t="shared" si="2777"/>
        <v>0.42</v>
      </c>
      <c r="BG447" s="27"/>
      <c r="BH447" s="27"/>
      <c r="BI447" s="27"/>
      <c r="CA447" s="20">
        <f t="shared" si="2778"/>
        <v>345</v>
      </c>
      <c r="CB447" s="20">
        <f t="shared" si="2779"/>
        <v>34500</v>
      </c>
    </row>
    <row r="448" spans="1:80" x14ac:dyDescent="0.15">
      <c r="A448">
        <v>5004</v>
      </c>
      <c r="B448" s="3" t="s">
        <v>119</v>
      </c>
      <c r="C448" s="4" t="s">
        <v>109</v>
      </c>
      <c r="D448" s="6" t="s">
        <v>120</v>
      </c>
      <c r="E448" s="5">
        <v>3</v>
      </c>
      <c r="F448" s="7" t="s">
        <v>145</v>
      </c>
      <c r="G448" s="5">
        <v>3</v>
      </c>
      <c r="H448" s="7" t="s">
        <v>190</v>
      </c>
      <c r="I448" s="5">
        <v>0</v>
      </c>
      <c r="J448" s="5">
        <v>0</v>
      </c>
      <c r="K448">
        <v>2</v>
      </c>
      <c r="L448">
        <v>1.5</v>
      </c>
      <c r="M448" s="5">
        <v>1.5</v>
      </c>
      <c r="N448" s="5">
        <v>10</v>
      </c>
      <c r="O448" s="5">
        <f t="shared" si="2759"/>
        <v>60853</v>
      </c>
      <c r="P448" s="5">
        <f t="shared" si="2760"/>
        <v>330336000</v>
      </c>
      <c r="Q448" s="5">
        <f t="shared" si="2761"/>
        <v>5505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70041</v>
      </c>
      <c r="X448" s="6" t="s">
        <v>182</v>
      </c>
      <c r="Y448" s="5">
        <v>300</v>
      </c>
      <c r="Z448" s="5">
        <v>1</v>
      </c>
      <c r="AA448" s="5">
        <v>77383434</v>
      </c>
      <c r="AB448" s="16" t="s">
        <v>111</v>
      </c>
      <c r="AC448" s="7" t="s">
        <v>112</v>
      </c>
      <c r="AD448" s="7" t="s">
        <v>112</v>
      </c>
      <c r="AE448" s="7" t="s">
        <v>112</v>
      </c>
      <c r="AF448" s="6" t="s">
        <v>113</v>
      </c>
      <c r="AG448" s="26" t="str">
        <f t="shared" ref="AG448" si="3190">CM$7</f>
        <v>4,14,28,14,6,4,14,28,14,6</v>
      </c>
      <c r="AH448" s="26" t="str">
        <f t="shared" ref="AH448" si="3191">CN$7</f>
        <v>0,0,0,0,1,0,0,0,0,1</v>
      </c>
      <c r="AI448" s="26" t="str">
        <f t="shared" ref="AI448" si="3192">CO$7</f>
        <v>0,0,0,0,1,0,0,0,0,1</v>
      </c>
      <c r="AJ448" s="26" t="str">
        <f t="shared" ref="AJ448" si="3193">CP$7</f>
        <v>0,0,0,0,5,0,0,0,0,5</v>
      </c>
      <c r="AK448" s="26" t="str">
        <f t="shared" ref="AK448" si="3194">CQ$7</f>
        <v>100,1,1000,2,5,200,1,1000,2,5</v>
      </c>
      <c r="AL448" s="26" t="str">
        <f t="shared" ref="AL448" si="3195">CR$7</f>
        <v>5,5,5,5,5,5,5,5,5,5</v>
      </c>
      <c r="AM448" s="7">
        <v>2001</v>
      </c>
      <c r="AO448">
        <f t="shared" ref="AO448" si="3196">AQ448*100+4</f>
        <v>5004</v>
      </c>
      <c r="AP448">
        <v>444</v>
      </c>
      <c r="AQ448">
        <f t="shared" si="2769"/>
        <v>50</v>
      </c>
      <c r="AR448">
        <v>9</v>
      </c>
      <c r="AS448" s="17">
        <f t="shared" si="2850"/>
        <v>300</v>
      </c>
      <c r="AT448">
        <v>8</v>
      </c>
      <c r="AU448">
        <f t="shared" si="2770"/>
        <v>30</v>
      </c>
      <c r="AV448">
        <v>150</v>
      </c>
      <c r="AW448">
        <f t="shared" si="2771"/>
        <v>60853.248</v>
      </c>
      <c r="AX448">
        <f t="shared" si="2900"/>
        <v>330336000</v>
      </c>
      <c r="AY448">
        <f t="shared" si="2772"/>
        <v>5505.6</v>
      </c>
      <c r="AZ448">
        <f t="shared" si="2773"/>
        <v>11011.2</v>
      </c>
      <c r="BA448">
        <f t="shared" si="2774"/>
        <v>71424</v>
      </c>
      <c r="BB448">
        <f t="shared" si="2775"/>
        <v>2752.8</v>
      </c>
      <c r="BC448">
        <f t="shared" si="2901"/>
        <v>330336000</v>
      </c>
      <c r="BD448">
        <f t="shared" si="2776"/>
        <v>0.29411764705882348</v>
      </c>
      <c r="BE448" s="27">
        <f t="shared" si="2902"/>
        <v>324637571.86560005</v>
      </c>
      <c r="BF448" s="30">
        <f t="shared" si="2777"/>
        <v>0.42</v>
      </c>
      <c r="BG448" s="27"/>
      <c r="BH448" s="27"/>
      <c r="BI448" s="27"/>
      <c r="CA448" s="20">
        <f t="shared" si="2778"/>
        <v>345</v>
      </c>
      <c r="CB448" s="20">
        <f t="shared" si="2779"/>
        <v>34500</v>
      </c>
    </row>
    <row r="449" spans="1:80" x14ac:dyDescent="0.15">
      <c r="A449">
        <v>5005</v>
      </c>
      <c r="B449" s="3" t="s">
        <v>122</v>
      </c>
      <c r="C449" s="4" t="s">
        <v>109</v>
      </c>
      <c r="D449" s="4" t="s">
        <v>110</v>
      </c>
      <c r="E449" s="5">
        <v>2</v>
      </c>
      <c r="F449" s="7" t="s">
        <v>146</v>
      </c>
      <c r="G449" s="5">
        <v>3</v>
      </c>
      <c r="H449" s="7" t="s">
        <v>191</v>
      </c>
      <c r="I449" s="5">
        <v>0</v>
      </c>
      <c r="J449" s="7" t="s">
        <v>148</v>
      </c>
      <c r="K449">
        <v>6</v>
      </c>
      <c r="L449">
        <v>1.5</v>
      </c>
      <c r="M449" s="5">
        <v>1.5</v>
      </c>
      <c r="N449" s="5">
        <v>10</v>
      </c>
      <c r="O449" s="5">
        <f t="shared" si="2759"/>
        <v>61834</v>
      </c>
      <c r="P449" s="5">
        <f t="shared" si="2760"/>
        <v>335664000</v>
      </c>
      <c r="Q449" s="5">
        <f t="shared" si="2761"/>
        <v>5594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70051</v>
      </c>
      <c r="X449" s="6" t="s">
        <v>183</v>
      </c>
      <c r="Y449" s="5">
        <v>300</v>
      </c>
      <c r="Z449" s="5">
        <v>1</v>
      </c>
      <c r="AA449" s="5">
        <v>80171804</v>
      </c>
      <c r="AB449" s="16" t="s">
        <v>111</v>
      </c>
      <c r="AC449" s="7" t="s">
        <v>112</v>
      </c>
      <c r="AD449" s="7" t="s">
        <v>112</v>
      </c>
      <c r="AE449" s="7" t="s">
        <v>112</v>
      </c>
      <c r="AF449" s="6" t="s">
        <v>113</v>
      </c>
      <c r="AG449" s="26" t="str">
        <f t="shared" ref="AG449" si="3197">CM$8</f>
        <v>4,19,28,19,6,4,19,28,19,6</v>
      </c>
      <c r="AH449" s="26" t="str">
        <f t="shared" ref="AH449" si="3198">CN$8</f>
        <v>0,0,0,0,1,0,0,0,0,1</v>
      </c>
      <c r="AI449" s="26" t="str">
        <f t="shared" ref="AI449" si="3199">CO$8</f>
        <v>0,0,0,0,1,0,0,0,0,1</v>
      </c>
      <c r="AJ449" s="26" t="str">
        <f t="shared" ref="AJ449" si="3200">CP$8</f>
        <v>0,0,0,0,5,0,0,0,0,5</v>
      </c>
      <c r="AK449" s="26" t="str">
        <f t="shared" ref="AK449" si="3201">CQ$8</f>
        <v>200,100,1000,200,5,200,100,1000,200,5</v>
      </c>
      <c r="AL449" s="26" t="str">
        <f t="shared" ref="AL449" si="3202">CR$8</f>
        <v>5,5,5,5,5,5,5,5,5,5</v>
      </c>
      <c r="AM449" s="7">
        <v>2001</v>
      </c>
      <c r="AO449">
        <f t="shared" ref="AO449" si="3203">AQ449*100+5</f>
        <v>5005</v>
      </c>
      <c r="AP449">
        <v>445</v>
      </c>
      <c r="AQ449">
        <f t="shared" si="2769"/>
        <v>50</v>
      </c>
      <c r="AR449">
        <v>9</v>
      </c>
      <c r="AS449" s="17">
        <f t="shared" si="2850"/>
        <v>305</v>
      </c>
      <c r="AT449">
        <v>8</v>
      </c>
      <c r="AU449">
        <f t="shared" si="2770"/>
        <v>30</v>
      </c>
      <c r="AV449">
        <v>150</v>
      </c>
      <c r="AW449">
        <f t="shared" si="2771"/>
        <v>61834.751999999993</v>
      </c>
      <c r="AX449">
        <f t="shared" si="2900"/>
        <v>335664000.00000006</v>
      </c>
      <c r="AY449">
        <f t="shared" si="2772"/>
        <v>5594.4000000000005</v>
      </c>
      <c r="AZ449">
        <f t="shared" si="2773"/>
        <v>11188.800000000001</v>
      </c>
      <c r="BA449">
        <f t="shared" si="2774"/>
        <v>72576</v>
      </c>
      <c r="BB449">
        <f t="shared" si="2775"/>
        <v>2797.2000000000003</v>
      </c>
      <c r="BC449">
        <f t="shared" si="2901"/>
        <v>335664000.00000006</v>
      </c>
      <c r="BD449">
        <f t="shared" si="2776"/>
        <v>0.29411764705882354</v>
      </c>
      <c r="BE449" s="27">
        <f t="shared" si="2902"/>
        <v>335194204.66560018</v>
      </c>
      <c r="BF449" s="30">
        <f t="shared" si="2777"/>
        <v>0.42</v>
      </c>
      <c r="BG449" s="27"/>
      <c r="BH449" s="27"/>
      <c r="BI449" s="27"/>
      <c r="CA449" s="20">
        <f t="shared" si="2778"/>
        <v>345</v>
      </c>
      <c r="CB449" s="20">
        <f t="shared" si="2779"/>
        <v>34500</v>
      </c>
    </row>
    <row r="450" spans="1:80" x14ac:dyDescent="0.15">
      <c r="A450">
        <v>5006</v>
      </c>
      <c r="B450" s="3" t="s">
        <v>124</v>
      </c>
      <c r="C450" s="4" t="s">
        <v>109</v>
      </c>
      <c r="D450" s="6" t="s">
        <v>120</v>
      </c>
      <c r="E450" s="5">
        <v>1</v>
      </c>
      <c r="F450" s="7" t="s">
        <v>147</v>
      </c>
      <c r="G450" s="5">
        <v>3</v>
      </c>
      <c r="H450" s="7" t="s">
        <v>192</v>
      </c>
      <c r="I450" s="5">
        <v>0</v>
      </c>
      <c r="J450" s="7" t="s">
        <v>149</v>
      </c>
      <c r="K450">
        <v>6</v>
      </c>
      <c r="L450">
        <v>1.5</v>
      </c>
      <c r="M450" s="5">
        <v>1.5</v>
      </c>
      <c r="N450" s="5">
        <v>10</v>
      </c>
      <c r="O450" s="5">
        <f t="shared" si="2759"/>
        <v>62816</v>
      </c>
      <c r="P450" s="5">
        <f t="shared" si="2760"/>
        <v>340992000</v>
      </c>
      <c r="Q450" s="5">
        <f t="shared" si="2761"/>
        <v>5683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70061</v>
      </c>
      <c r="X450" s="6" t="s">
        <v>184</v>
      </c>
      <c r="Y450" s="5">
        <v>300</v>
      </c>
      <c r="Z450" s="5">
        <v>1</v>
      </c>
      <c r="AA450" s="5">
        <v>83009526</v>
      </c>
      <c r="AB450" s="16" t="s">
        <v>111</v>
      </c>
      <c r="AC450" s="7" t="s">
        <v>112</v>
      </c>
      <c r="AD450" s="7" t="s">
        <v>112</v>
      </c>
      <c r="AE450" s="7" t="s">
        <v>112</v>
      </c>
      <c r="AF450" s="6" t="s">
        <v>113</v>
      </c>
      <c r="AG450" s="26" t="str">
        <f t="shared" ref="AG450" si="3204">CM$9</f>
        <v>4,33,28,33,6,4,33,28,33,6</v>
      </c>
      <c r="AH450" s="26" t="str">
        <f t="shared" ref="AH450" si="3205">CN$9</f>
        <v>0,6,0,6,1,0,6,0,6,1</v>
      </c>
      <c r="AI450" s="26" t="str">
        <f t="shared" ref="AI450" si="3206">CO$9</f>
        <v>0,0,0,0,1,0,0,0,0,1</v>
      </c>
      <c r="AJ450" s="26" t="str">
        <f t="shared" ref="AJ450" si="3207">CP$9</f>
        <v>0,0,0,0,5,0,0,0,0,5</v>
      </c>
      <c r="AK450" s="26" t="str">
        <f t="shared" ref="AK450" si="3208">CQ$9</f>
        <v>200,1,1000,2,5,200,1,1000,2,5</v>
      </c>
      <c r="AL450" s="26" t="str">
        <f t="shared" ref="AL450" si="3209">CR$9</f>
        <v>5,5,5,5,5,5,5,5,5,5</v>
      </c>
      <c r="AM450" s="7">
        <v>2001</v>
      </c>
      <c r="AO450">
        <f t="shared" ref="AO450" si="3210">AQ450*100+6</f>
        <v>5006</v>
      </c>
      <c r="AP450">
        <v>446</v>
      </c>
      <c r="AQ450">
        <f t="shared" si="2769"/>
        <v>50</v>
      </c>
      <c r="AR450">
        <v>9</v>
      </c>
      <c r="AS450" s="17">
        <f t="shared" si="2850"/>
        <v>310</v>
      </c>
      <c r="AT450">
        <v>8</v>
      </c>
      <c r="AU450">
        <f t="shared" si="2770"/>
        <v>30</v>
      </c>
      <c r="AV450">
        <v>150</v>
      </c>
      <c r="AW450">
        <f t="shared" si="2771"/>
        <v>62816.255999999994</v>
      </c>
      <c r="AX450">
        <f t="shared" si="2900"/>
        <v>340992000.00000006</v>
      </c>
      <c r="AY450">
        <f t="shared" si="2772"/>
        <v>5683.2000000000007</v>
      </c>
      <c r="AZ450">
        <f t="shared" si="2773"/>
        <v>11366.400000000001</v>
      </c>
      <c r="BA450">
        <f t="shared" si="2774"/>
        <v>73728</v>
      </c>
      <c r="BB450">
        <f t="shared" si="2775"/>
        <v>2841.6000000000004</v>
      </c>
      <c r="BC450">
        <f t="shared" si="2901"/>
        <v>340992000.00000006</v>
      </c>
      <c r="BD450">
        <f t="shared" si="2776"/>
        <v>0.29411764705882354</v>
      </c>
      <c r="BE450" s="27">
        <f t="shared" si="2902"/>
        <v>345919743.59040016</v>
      </c>
      <c r="BF450" s="30">
        <f t="shared" si="2777"/>
        <v>0.42</v>
      </c>
      <c r="BG450" s="27"/>
      <c r="BH450" s="27"/>
      <c r="BI450" s="27"/>
      <c r="CA450" s="20">
        <f t="shared" si="2778"/>
        <v>345</v>
      </c>
      <c r="CB450" s="20">
        <f t="shared" si="2779"/>
        <v>34500</v>
      </c>
    </row>
    <row r="451" spans="1:80" x14ac:dyDescent="0.15">
      <c r="A451">
        <v>5007</v>
      </c>
      <c r="B451" s="3" t="s">
        <v>126</v>
      </c>
      <c r="C451" s="4" t="s">
        <v>109</v>
      </c>
      <c r="D451" s="4" t="s">
        <v>110</v>
      </c>
      <c r="E451" s="5">
        <v>2</v>
      </c>
      <c r="F451" s="7" t="s">
        <v>143</v>
      </c>
      <c r="G451" s="5">
        <v>3</v>
      </c>
      <c r="H451" s="7" t="s">
        <v>193</v>
      </c>
      <c r="I451" s="5">
        <v>0</v>
      </c>
      <c r="J451" s="5">
        <v>0</v>
      </c>
      <c r="K451">
        <v>2</v>
      </c>
      <c r="L451">
        <v>1.5</v>
      </c>
      <c r="M451" s="5">
        <v>1.5</v>
      </c>
      <c r="N451" s="5">
        <v>10</v>
      </c>
      <c r="O451" s="5">
        <f t="shared" si="2759"/>
        <v>63797</v>
      </c>
      <c r="P451" s="5">
        <f t="shared" si="2760"/>
        <v>346320000</v>
      </c>
      <c r="Q451" s="5">
        <f t="shared" si="2761"/>
        <v>5772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70071</v>
      </c>
      <c r="X451" s="6" t="s">
        <v>185</v>
      </c>
      <c r="Y451" s="5">
        <v>300</v>
      </c>
      <c r="Z451" s="5">
        <v>1</v>
      </c>
      <c r="AA451" s="5">
        <v>85896599</v>
      </c>
      <c r="AB451" s="16" t="s">
        <v>111</v>
      </c>
      <c r="AC451" s="7" t="s">
        <v>112</v>
      </c>
      <c r="AD451" s="7" t="s">
        <v>112</v>
      </c>
      <c r="AE451" s="7" t="s">
        <v>112</v>
      </c>
      <c r="AF451" s="6" t="s">
        <v>113</v>
      </c>
      <c r="AG451" s="26" t="str">
        <f t="shared" ref="AG451" si="3211">CM$10</f>
        <v>4,14,28,14,6,4,14,28,14,6</v>
      </c>
      <c r="AH451" s="26" t="str">
        <f t="shared" ref="AH451" si="3212">CN$10</f>
        <v>0,0,0,0,1,0,0,0,0,1</v>
      </c>
      <c r="AI451" s="26" t="str">
        <f t="shared" ref="AI451" si="3213">CO$10</f>
        <v>0,0,0,0,1,0,0,0,0,1</v>
      </c>
      <c r="AJ451" s="26" t="str">
        <f t="shared" ref="AJ451" si="3214">CP$10</f>
        <v>0,0,0,0,5,0,0,0,0,5</v>
      </c>
      <c r="AK451" s="26" t="str">
        <f t="shared" ref="AK451" si="3215">CQ$10</f>
        <v>200,1,1000,2,5,200,1,1000,2,5</v>
      </c>
      <c r="AL451" s="26" t="str">
        <f t="shared" ref="AL451" si="3216">CR$10</f>
        <v>5,5,5,5,5,5,5,5,5,5</v>
      </c>
      <c r="AM451" s="7">
        <v>2001</v>
      </c>
      <c r="AO451">
        <f t="shared" ref="AO451" si="3217">AQ451*100+7</f>
        <v>5007</v>
      </c>
      <c r="AP451">
        <v>447</v>
      </c>
      <c r="AQ451">
        <f t="shared" si="2769"/>
        <v>50</v>
      </c>
      <c r="AR451">
        <v>9</v>
      </c>
      <c r="AS451" s="17">
        <f t="shared" si="2850"/>
        <v>315</v>
      </c>
      <c r="AT451">
        <v>8</v>
      </c>
      <c r="AU451">
        <f t="shared" si="2770"/>
        <v>30</v>
      </c>
      <c r="AV451">
        <v>150</v>
      </c>
      <c r="AW451">
        <f t="shared" si="2771"/>
        <v>63797.759999999995</v>
      </c>
      <c r="AX451">
        <f t="shared" si="2900"/>
        <v>346320000</v>
      </c>
      <c r="AY451">
        <f t="shared" si="2772"/>
        <v>5772</v>
      </c>
      <c r="AZ451">
        <f t="shared" si="2773"/>
        <v>11544</v>
      </c>
      <c r="BA451">
        <f t="shared" si="2774"/>
        <v>74880</v>
      </c>
      <c r="BB451">
        <f t="shared" si="2775"/>
        <v>2886</v>
      </c>
      <c r="BC451">
        <f t="shared" si="2901"/>
        <v>346320000</v>
      </c>
      <c r="BD451">
        <f t="shared" si="2776"/>
        <v>0.29411764705882354</v>
      </c>
      <c r="BE451" s="27">
        <f t="shared" si="2902"/>
        <v>356814188.6400001</v>
      </c>
      <c r="BF451" s="30">
        <f t="shared" si="2777"/>
        <v>0.42</v>
      </c>
      <c r="BG451" s="27"/>
      <c r="BH451" s="27"/>
      <c r="BI451" s="27"/>
      <c r="CA451" s="20">
        <f t="shared" si="2778"/>
        <v>345</v>
      </c>
      <c r="CB451" s="20">
        <f t="shared" si="2779"/>
        <v>34500</v>
      </c>
    </row>
    <row r="452" spans="1:80" x14ac:dyDescent="0.15">
      <c r="A452">
        <v>5008</v>
      </c>
      <c r="B452" s="3" t="s">
        <v>128</v>
      </c>
      <c r="C452" s="4" t="s">
        <v>109</v>
      </c>
      <c r="D452" s="4" t="s">
        <v>110</v>
      </c>
      <c r="E452" s="5">
        <v>5</v>
      </c>
      <c r="F452" s="7" t="s">
        <v>129</v>
      </c>
      <c r="G452" s="5">
        <v>2</v>
      </c>
      <c r="H452" s="7" t="s">
        <v>130</v>
      </c>
      <c r="I452" s="5">
        <v>0</v>
      </c>
      <c r="J452" s="5">
        <v>0</v>
      </c>
      <c r="K452">
        <v>2</v>
      </c>
      <c r="L452">
        <v>1.5</v>
      </c>
      <c r="M452" s="5">
        <v>1.5</v>
      </c>
      <c r="N452" s="5">
        <v>10</v>
      </c>
      <c r="O452" s="5">
        <f t="shared" si="2759"/>
        <v>64779</v>
      </c>
      <c r="P452" s="5">
        <f t="shared" si="2760"/>
        <v>351648000</v>
      </c>
      <c r="Q452" s="5">
        <f t="shared" si="2761"/>
        <v>5860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70081</v>
      </c>
      <c r="X452" s="6" t="s">
        <v>186</v>
      </c>
      <c r="Y452" s="5">
        <v>300</v>
      </c>
      <c r="Z452" s="5">
        <v>1</v>
      </c>
      <c r="AA452" s="5">
        <v>88833024</v>
      </c>
      <c r="AB452" s="16" t="s">
        <v>111</v>
      </c>
      <c r="AC452" s="7" t="s">
        <v>112</v>
      </c>
      <c r="AD452" s="7" t="s">
        <v>112</v>
      </c>
      <c r="AE452" s="7" t="s">
        <v>112</v>
      </c>
      <c r="AF452" s="6" t="s">
        <v>113</v>
      </c>
      <c r="AG452" s="26" t="str">
        <f t="shared" ref="AG452" si="3218">CM$11</f>
        <v>4,28,6,28,6,4,28,6,28,6</v>
      </c>
      <c r="AH452" s="26" t="str">
        <f t="shared" ref="AH452" si="3219">CN$11</f>
        <v>0,0,1,0,1,0,0,1,0,1</v>
      </c>
      <c r="AI452" s="26" t="str">
        <f t="shared" ref="AI452" si="3220">CO$11</f>
        <v>0,0,1,0,1,0,0,1,0,1</v>
      </c>
      <c r="AJ452" s="26" t="str">
        <f t="shared" ref="AJ452" si="3221">CP$11</f>
        <v>0,0,5,0,5,0,0,5,0,5</v>
      </c>
      <c r="AK452" s="26" t="str">
        <f t="shared" ref="AK452" si="3222">CQ$11</f>
        <v>100,1000,5,1500,5,200,1000,5,1500,5</v>
      </c>
      <c r="AL452" s="26" t="str">
        <f t="shared" ref="AL452" si="3223">CR$11</f>
        <v>5,5,5,5,5,5,5,5,5,5</v>
      </c>
      <c r="AM452" s="7">
        <v>2001</v>
      </c>
      <c r="AO452">
        <f t="shared" ref="AO452" si="3224">AQ452*100+8</f>
        <v>5008</v>
      </c>
      <c r="AP452">
        <v>448</v>
      </c>
      <c r="AQ452">
        <f t="shared" si="2769"/>
        <v>50</v>
      </c>
      <c r="AR452">
        <v>9</v>
      </c>
      <c r="AS452" s="17">
        <f t="shared" si="2850"/>
        <v>320</v>
      </c>
      <c r="AT452">
        <v>8</v>
      </c>
      <c r="AU452">
        <f t="shared" si="2770"/>
        <v>30</v>
      </c>
      <c r="AV452">
        <v>150</v>
      </c>
      <c r="AW452">
        <f t="shared" si="2771"/>
        <v>64779.263999999996</v>
      </c>
      <c r="AX452">
        <f t="shared" si="2900"/>
        <v>351648000</v>
      </c>
      <c r="AY452">
        <f t="shared" si="2772"/>
        <v>5860.8</v>
      </c>
      <c r="AZ452">
        <f t="shared" si="2773"/>
        <v>11721.6</v>
      </c>
      <c r="BA452">
        <f t="shared" si="2774"/>
        <v>76032</v>
      </c>
      <c r="BB452">
        <f t="shared" si="2775"/>
        <v>2930.4</v>
      </c>
      <c r="BC452">
        <f t="shared" si="2901"/>
        <v>351648000</v>
      </c>
      <c r="BD452">
        <f t="shared" si="2776"/>
        <v>0.29411764705882348</v>
      </c>
      <c r="BE452" s="27">
        <f t="shared" si="2902"/>
        <v>367877539.81440002</v>
      </c>
      <c r="BF452" s="30">
        <f t="shared" si="2777"/>
        <v>0.42</v>
      </c>
      <c r="BG452" s="27"/>
      <c r="BH452" s="27"/>
      <c r="BI452" s="27"/>
      <c r="CA452" s="20">
        <f t="shared" si="2778"/>
        <v>345</v>
      </c>
      <c r="CB452" s="20">
        <f t="shared" si="2779"/>
        <v>34500</v>
      </c>
    </row>
    <row r="453" spans="1:80" x14ac:dyDescent="0.15">
      <c r="A453">
        <v>5009</v>
      </c>
      <c r="B453" s="3" t="s">
        <v>132</v>
      </c>
      <c r="C453" s="4" t="s">
        <v>109</v>
      </c>
      <c r="D453" s="4" t="s">
        <v>110</v>
      </c>
      <c r="E453" s="5">
        <v>5</v>
      </c>
      <c r="F453" s="7" t="s">
        <v>140</v>
      </c>
      <c r="G453" s="5">
        <v>3</v>
      </c>
      <c r="H453" s="7" t="s">
        <v>140</v>
      </c>
      <c r="I453" s="5">
        <v>0</v>
      </c>
      <c r="J453" s="7">
        <v>0</v>
      </c>
      <c r="K453">
        <v>6</v>
      </c>
      <c r="L453">
        <v>1.5</v>
      </c>
      <c r="M453" s="5">
        <v>1.5</v>
      </c>
      <c r="N453" s="5">
        <v>10</v>
      </c>
      <c r="O453" s="5">
        <f t="shared" ref="O453:O516" si="3225">FLOOR(AW453,1)</f>
        <v>65760</v>
      </c>
      <c r="P453" s="5">
        <f t="shared" ref="P453:P516" si="3226">FLOOR(BC453,1)</f>
        <v>356976000</v>
      </c>
      <c r="Q453" s="5">
        <f t="shared" ref="Q453:Q516" si="3227">FLOOR(AY453,1)</f>
        <v>5949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70091</v>
      </c>
      <c r="X453" s="6" t="s">
        <v>187</v>
      </c>
      <c r="Y453" s="5">
        <v>300</v>
      </c>
      <c r="Z453" s="5">
        <v>1</v>
      </c>
      <c r="AA453" s="5">
        <v>91818801</v>
      </c>
      <c r="AB453" s="16" t="s">
        <v>111</v>
      </c>
      <c r="AC453" s="7" t="s">
        <v>112</v>
      </c>
      <c r="AD453" s="7" t="s">
        <v>112</v>
      </c>
      <c r="AE453" s="7" t="s">
        <v>112</v>
      </c>
      <c r="AF453" s="6" t="s">
        <v>113</v>
      </c>
      <c r="AG453" s="26" t="str">
        <f t="shared" ref="AG453" si="3228">CM$12</f>
        <v>4,33,28,33,6,4,33,28,33,6</v>
      </c>
      <c r="AH453" s="26" t="str">
        <f t="shared" ref="AH453" si="3229">CN$12</f>
        <v>0,5,0,5,1,0,5,0,5,1</v>
      </c>
      <c r="AI453" s="26" t="str">
        <f t="shared" ref="AI453" si="3230">CO$12</f>
        <v>0,0,0,0,1,0,0,0,0,1</v>
      </c>
      <c r="AJ453" s="26" t="str">
        <f t="shared" ref="AJ453" si="3231">CP$12</f>
        <v>0,0,0,0,5,0,0,0,0,5</v>
      </c>
      <c r="AK453" s="26" t="str">
        <f t="shared" ref="AK453" si="3232">CQ$12</f>
        <v>100,1,1000,2,5,200,1,1000,2,5</v>
      </c>
      <c r="AL453" s="26" t="str">
        <f t="shared" ref="AL453" si="3233">CR$12</f>
        <v>5,5,5,5,5,5,5,5,5,5</v>
      </c>
      <c r="AM453" s="7">
        <v>2001</v>
      </c>
      <c r="AO453">
        <f t="shared" ref="AO453" si="3234">AQ453*100+9</f>
        <v>5009</v>
      </c>
      <c r="AP453">
        <v>449</v>
      </c>
      <c r="AQ453">
        <f t="shared" ref="AQ453:AQ516" si="3235">FLOOR(AP453/9+1,1)</f>
        <v>50</v>
      </c>
      <c r="AR453">
        <v>9</v>
      </c>
      <c r="AS453" s="17">
        <f t="shared" si="2850"/>
        <v>325</v>
      </c>
      <c r="AT453">
        <v>8</v>
      </c>
      <c r="AU453">
        <f t="shared" ref="AU453:AU516" si="3236">20+FLOOR(AQ453/10,1)*2</f>
        <v>30</v>
      </c>
      <c r="AV453">
        <v>150</v>
      </c>
      <c r="AW453">
        <f t="shared" ref="AW453:AW516" si="3237">BA453*0.6*(1+BF453)</f>
        <v>65760.767999999982</v>
      </c>
      <c r="AX453">
        <f t="shared" si="2900"/>
        <v>356976000</v>
      </c>
      <c r="AY453">
        <f t="shared" ref="AY453:AY516" si="3238">BB453*2</f>
        <v>5949.6</v>
      </c>
      <c r="AZ453">
        <f t="shared" ref="AZ453:AZ516" si="3239">(INDEX($BO$2:$BO$15,MATCH($AR453,$BK$2:$BK$15,0))+INDEX($BP$2:$BP$15,MATCH($AR453,$BK$2:$BK$15,0))*$AS453)*(1+INDEX($BZ$2:$BZ$15,MATCH($AT453,$BX$2:$BX$15,0)))</f>
        <v>11899.2</v>
      </c>
      <c r="BA453">
        <f t="shared" ref="BA453:BA516" si="3240">INDEX($BQ$2:$BQ$15,MATCH($AR453,$BK$2:$BK$15,0))+INDEX($BR$2:$BR$15,MATCH($AR453,$BK$2:$BK$15,0))*$AS453</f>
        <v>77183.999999999985</v>
      </c>
      <c r="BB453">
        <f t="shared" ref="BB453:BB516" si="3241">(INDEX($BS$2:$BS$15,MATCH($AR453,$BK$2:$BK$15,0))+INDEX($BT$2:$BT$15,MATCH($AR453,$BK$2:$BK$15,0))*$AS453)*(1+INDEX($BZ$2:$BZ$15,MATCH($AT453,$BX$2:$BX$15,0)))</f>
        <v>2974.8</v>
      </c>
      <c r="BC453">
        <f t="shared" si="2901"/>
        <v>356976000</v>
      </c>
      <c r="BD453">
        <f t="shared" ref="BD453:BD516" si="3242">1/(1+AZ453*3/(5*BB453))</f>
        <v>0.29411764705882348</v>
      </c>
      <c r="BE453" s="27">
        <f t="shared" si="2902"/>
        <v>379109797.11360002</v>
      </c>
      <c r="BF453" s="30">
        <f t="shared" ref="BF453:BF516" si="3243">0.3+AQ453*0.0024</f>
        <v>0.42</v>
      </c>
      <c r="BG453" s="27"/>
      <c r="BH453" s="27"/>
      <c r="BI453" s="27"/>
      <c r="CA453" s="20">
        <f t="shared" ref="CA453:CA516" si="3244">$CA$2+(AQ453-1)*5</f>
        <v>345</v>
      </c>
      <c r="CB453" s="20">
        <f t="shared" ref="CB453:CB516" si="3245">$CB$2+(AQ453-1)*500</f>
        <v>34500</v>
      </c>
    </row>
    <row r="454" spans="1:80" x14ac:dyDescent="0.15">
      <c r="A454">
        <v>5101</v>
      </c>
      <c r="B454" s="3" t="s">
        <v>108</v>
      </c>
      <c r="C454" s="4" t="s">
        <v>109</v>
      </c>
      <c r="D454" s="4" t="s">
        <v>110</v>
      </c>
      <c r="E454" s="5">
        <v>3</v>
      </c>
      <c r="F454" s="7" t="s">
        <v>141</v>
      </c>
      <c r="G454" s="5">
        <v>2.5</v>
      </c>
      <c r="H454" s="7" t="s">
        <v>194</v>
      </c>
      <c r="I454" s="5">
        <v>0</v>
      </c>
      <c r="J454" s="5">
        <v>0</v>
      </c>
      <c r="K454">
        <v>2</v>
      </c>
      <c r="L454">
        <v>1.5</v>
      </c>
      <c r="M454" s="5">
        <v>1.5</v>
      </c>
      <c r="N454" s="5">
        <v>10</v>
      </c>
      <c r="O454" s="5">
        <f t="shared" si="3225"/>
        <v>63905</v>
      </c>
      <c r="P454" s="5">
        <f t="shared" si="3226"/>
        <v>355680000</v>
      </c>
      <c r="Q454" s="5">
        <f t="shared" si="3227"/>
        <v>5928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70011</v>
      </c>
      <c r="X454" s="6" t="s">
        <v>179</v>
      </c>
      <c r="Y454" s="5">
        <v>300</v>
      </c>
      <c r="Z454" s="5">
        <v>1</v>
      </c>
      <c r="AA454" s="5">
        <v>111321625</v>
      </c>
      <c r="AB454" s="16" t="s">
        <v>111</v>
      </c>
      <c r="AC454" s="7" t="s">
        <v>112</v>
      </c>
      <c r="AD454" s="7" t="s">
        <v>112</v>
      </c>
      <c r="AE454" s="7" t="s">
        <v>112</v>
      </c>
      <c r="AF454" s="6" t="s">
        <v>113</v>
      </c>
      <c r="AG454" s="26" t="str">
        <f t="shared" ref="AG454" si="3246">CM$4</f>
        <v>4,33,28,33,6,4,33,28,33,6</v>
      </c>
      <c r="AH454" s="26" t="str">
        <f t="shared" ref="AH454" si="3247">CN$4</f>
        <v>0,8,0,8,1,0,8,0,8,1</v>
      </c>
      <c r="AI454" s="26" t="str">
        <f t="shared" ref="AI454" si="3248">CO$4</f>
        <v>0,0,0,0,1,0,0,0,0,1</v>
      </c>
      <c r="AJ454" s="26" t="str">
        <f t="shared" ref="AJ454" si="3249">CP$4</f>
        <v>0,0,0,0,5,0,0,0,0,5</v>
      </c>
      <c r="AK454" s="26" t="str">
        <f t="shared" ref="AK454" si="3250">CQ$4</f>
        <v>100,1,1000,2,5,200,1,1000,2,5</v>
      </c>
      <c r="AL454" s="26" t="str">
        <f t="shared" ref="AL454" si="3251">CR$4</f>
        <v>5,5,5,5,5,5,5,5,5,5</v>
      </c>
      <c r="AM454" s="7">
        <v>2001</v>
      </c>
      <c r="AO454">
        <f t="shared" ref="AO454" si="3252">AQ454*100+1</f>
        <v>5101</v>
      </c>
      <c r="AP454">
        <v>450</v>
      </c>
      <c r="AQ454">
        <f t="shared" si="3235"/>
        <v>51</v>
      </c>
      <c r="AR454">
        <v>10</v>
      </c>
      <c r="AS454" s="17">
        <f t="shared" si="2850"/>
        <v>290</v>
      </c>
      <c r="AT454">
        <v>9</v>
      </c>
      <c r="AU454">
        <f t="shared" si="3236"/>
        <v>30</v>
      </c>
      <c r="AV454">
        <v>150</v>
      </c>
      <c r="AW454">
        <f t="shared" si="3237"/>
        <v>63905.587200000002</v>
      </c>
      <c r="AX454">
        <f t="shared" si="2900"/>
        <v>355680000</v>
      </c>
      <c r="AY454">
        <f t="shared" si="3238"/>
        <v>5928</v>
      </c>
      <c r="AZ454">
        <f t="shared" si="3239"/>
        <v>11856</v>
      </c>
      <c r="BA454">
        <f t="shared" si="3240"/>
        <v>74880</v>
      </c>
      <c r="BB454">
        <f t="shared" si="3241"/>
        <v>2964</v>
      </c>
      <c r="BC454">
        <f t="shared" si="2901"/>
        <v>355680000</v>
      </c>
      <c r="BD454">
        <f t="shared" si="3242"/>
        <v>0.29411764705882354</v>
      </c>
      <c r="BE454" s="27">
        <f t="shared" si="2902"/>
        <v>376362080.6400001</v>
      </c>
      <c r="BF454" s="30">
        <f t="shared" si="3243"/>
        <v>0.4224</v>
      </c>
      <c r="BG454" s="27"/>
      <c r="BH454" s="27"/>
      <c r="BI454" s="27"/>
      <c r="CA454" s="20">
        <f t="shared" si="3244"/>
        <v>350</v>
      </c>
      <c r="CB454" s="20">
        <f t="shared" si="3245"/>
        <v>35000</v>
      </c>
    </row>
    <row r="455" spans="1:80" x14ac:dyDescent="0.15">
      <c r="A455">
        <v>5102</v>
      </c>
      <c r="B455" s="3" t="s">
        <v>115</v>
      </c>
      <c r="C455" s="4" t="s">
        <v>109</v>
      </c>
      <c r="D455" s="6" t="s">
        <v>110</v>
      </c>
      <c r="E455" s="5">
        <v>3</v>
      </c>
      <c r="F455" s="7" t="s">
        <v>142</v>
      </c>
      <c r="G455" s="5">
        <v>3</v>
      </c>
      <c r="H455" s="7" t="s">
        <v>188</v>
      </c>
      <c r="I455" s="5">
        <v>0</v>
      </c>
      <c r="J455" s="5">
        <v>0</v>
      </c>
      <c r="K455">
        <v>2</v>
      </c>
      <c r="L455">
        <v>1.5</v>
      </c>
      <c r="M455" s="5">
        <v>1.5</v>
      </c>
      <c r="N455" s="5">
        <v>10</v>
      </c>
      <c r="O455" s="5">
        <f t="shared" si="3225"/>
        <v>64970</v>
      </c>
      <c r="P455" s="5">
        <f t="shared" si="3226"/>
        <v>361608000</v>
      </c>
      <c r="Q455" s="5">
        <f t="shared" si="3227"/>
        <v>6026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70021</v>
      </c>
      <c r="X455" s="6" t="s">
        <v>180</v>
      </c>
      <c r="Y455" s="5">
        <v>300</v>
      </c>
      <c r="Z455" s="5">
        <v>1</v>
      </c>
      <c r="AA455" s="5">
        <v>87603516</v>
      </c>
      <c r="AB455" s="16" t="s">
        <v>111</v>
      </c>
      <c r="AC455" s="7" t="s">
        <v>112</v>
      </c>
      <c r="AD455" s="7" t="s">
        <v>112</v>
      </c>
      <c r="AE455" s="7" t="s">
        <v>112</v>
      </c>
      <c r="AF455" s="6" t="s">
        <v>113</v>
      </c>
      <c r="AG455" s="26" t="str">
        <f t="shared" ref="AG455" si="3253">CM$5</f>
        <v>4,33,28,33,6,4,33,28,33,6</v>
      </c>
      <c r="AH455" s="26" t="str">
        <f t="shared" ref="AH455" si="3254">CN$5</f>
        <v>0,7,0,7,1,0,7,0,7,1</v>
      </c>
      <c r="AI455" s="26" t="str">
        <f t="shared" ref="AI455" si="3255">CO$5</f>
        <v>0,0,0,0,1,0,0,0,0,1</v>
      </c>
      <c r="AJ455" s="26" t="str">
        <f t="shared" ref="AJ455" si="3256">CP$5</f>
        <v>0,0,0,0,5,0,0,0,0,5</v>
      </c>
      <c r="AK455" s="26" t="str">
        <f t="shared" ref="AK455" si="3257">CQ$5</f>
        <v>100,1,1000,2,5,200,1,1000,2,5</v>
      </c>
      <c r="AL455" s="26" t="str">
        <f t="shared" ref="AL455" si="3258">CR$5</f>
        <v>5,5,5,5,5,5,5,5,5,5</v>
      </c>
      <c r="AM455" s="7">
        <v>2001</v>
      </c>
      <c r="AO455">
        <f t="shared" ref="AO455" si="3259">AQ455*100+2</f>
        <v>5102</v>
      </c>
      <c r="AP455">
        <v>451</v>
      </c>
      <c r="AQ455">
        <f t="shared" si="3235"/>
        <v>51</v>
      </c>
      <c r="AR455">
        <v>10</v>
      </c>
      <c r="AS455" s="17">
        <f t="shared" si="2850"/>
        <v>295</v>
      </c>
      <c r="AT455">
        <v>9</v>
      </c>
      <c r="AU455">
        <f t="shared" si="3236"/>
        <v>30</v>
      </c>
      <c r="AV455">
        <v>150</v>
      </c>
      <c r="AW455">
        <f t="shared" si="3237"/>
        <v>64970.680319999999</v>
      </c>
      <c r="AX455">
        <f t="shared" si="2900"/>
        <v>361608000</v>
      </c>
      <c r="AY455">
        <f t="shared" si="3238"/>
        <v>6026.7999999999993</v>
      </c>
      <c r="AZ455">
        <f t="shared" si="3239"/>
        <v>12053.599999999999</v>
      </c>
      <c r="BA455">
        <f t="shared" si="3240"/>
        <v>76128</v>
      </c>
      <c r="BB455">
        <f t="shared" si="3241"/>
        <v>3013.3999999999996</v>
      </c>
      <c r="BC455">
        <f t="shared" si="2901"/>
        <v>361608000</v>
      </c>
      <c r="BD455">
        <f t="shared" si="3242"/>
        <v>0.29411764705882354</v>
      </c>
      <c r="BE455" s="27">
        <f t="shared" si="2902"/>
        <v>389012028.35040003</v>
      </c>
      <c r="BF455" s="30">
        <f t="shared" si="3243"/>
        <v>0.4224</v>
      </c>
      <c r="BG455" s="27"/>
      <c r="BH455" s="27"/>
      <c r="BI455" s="27"/>
      <c r="CA455" s="20">
        <f t="shared" si="3244"/>
        <v>350</v>
      </c>
      <c r="CB455" s="20">
        <f t="shared" si="3245"/>
        <v>35000</v>
      </c>
    </row>
    <row r="456" spans="1:80" x14ac:dyDescent="0.15">
      <c r="A456">
        <v>5103</v>
      </c>
      <c r="B456" s="3" t="s">
        <v>117</v>
      </c>
      <c r="C456" s="4" t="s">
        <v>109</v>
      </c>
      <c r="D456" s="4" t="s">
        <v>110</v>
      </c>
      <c r="E456" s="5">
        <v>1</v>
      </c>
      <c r="F456" s="7" t="s">
        <v>144</v>
      </c>
      <c r="G456" s="5">
        <v>3</v>
      </c>
      <c r="H456" s="7" t="s">
        <v>189</v>
      </c>
      <c r="I456" s="5">
        <v>0</v>
      </c>
      <c r="J456" s="2">
        <v>0</v>
      </c>
      <c r="K456">
        <v>6</v>
      </c>
      <c r="L456">
        <v>1.5</v>
      </c>
      <c r="M456" s="5">
        <v>1.5</v>
      </c>
      <c r="N456" s="5">
        <v>10</v>
      </c>
      <c r="O456" s="5">
        <f t="shared" si="3225"/>
        <v>66035</v>
      </c>
      <c r="P456" s="5">
        <f t="shared" si="3226"/>
        <v>367536000</v>
      </c>
      <c r="Q456" s="5">
        <f t="shared" si="3227"/>
        <v>6125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70031</v>
      </c>
      <c r="X456" s="6" t="s">
        <v>181</v>
      </c>
      <c r="Y456" s="5">
        <v>300</v>
      </c>
      <c r="Z456" s="5">
        <v>1</v>
      </c>
      <c r="AA456" s="5">
        <v>90818058</v>
      </c>
      <c r="AB456" s="16" t="s">
        <v>111</v>
      </c>
      <c r="AC456" s="7" t="s">
        <v>112</v>
      </c>
      <c r="AD456" s="7" t="s">
        <v>112</v>
      </c>
      <c r="AE456" s="7" t="s">
        <v>112</v>
      </c>
      <c r="AF456" s="6" t="s">
        <v>113</v>
      </c>
      <c r="AG456" s="26" t="str">
        <f t="shared" ref="AG456" si="3260">CM$6</f>
        <v>4,28,6,28,6,4,28,6,28,6</v>
      </c>
      <c r="AH456" s="26" t="str">
        <f t="shared" ref="AH456" si="3261">CN$6</f>
        <v>0,0,1,0,1,0,0,1,0,1</v>
      </c>
      <c r="AI456" s="26" t="str">
        <f t="shared" ref="AI456" si="3262">CO$6</f>
        <v>0,0,0,0,1,0,0,0,0,1</v>
      </c>
      <c r="AJ456" s="26" t="str">
        <f t="shared" ref="AJ456" si="3263">CP$6</f>
        <v>0,0,5,0,5,0,0,5,0,5</v>
      </c>
      <c r="AK456" s="26" t="str">
        <f t="shared" ref="AK456" si="3264">CQ$6</f>
        <v>100,1000,5,1500,5,200,1000,5,1500,5</v>
      </c>
      <c r="AL456" s="26" t="str">
        <f t="shared" ref="AL456" si="3265">CR$6</f>
        <v>5,5,5,5,5,5,5,5,5,5</v>
      </c>
      <c r="AM456" s="7">
        <v>2001</v>
      </c>
      <c r="AO456">
        <f t="shared" ref="AO456" si="3266">AQ456*100+3</f>
        <v>5103</v>
      </c>
      <c r="AP456">
        <v>452</v>
      </c>
      <c r="AQ456">
        <f t="shared" si="3235"/>
        <v>51</v>
      </c>
      <c r="AR456">
        <v>10</v>
      </c>
      <c r="AS456" s="17">
        <f t="shared" si="2850"/>
        <v>300</v>
      </c>
      <c r="AT456">
        <v>9</v>
      </c>
      <c r="AU456">
        <f t="shared" si="3236"/>
        <v>30</v>
      </c>
      <c r="AV456">
        <v>150</v>
      </c>
      <c r="AW456">
        <f t="shared" si="3237"/>
        <v>66035.773440000004</v>
      </c>
      <c r="AX456">
        <f t="shared" si="2900"/>
        <v>367536000</v>
      </c>
      <c r="AY456">
        <f t="shared" si="3238"/>
        <v>6125.5999999999995</v>
      </c>
      <c r="AZ456">
        <f t="shared" si="3239"/>
        <v>12251.199999999999</v>
      </c>
      <c r="BA456">
        <f t="shared" si="3240"/>
        <v>77376</v>
      </c>
      <c r="BB456">
        <f t="shared" si="3241"/>
        <v>3062.7999999999997</v>
      </c>
      <c r="BC456">
        <f t="shared" si="2901"/>
        <v>367536000</v>
      </c>
      <c r="BD456">
        <f t="shared" si="3242"/>
        <v>0.29411764705882348</v>
      </c>
      <c r="BE456" s="27">
        <f t="shared" si="2902"/>
        <v>401871066.10559994</v>
      </c>
      <c r="BF456" s="30">
        <f t="shared" si="3243"/>
        <v>0.4224</v>
      </c>
      <c r="BG456" s="27"/>
      <c r="BH456" s="27"/>
      <c r="BI456" s="27"/>
      <c r="CA456" s="20">
        <f t="shared" si="3244"/>
        <v>350</v>
      </c>
      <c r="CB456" s="20">
        <f t="shared" si="3245"/>
        <v>35000</v>
      </c>
    </row>
    <row r="457" spans="1:80" x14ac:dyDescent="0.15">
      <c r="A457">
        <v>5104</v>
      </c>
      <c r="B457" s="3" t="s">
        <v>119</v>
      </c>
      <c r="C457" s="4" t="s">
        <v>109</v>
      </c>
      <c r="D457" s="6" t="s">
        <v>120</v>
      </c>
      <c r="E457" s="5">
        <v>3</v>
      </c>
      <c r="F457" s="7" t="s">
        <v>145</v>
      </c>
      <c r="G457" s="5">
        <v>3</v>
      </c>
      <c r="H457" s="7" t="s">
        <v>190</v>
      </c>
      <c r="I457" s="5">
        <v>0</v>
      </c>
      <c r="J457" s="5">
        <v>0</v>
      </c>
      <c r="K457">
        <v>2</v>
      </c>
      <c r="L457">
        <v>1.5</v>
      </c>
      <c r="M457" s="5">
        <v>1.5</v>
      </c>
      <c r="N457" s="5">
        <v>10</v>
      </c>
      <c r="O457" s="5">
        <f t="shared" si="3225"/>
        <v>67100</v>
      </c>
      <c r="P457" s="5">
        <f t="shared" si="3226"/>
        <v>373464000</v>
      </c>
      <c r="Q457" s="5">
        <f t="shared" si="3227"/>
        <v>6224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70041</v>
      </c>
      <c r="X457" s="6" t="s">
        <v>182</v>
      </c>
      <c r="Y457" s="5">
        <v>300</v>
      </c>
      <c r="Z457" s="5">
        <v>1</v>
      </c>
      <c r="AA457" s="5">
        <v>94090520</v>
      </c>
      <c r="AB457" s="16" t="s">
        <v>111</v>
      </c>
      <c r="AC457" s="7" t="s">
        <v>112</v>
      </c>
      <c r="AD457" s="7" t="s">
        <v>112</v>
      </c>
      <c r="AE457" s="7" t="s">
        <v>112</v>
      </c>
      <c r="AF457" s="6" t="s">
        <v>113</v>
      </c>
      <c r="AG457" s="26" t="str">
        <f t="shared" ref="AG457" si="3267">CM$7</f>
        <v>4,14,28,14,6,4,14,28,14,6</v>
      </c>
      <c r="AH457" s="26" t="str">
        <f t="shared" ref="AH457" si="3268">CN$7</f>
        <v>0,0,0,0,1,0,0,0,0,1</v>
      </c>
      <c r="AI457" s="26" t="str">
        <f t="shared" ref="AI457" si="3269">CO$7</f>
        <v>0,0,0,0,1,0,0,0,0,1</v>
      </c>
      <c r="AJ457" s="26" t="str">
        <f t="shared" ref="AJ457" si="3270">CP$7</f>
        <v>0,0,0,0,5,0,0,0,0,5</v>
      </c>
      <c r="AK457" s="26" t="str">
        <f t="shared" ref="AK457" si="3271">CQ$7</f>
        <v>100,1,1000,2,5,200,1,1000,2,5</v>
      </c>
      <c r="AL457" s="26" t="str">
        <f t="shared" ref="AL457" si="3272">CR$7</f>
        <v>5,5,5,5,5,5,5,5,5,5</v>
      </c>
      <c r="AM457" s="7">
        <v>2001</v>
      </c>
      <c r="AO457">
        <f t="shared" ref="AO457" si="3273">AQ457*100+4</f>
        <v>5104</v>
      </c>
      <c r="AP457">
        <v>453</v>
      </c>
      <c r="AQ457">
        <f t="shared" si="3235"/>
        <v>51</v>
      </c>
      <c r="AR457">
        <v>10</v>
      </c>
      <c r="AS457" s="17">
        <f t="shared" si="2850"/>
        <v>305</v>
      </c>
      <c r="AT457">
        <v>9</v>
      </c>
      <c r="AU457">
        <f t="shared" si="3236"/>
        <v>30</v>
      </c>
      <c r="AV457">
        <v>150</v>
      </c>
      <c r="AW457">
        <f t="shared" si="3237"/>
        <v>67100.866560000009</v>
      </c>
      <c r="AX457">
        <f t="shared" si="2900"/>
        <v>373464000</v>
      </c>
      <c r="AY457">
        <f t="shared" si="3238"/>
        <v>6224.4</v>
      </c>
      <c r="AZ457">
        <f t="shared" si="3239"/>
        <v>12448.8</v>
      </c>
      <c r="BA457">
        <f t="shared" si="3240"/>
        <v>78624</v>
      </c>
      <c r="BB457">
        <f t="shared" si="3241"/>
        <v>3112.2</v>
      </c>
      <c r="BC457">
        <f t="shared" si="2901"/>
        <v>373464000</v>
      </c>
      <c r="BD457">
        <f t="shared" si="3242"/>
        <v>0.29411764705882359</v>
      </c>
      <c r="BE457" s="27">
        <f t="shared" si="2902"/>
        <v>414939193.90560007</v>
      </c>
      <c r="BF457" s="30">
        <f t="shared" si="3243"/>
        <v>0.4224</v>
      </c>
      <c r="BG457" s="27"/>
      <c r="BH457" s="27"/>
      <c r="BI457" s="27"/>
      <c r="CA457" s="20">
        <f t="shared" si="3244"/>
        <v>350</v>
      </c>
      <c r="CB457" s="20">
        <f t="shared" si="3245"/>
        <v>35000</v>
      </c>
    </row>
    <row r="458" spans="1:80" x14ac:dyDescent="0.15">
      <c r="A458">
        <v>5105</v>
      </c>
      <c r="B458" s="3" t="s">
        <v>122</v>
      </c>
      <c r="C458" s="4" t="s">
        <v>109</v>
      </c>
      <c r="D458" s="4" t="s">
        <v>110</v>
      </c>
      <c r="E458" s="5">
        <v>2</v>
      </c>
      <c r="F458" s="7" t="s">
        <v>146</v>
      </c>
      <c r="G458" s="5">
        <v>3</v>
      </c>
      <c r="H458" s="7" t="s">
        <v>191</v>
      </c>
      <c r="I458" s="5">
        <v>0</v>
      </c>
      <c r="J458" s="7" t="s">
        <v>148</v>
      </c>
      <c r="K458">
        <v>6</v>
      </c>
      <c r="L458">
        <v>1.5</v>
      </c>
      <c r="M458" s="5">
        <v>1.5</v>
      </c>
      <c r="N458" s="5">
        <v>10</v>
      </c>
      <c r="O458" s="5">
        <f t="shared" si="3225"/>
        <v>68165</v>
      </c>
      <c r="P458" s="5">
        <f t="shared" si="3226"/>
        <v>379392000</v>
      </c>
      <c r="Q458" s="5">
        <f t="shared" si="3227"/>
        <v>6323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70051</v>
      </c>
      <c r="X458" s="6" t="s">
        <v>183</v>
      </c>
      <c r="Y458" s="5">
        <v>300</v>
      </c>
      <c r="Z458" s="5">
        <v>1</v>
      </c>
      <c r="AA458" s="5">
        <v>97420902</v>
      </c>
      <c r="AB458" s="16" t="s">
        <v>111</v>
      </c>
      <c r="AC458" s="7" t="s">
        <v>112</v>
      </c>
      <c r="AD458" s="7" t="s">
        <v>112</v>
      </c>
      <c r="AE458" s="7" t="s">
        <v>112</v>
      </c>
      <c r="AF458" s="6" t="s">
        <v>113</v>
      </c>
      <c r="AG458" s="26" t="str">
        <f t="shared" ref="AG458" si="3274">CM$8</f>
        <v>4,19,28,19,6,4,19,28,19,6</v>
      </c>
      <c r="AH458" s="26" t="str">
        <f t="shared" ref="AH458" si="3275">CN$8</f>
        <v>0,0,0,0,1,0,0,0,0,1</v>
      </c>
      <c r="AI458" s="26" t="str">
        <f t="shared" ref="AI458" si="3276">CO$8</f>
        <v>0,0,0,0,1,0,0,0,0,1</v>
      </c>
      <c r="AJ458" s="26" t="str">
        <f t="shared" ref="AJ458" si="3277">CP$8</f>
        <v>0,0,0,0,5,0,0,0,0,5</v>
      </c>
      <c r="AK458" s="26" t="str">
        <f t="shared" ref="AK458" si="3278">CQ$8</f>
        <v>200,100,1000,200,5,200,100,1000,200,5</v>
      </c>
      <c r="AL458" s="26" t="str">
        <f t="shared" ref="AL458" si="3279">CR$8</f>
        <v>5,5,5,5,5,5,5,5,5,5</v>
      </c>
      <c r="AM458" s="7">
        <v>2001</v>
      </c>
      <c r="AO458">
        <f t="shared" ref="AO458" si="3280">AQ458*100+5</f>
        <v>5105</v>
      </c>
      <c r="AP458">
        <v>454</v>
      </c>
      <c r="AQ458">
        <f t="shared" si="3235"/>
        <v>51</v>
      </c>
      <c r="AR458">
        <v>10</v>
      </c>
      <c r="AS458" s="17">
        <f t="shared" si="2850"/>
        <v>310</v>
      </c>
      <c r="AT458">
        <v>9</v>
      </c>
      <c r="AU458">
        <f t="shared" si="3236"/>
        <v>30</v>
      </c>
      <c r="AV458">
        <v>150</v>
      </c>
      <c r="AW458">
        <f t="shared" si="3237"/>
        <v>68165.95968</v>
      </c>
      <c r="AX458">
        <f t="shared" si="2900"/>
        <v>379392000</v>
      </c>
      <c r="AY458">
        <f t="shared" si="3238"/>
        <v>6323.2</v>
      </c>
      <c r="AZ458">
        <f t="shared" si="3239"/>
        <v>12646.4</v>
      </c>
      <c r="BA458">
        <f t="shared" si="3240"/>
        <v>79872</v>
      </c>
      <c r="BB458">
        <f t="shared" si="3241"/>
        <v>3161.6</v>
      </c>
      <c r="BC458">
        <f t="shared" si="2901"/>
        <v>379392000</v>
      </c>
      <c r="BD458">
        <f t="shared" si="3242"/>
        <v>0.29411764705882354</v>
      </c>
      <c r="BE458" s="27">
        <f t="shared" si="2902"/>
        <v>428216411.75040007</v>
      </c>
      <c r="BF458" s="30">
        <f t="shared" si="3243"/>
        <v>0.4224</v>
      </c>
      <c r="BG458" s="27"/>
      <c r="BH458" s="27"/>
      <c r="BI458" s="27"/>
      <c r="CA458" s="20">
        <f t="shared" si="3244"/>
        <v>350</v>
      </c>
      <c r="CB458" s="20">
        <f t="shared" si="3245"/>
        <v>35000</v>
      </c>
    </row>
    <row r="459" spans="1:80" x14ac:dyDescent="0.15">
      <c r="A459">
        <v>5106</v>
      </c>
      <c r="B459" s="3" t="s">
        <v>124</v>
      </c>
      <c r="C459" s="4" t="s">
        <v>109</v>
      </c>
      <c r="D459" s="6" t="s">
        <v>120</v>
      </c>
      <c r="E459" s="5">
        <v>1</v>
      </c>
      <c r="F459" s="7" t="s">
        <v>147</v>
      </c>
      <c r="G459" s="5">
        <v>3</v>
      </c>
      <c r="H459" s="7" t="s">
        <v>192</v>
      </c>
      <c r="I459" s="5">
        <v>0</v>
      </c>
      <c r="J459" s="7" t="s">
        <v>149</v>
      </c>
      <c r="K459">
        <v>6</v>
      </c>
      <c r="L459">
        <v>1.5</v>
      </c>
      <c r="M459" s="5">
        <v>1.5</v>
      </c>
      <c r="N459" s="5">
        <v>10</v>
      </c>
      <c r="O459" s="5">
        <f t="shared" si="3225"/>
        <v>69231</v>
      </c>
      <c r="P459" s="5">
        <f t="shared" si="3226"/>
        <v>385320000</v>
      </c>
      <c r="Q459" s="5">
        <f t="shared" si="3227"/>
        <v>6422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70061</v>
      </c>
      <c r="X459" s="6" t="s">
        <v>184</v>
      </c>
      <c r="Y459" s="5">
        <v>300</v>
      </c>
      <c r="Z459" s="5">
        <v>1</v>
      </c>
      <c r="AA459" s="5">
        <v>100809203</v>
      </c>
      <c r="AB459" s="16" t="s">
        <v>111</v>
      </c>
      <c r="AC459" s="7" t="s">
        <v>112</v>
      </c>
      <c r="AD459" s="7" t="s">
        <v>112</v>
      </c>
      <c r="AE459" s="7" t="s">
        <v>112</v>
      </c>
      <c r="AF459" s="6" t="s">
        <v>113</v>
      </c>
      <c r="AG459" s="26" t="str">
        <f t="shared" ref="AG459" si="3281">CM$9</f>
        <v>4,33,28,33,6,4,33,28,33,6</v>
      </c>
      <c r="AH459" s="26" t="str">
        <f t="shared" ref="AH459" si="3282">CN$9</f>
        <v>0,6,0,6,1,0,6,0,6,1</v>
      </c>
      <c r="AI459" s="26" t="str">
        <f t="shared" ref="AI459" si="3283">CO$9</f>
        <v>0,0,0,0,1,0,0,0,0,1</v>
      </c>
      <c r="AJ459" s="26" t="str">
        <f t="shared" ref="AJ459" si="3284">CP$9</f>
        <v>0,0,0,0,5,0,0,0,0,5</v>
      </c>
      <c r="AK459" s="26" t="str">
        <f t="shared" ref="AK459" si="3285">CQ$9</f>
        <v>200,1,1000,2,5,200,1,1000,2,5</v>
      </c>
      <c r="AL459" s="26" t="str">
        <f t="shared" ref="AL459" si="3286">CR$9</f>
        <v>5,5,5,5,5,5,5,5,5,5</v>
      </c>
      <c r="AM459" s="7">
        <v>2001</v>
      </c>
      <c r="AO459">
        <f t="shared" ref="AO459" si="3287">AQ459*100+6</f>
        <v>5106</v>
      </c>
      <c r="AP459">
        <v>455</v>
      </c>
      <c r="AQ459">
        <f t="shared" si="3235"/>
        <v>51</v>
      </c>
      <c r="AR459">
        <v>10</v>
      </c>
      <c r="AS459" s="17">
        <f t="shared" si="2850"/>
        <v>315</v>
      </c>
      <c r="AT459">
        <v>9</v>
      </c>
      <c r="AU459">
        <f t="shared" si="3236"/>
        <v>30</v>
      </c>
      <c r="AV459">
        <v>150</v>
      </c>
      <c r="AW459">
        <f t="shared" si="3237"/>
        <v>69231.052800000005</v>
      </c>
      <c r="AX459">
        <f t="shared" si="2900"/>
        <v>385320000</v>
      </c>
      <c r="AY459">
        <f t="shared" si="3238"/>
        <v>6422</v>
      </c>
      <c r="AZ459">
        <f t="shared" si="3239"/>
        <v>12844</v>
      </c>
      <c r="BA459">
        <f t="shared" si="3240"/>
        <v>81120</v>
      </c>
      <c r="BB459">
        <f t="shared" si="3241"/>
        <v>3211</v>
      </c>
      <c r="BC459">
        <f t="shared" si="2901"/>
        <v>385320000</v>
      </c>
      <c r="BD459">
        <f t="shared" si="3242"/>
        <v>0.29411764705882354</v>
      </c>
      <c r="BE459" s="27">
        <f t="shared" si="2902"/>
        <v>441702719.64000016</v>
      </c>
      <c r="BF459" s="30">
        <f t="shared" si="3243"/>
        <v>0.4224</v>
      </c>
      <c r="BG459" s="27"/>
      <c r="BH459" s="27"/>
      <c r="BI459" s="27"/>
      <c r="CA459" s="20">
        <f t="shared" si="3244"/>
        <v>350</v>
      </c>
      <c r="CB459" s="20">
        <f t="shared" si="3245"/>
        <v>35000</v>
      </c>
    </row>
    <row r="460" spans="1:80" x14ac:dyDescent="0.15">
      <c r="A460">
        <v>5107</v>
      </c>
      <c r="B460" s="3" t="s">
        <v>126</v>
      </c>
      <c r="C460" s="4" t="s">
        <v>109</v>
      </c>
      <c r="D460" s="4" t="s">
        <v>110</v>
      </c>
      <c r="E460" s="5">
        <v>2</v>
      </c>
      <c r="F460" s="7" t="s">
        <v>143</v>
      </c>
      <c r="G460" s="5">
        <v>3</v>
      </c>
      <c r="H460" s="7" t="s">
        <v>193</v>
      </c>
      <c r="I460" s="5">
        <v>0</v>
      </c>
      <c r="J460" s="5">
        <v>0</v>
      </c>
      <c r="K460">
        <v>2</v>
      </c>
      <c r="L460">
        <v>1.5</v>
      </c>
      <c r="M460" s="5">
        <v>1.5</v>
      </c>
      <c r="N460" s="5">
        <v>10</v>
      </c>
      <c r="O460" s="5">
        <f t="shared" si="3225"/>
        <v>70296</v>
      </c>
      <c r="P460" s="5">
        <f t="shared" si="3226"/>
        <v>391248000</v>
      </c>
      <c r="Q460" s="5">
        <f t="shared" si="3227"/>
        <v>6520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70071</v>
      </c>
      <c r="X460" s="6" t="s">
        <v>185</v>
      </c>
      <c r="Y460" s="5">
        <v>300</v>
      </c>
      <c r="Z460" s="5">
        <v>1</v>
      </c>
      <c r="AA460" s="5">
        <v>104255424</v>
      </c>
      <c r="AB460" s="16" t="s">
        <v>111</v>
      </c>
      <c r="AC460" s="7" t="s">
        <v>112</v>
      </c>
      <c r="AD460" s="7" t="s">
        <v>112</v>
      </c>
      <c r="AE460" s="7" t="s">
        <v>112</v>
      </c>
      <c r="AF460" s="6" t="s">
        <v>113</v>
      </c>
      <c r="AG460" s="26" t="str">
        <f t="shared" ref="AG460" si="3288">CM$10</f>
        <v>4,14,28,14,6,4,14,28,14,6</v>
      </c>
      <c r="AH460" s="26" t="str">
        <f t="shared" ref="AH460" si="3289">CN$10</f>
        <v>0,0,0,0,1,0,0,0,0,1</v>
      </c>
      <c r="AI460" s="26" t="str">
        <f t="shared" ref="AI460" si="3290">CO$10</f>
        <v>0,0,0,0,1,0,0,0,0,1</v>
      </c>
      <c r="AJ460" s="26" t="str">
        <f t="shared" ref="AJ460" si="3291">CP$10</f>
        <v>0,0,0,0,5,0,0,0,0,5</v>
      </c>
      <c r="AK460" s="26" t="str">
        <f t="shared" ref="AK460" si="3292">CQ$10</f>
        <v>200,1,1000,2,5,200,1,1000,2,5</v>
      </c>
      <c r="AL460" s="26" t="str">
        <f t="shared" ref="AL460" si="3293">CR$10</f>
        <v>5,5,5,5,5,5,5,5,5,5</v>
      </c>
      <c r="AM460" s="7">
        <v>2001</v>
      </c>
      <c r="AO460">
        <f t="shared" ref="AO460" si="3294">AQ460*100+7</f>
        <v>5107</v>
      </c>
      <c r="AP460">
        <v>456</v>
      </c>
      <c r="AQ460">
        <f t="shared" si="3235"/>
        <v>51</v>
      </c>
      <c r="AR460">
        <v>10</v>
      </c>
      <c r="AS460" s="17">
        <f t="shared" si="2850"/>
        <v>320</v>
      </c>
      <c r="AT460">
        <v>9</v>
      </c>
      <c r="AU460">
        <f t="shared" si="3236"/>
        <v>30</v>
      </c>
      <c r="AV460">
        <v>150</v>
      </c>
      <c r="AW460">
        <f t="shared" si="3237"/>
        <v>70296.145919999995</v>
      </c>
      <c r="AX460">
        <f t="shared" si="2900"/>
        <v>391247999.99999994</v>
      </c>
      <c r="AY460">
        <f t="shared" si="3238"/>
        <v>6520.7999999999993</v>
      </c>
      <c r="AZ460">
        <f t="shared" si="3239"/>
        <v>13041.599999999999</v>
      </c>
      <c r="BA460">
        <f t="shared" si="3240"/>
        <v>82368</v>
      </c>
      <c r="BB460">
        <f t="shared" si="3241"/>
        <v>3260.3999999999996</v>
      </c>
      <c r="BC460">
        <f t="shared" si="2901"/>
        <v>391247999.99999994</v>
      </c>
      <c r="BD460">
        <f t="shared" si="3242"/>
        <v>0.29411764705882354</v>
      </c>
      <c r="BE460" s="27">
        <f t="shared" si="2902"/>
        <v>455398117.57439989</v>
      </c>
      <c r="BF460" s="30">
        <f t="shared" si="3243"/>
        <v>0.4224</v>
      </c>
      <c r="BG460" s="27"/>
      <c r="BH460" s="27"/>
      <c r="BI460" s="27"/>
      <c r="CA460" s="20">
        <f t="shared" si="3244"/>
        <v>350</v>
      </c>
      <c r="CB460" s="20">
        <f t="shared" si="3245"/>
        <v>35000</v>
      </c>
    </row>
    <row r="461" spans="1:80" x14ac:dyDescent="0.15">
      <c r="A461">
        <v>5108</v>
      </c>
      <c r="B461" s="3" t="s">
        <v>128</v>
      </c>
      <c r="C461" s="4" t="s">
        <v>109</v>
      </c>
      <c r="D461" s="4" t="s">
        <v>110</v>
      </c>
      <c r="E461" s="5">
        <v>5</v>
      </c>
      <c r="F461" s="7" t="s">
        <v>129</v>
      </c>
      <c r="G461" s="5">
        <v>2</v>
      </c>
      <c r="H461" s="7" t="s">
        <v>130</v>
      </c>
      <c r="I461" s="5">
        <v>0</v>
      </c>
      <c r="J461" s="5">
        <v>0</v>
      </c>
      <c r="K461">
        <v>2</v>
      </c>
      <c r="L461">
        <v>1.5</v>
      </c>
      <c r="M461" s="5">
        <v>1.5</v>
      </c>
      <c r="N461" s="5">
        <v>10</v>
      </c>
      <c r="O461" s="5">
        <f t="shared" si="3225"/>
        <v>71361</v>
      </c>
      <c r="P461" s="5">
        <f t="shared" si="3226"/>
        <v>397176000</v>
      </c>
      <c r="Q461" s="5">
        <f t="shared" si="3227"/>
        <v>6619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70081</v>
      </c>
      <c r="X461" s="6" t="s">
        <v>186</v>
      </c>
      <c r="Y461" s="5">
        <v>300</v>
      </c>
      <c r="Z461" s="5">
        <v>1</v>
      </c>
      <c r="AA461" s="5">
        <v>107759565</v>
      </c>
      <c r="AB461" s="16" t="s">
        <v>111</v>
      </c>
      <c r="AC461" s="7" t="s">
        <v>112</v>
      </c>
      <c r="AD461" s="7" t="s">
        <v>112</v>
      </c>
      <c r="AE461" s="7" t="s">
        <v>112</v>
      </c>
      <c r="AF461" s="6" t="s">
        <v>113</v>
      </c>
      <c r="AG461" s="26" t="str">
        <f t="shared" ref="AG461" si="3295">CM$11</f>
        <v>4,28,6,28,6,4,28,6,28,6</v>
      </c>
      <c r="AH461" s="26" t="str">
        <f t="shared" ref="AH461" si="3296">CN$11</f>
        <v>0,0,1,0,1,0,0,1,0,1</v>
      </c>
      <c r="AI461" s="26" t="str">
        <f t="shared" ref="AI461" si="3297">CO$11</f>
        <v>0,0,1,0,1,0,0,1,0,1</v>
      </c>
      <c r="AJ461" s="26" t="str">
        <f t="shared" ref="AJ461" si="3298">CP$11</f>
        <v>0,0,5,0,5,0,0,5,0,5</v>
      </c>
      <c r="AK461" s="26" t="str">
        <f t="shared" ref="AK461" si="3299">CQ$11</f>
        <v>100,1000,5,1500,5,200,1000,5,1500,5</v>
      </c>
      <c r="AL461" s="26" t="str">
        <f t="shared" ref="AL461" si="3300">CR$11</f>
        <v>5,5,5,5,5,5,5,5,5,5</v>
      </c>
      <c r="AM461" s="7">
        <v>2001</v>
      </c>
      <c r="AO461">
        <f t="shared" ref="AO461" si="3301">AQ461*100+8</f>
        <v>5108</v>
      </c>
      <c r="AP461">
        <v>457</v>
      </c>
      <c r="AQ461">
        <f t="shared" si="3235"/>
        <v>51</v>
      </c>
      <c r="AR461">
        <v>10</v>
      </c>
      <c r="AS461" s="17">
        <f t="shared" si="2850"/>
        <v>325</v>
      </c>
      <c r="AT461">
        <v>9</v>
      </c>
      <c r="AU461">
        <f t="shared" si="3236"/>
        <v>30</v>
      </c>
      <c r="AV461">
        <v>150</v>
      </c>
      <c r="AW461">
        <f t="shared" si="3237"/>
        <v>71361.239040000015</v>
      </c>
      <c r="AX461">
        <f t="shared" si="2900"/>
        <v>397176000</v>
      </c>
      <c r="AY461">
        <f t="shared" si="3238"/>
        <v>6619.5999999999995</v>
      </c>
      <c r="AZ461">
        <f t="shared" si="3239"/>
        <v>13239.199999999999</v>
      </c>
      <c r="BA461">
        <f t="shared" si="3240"/>
        <v>83616.000000000015</v>
      </c>
      <c r="BB461">
        <f t="shared" si="3241"/>
        <v>3309.7999999999997</v>
      </c>
      <c r="BC461">
        <f t="shared" si="2901"/>
        <v>397176000</v>
      </c>
      <c r="BD461">
        <f t="shared" si="3242"/>
        <v>0.29411764705882354</v>
      </c>
      <c r="BE461" s="27">
        <f t="shared" si="2902"/>
        <v>469302605.55360001</v>
      </c>
      <c r="BF461" s="30">
        <f t="shared" si="3243"/>
        <v>0.4224</v>
      </c>
      <c r="BG461" s="27"/>
      <c r="BH461" s="27"/>
      <c r="BI461" s="27"/>
      <c r="CA461" s="20">
        <f t="shared" si="3244"/>
        <v>350</v>
      </c>
      <c r="CB461" s="20">
        <f t="shared" si="3245"/>
        <v>35000</v>
      </c>
    </row>
    <row r="462" spans="1:80" x14ac:dyDescent="0.15">
      <c r="A462">
        <v>5109</v>
      </c>
      <c r="B462" s="3" t="s">
        <v>132</v>
      </c>
      <c r="C462" s="4" t="s">
        <v>109</v>
      </c>
      <c r="D462" s="4" t="s">
        <v>110</v>
      </c>
      <c r="E462" s="5">
        <v>5</v>
      </c>
      <c r="F462" s="7" t="s">
        <v>140</v>
      </c>
      <c r="G462" s="5">
        <v>3</v>
      </c>
      <c r="H462" s="7" t="s">
        <v>140</v>
      </c>
      <c r="I462" s="5">
        <v>0</v>
      </c>
      <c r="J462" s="7">
        <v>0</v>
      </c>
      <c r="K462">
        <v>6</v>
      </c>
      <c r="L462">
        <v>1.5</v>
      </c>
      <c r="M462" s="5">
        <v>1.5</v>
      </c>
      <c r="N462" s="5">
        <v>10</v>
      </c>
      <c r="O462" s="5">
        <f t="shared" si="3225"/>
        <v>72426</v>
      </c>
      <c r="P462" s="5">
        <f t="shared" si="3226"/>
        <v>403104000</v>
      </c>
      <c r="Q462" s="5">
        <f t="shared" si="3227"/>
        <v>6718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70091</v>
      </c>
      <c r="X462" s="6" t="s">
        <v>187</v>
      </c>
      <c r="Y462" s="5">
        <v>300</v>
      </c>
      <c r="Z462" s="5">
        <v>1</v>
      </c>
      <c r="AA462" s="5">
        <v>111321625</v>
      </c>
      <c r="AB462" s="16" t="s">
        <v>111</v>
      </c>
      <c r="AC462" s="7" t="s">
        <v>112</v>
      </c>
      <c r="AD462" s="7" t="s">
        <v>112</v>
      </c>
      <c r="AE462" s="7" t="s">
        <v>112</v>
      </c>
      <c r="AF462" s="6" t="s">
        <v>113</v>
      </c>
      <c r="AG462" s="26" t="str">
        <f t="shared" ref="AG462" si="3302">CM$12</f>
        <v>4,33,28,33,6,4,33,28,33,6</v>
      </c>
      <c r="AH462" s="26" t="str">
        <f t="shared" ref="AH462" si="3303">CN$12</f>
        <v>0,5,0,5,1,0,5,0,5,1</v>
      </c>
      <c r="AI462" s="26" t="str">
        <f t="shared" ref="AI462" si="3304">CO$12</f>
        <v>0,0,0,0,1,0,0,0,0,1</v>
      </c>
      <c r="AJ462" s="26" t="str">
        <f t="shared" ref="AJ462" si="3305">CP$12</f>
        <v>0,0,0,0,5,0,0,0,0,5</v>
      </c>
      <c r="AK462" s="26" t="str">
        <f t="shared" ref="AK462" si="3306">CQ$12</f>
        <v>100,1,1000,2,5,200,1,1000,2,5</v>
      </c>
      <c r="AL462" s="26" t="str">
        <f t="shared" ref="AL462" si="3307">CR$12</f>
        <v>5,5,5,5,5,5,5,5,5,5</v>
      </c>
      <c r="AM462" s="7">
        <v>2001</v>
      </c>
      <c r="AO462">
        <f t="shared" ref="AO462" si="3308">AQ462*100+9</f>
        <v>5109</v>
      </c>
      <c r="AP462">
        <v>458</v>
      </c>
      <c r="AQ462">
        <f t="shared" si="3235"/>
        <v>51</v>
      </c>
      <c r="AR462">
        <v>10</v>
      </c>
      <c r="AS462" s="17">
        <f t="shared" si="2850"/>
        <v>330</v>
      </c>
      <c r="AT462">
        <v>9</v>
      </c>
      <c r="AU462">
        <f t="shared" si="3236"/>
        <v>30</v>
      </c>
      <c r="AV462">
        <v>150</v>
      </c>
      <c r="AW462">
        <f t="shared" si="3237"/>
        <v>72426.33216000002</v>
      </c>
      <c r="AX462">
        <f t="shared" si="2900"/>
        <v>403104000</v>
      </c>
      <c r="AY462">
        <f t="shared" si="3238"/>
        <v>6718.4</v>
      </c>
      <c r="AZ462">
        <f t="shared" si="3239"/>
        <v>13436.8</v>
      </c>
      <c r="BA462">
        <f t="shared" si="3240"/>
        <v>84864.000000000015</v>
      </c>
      <c r="BB462">
        <f t="shared" si="3241"/>
        <v>3359.2</v>
      </c>
      <c r="BC462">
        <f t="shared" si="2901"/>
        <v>403104000</v>
      </c>
      <c r="BD462">
        <f t="shared" si="3242"/>
        <v>0.29411764705882359</v>
      </c>
      <c r="BE462" s="27">
        <f t="shared" si="2902"/>
        <v>483416183.57760006</v>
      </c>
      <c r="BF462" s="30">
        <f t="shared" si="3243"/>
        <v>0.4224</v>
      </c>
      <c r="BG462" s="27"/>
      <c r="BH462" s="27"/>
      <c r="BI462" s="27"/>
      <c r="CA462" s="20">
        <f t="shared" si="3244"/>
        <v>350</v>
      </c>
      <c r="CB462" s="20">
        <f t="shared" si="3245"/>
        <v>35000</v>
      </c>
    </row>
    <row r="463" spans="1:80" x14ac:dyDescent="0.15">
      <c r="A463">
        <v>5201</v>
      </c>
      <c r="B463" s="3" t="s">
        <v>108</v>
      </c>
      <c r="C463" s="4" t="s">
        <v>109</v>
      </c>
      <c r="D463" s="4" t="s">
        <v>110</v>
      </c>
      <c r="E463" s="5">
        <v>3</v>
      </c>
      <c r="F463" s="7" t="s">
        <v>141</v>
      </c>
      <c r="G463" s="5">
        <v>2.5</v>
      </c>
      <c r="H463" s="7" t="s">
        <v>194</v>
      </c>
      <c r="I463" s="5">
        <v>0</v>
      </c>
      <c r="J463" s="5">
        <v>0</v>
      </c>
      <c r="K463">
        <v>2</v>
      </c>
      <c r="L463">
        <v>1.5</v>
      </c>
      <c r="M463" s="5">
        <v>1.5</v>
      </c>
      <c r="N463" s="5">
        <v>10</v>
      </c>
      <c r="O463" s="5">
        <f t="shared" si="3225"/>
        <v>65080</v>
      </c>
      <c r="P463" s="5">
        <f t="shared" si="3226"/>
        <v>361608000</v>
      </c>
      <c r="Q463" s="5">
        <f t="shared" si="3227"/>
        <v>6026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70011</v>
      </c>
      <c r="X463" s="6" t="s">
        <v>179</v>
      </c>
      <c r="Y463" s="5">
        <v>300</v>
      </c>
      <c r="Z463" s="5">
        <v>1</v>
      </c>
      <c r="AA463" s="5">
        <v>114941605</v>
      </c>
      <c r="AB463" s="16" t="s">
        <v>111</v>
      </c>
      <c r="AC463" s="7" t="s">
        <v>112</v>
      </c>
      <c r="AD463" s="7" t="s">
        <v>112</v>
      </c>
      <c r="AE463" s="7" t="s">
        <v>112</v>
      </c>
      <c r="AF463" s="6" t="s">
        <v>113</v>
      </c>
      <c r="AG463" s="26" t="str">
        <f t="shared" ref="AG463" si="3309">CM$4</f>
        <v>4,33,28,33,6,4,33,28,33,6</v>
      </c>
      <c r="AH463" s="26" t="str">
        <f t="shared" ref="AH463" si="3310">CN$4</f>
        <v>0,8,0,8,1,0,8,0,8,1</v>
      </c>
      <c r="AI463" s="26" t="str">
        <f t="shared" ref="AI463" si="3311">CO$4</f>
        <v>0,0,0,0,1,0,0,0,0,1</v>
      </c>
      <c r="AJ463" s="26" t="str">
        <f t="shared" ref="AJ463" si="3312">CP$4</f>
        <v>0,0,0,0,5,0,0,0,0,5</v>
      </c>
      <c r="AK463" s="26" t="str">
        <f t="shared" ref="AK463" si="3313">CQ$4</f>
        <v>100,1,1000,2,5,200,1,1000,2,5</v>
      </c>
      <c r="AL463" s="26" t="str">
        <f t="shared" ref="AL463" si="3314">CR$4</f>
        <v>5,5,5,5,5,5,5,5,5,5</v>
      </c>
      <c r="AM463" s="7">
        <v>2001</v>
      </c>
      <c r="AO463">
        <f t="shared" ref="AO463" si="3315">AQ463*100+1</f>
        <v>5201</v>
      </c>
      <c r="AP463">
        <v>459</v>
      </c>
      <c r="AQ463">
        <f t="shared" si="3235"/>
        <v>52</v>
      </c>
      <c r="AR463">
        <v>10</v>
      </c>
      <c r="AS463" s="17">
        <f t="shared" ref="AS463:AS526" si="3316">AS454+5</f>
        <v>295</v>
      </c>
      <c r="AT463">
        <v>9</v>
      </c>
      <c r="AU463">
        <f t="shared" si="3236"/>
        <v>30</v>
      </c>
      <c r="AV463">
        <v>150</v>
      </c>
      <c r="AW463">
        <f t="shared" si="3237"/>
        <v>65080.304639999988</v>
      </c>
      <c r="AX463">
        <f t="shared" si="2900"/>
        <v>361608000</v>
      </c>
      <c r="AY463">
        <f t="shared" si="3238"/>
        <v>6026.7999999999993</v>
      </c>
      <c r="AZ463">
        <f t="shared" si="3239"/>
        <v>12053.599999999999</v>
      </c>
      <c r="BA463">
        <f t="shared" si="3240"/>
        <v>76128</v>
      </c>
      <c r="BB463">
        <f t="shared" si="3241"/>
        <v>3013.3999999999996</v>
      </c>
      <c r="BC463">
        <f t="shared" si="2901"/>
        <v>361608000</v>
      </c>
      <c r="BD463">
        <f t="shared" si="3242"/>
        <v>0.29411764705882354</v>
      </c>
      <c r="BE463" s="27">
        <f t="shared" si="2902"/>
        <v>389012028.35040003</v>
      </c>
      <c r="BF463" s="30">
        <f t="shared" si="3243"/>
        <v>0.42479999999999996</v>
      </c>
      <c r="BG463" s="27"/>
      <c r="BH463" s="27"/>
      <c r="BI463" s="27"/>
      <c r="CA463" s="20">
        <f t="shared" si="3244"/>
        <v>355</v>
      </c>
      <c r="CB463" s="20">
        <f t="shared" si="3245"/>
        <v>35500</v>
      </c>
    </row>
    <row r="464" spans="1:80" x14ac:dyDescent="0.15">
      <c r="A464">
        <v>5202</v>
      </c>
      <c r="B464" s="3" t="s">
        <v>115</v>
      </c>
      <c r="C464" s="4" t="s">
        <v>109</v>
      </c>
      <c r="D464" s="6" t="s">
        <v>110</v>
      </c>
      <c r="E464" s="5">
        <v>3</v>
      </c>
      <c r="F464" s="7" t="s">
        <v>142</v>
      </c>
      <c r="G464" s="5">
        <v>3</v>
      </c>
      <c r="H464" s="7" t="s">
        <v>188</v>
      </c>
      <c r="I464" s="5">
        <v>0</v>
      </c>
      <c r="J464" s="5">
        <v>0</v>
      </c>
      <c r="K464">
        <v>2</v>
      </c>
      <c r="L464">
        <v>1.5</v>
      </c>
      <c r="M464" s="5">
        <v>1.5</v>
      </c>
      <c r="N464" s="5">
        <v>10</v>
      </c>
      <c r="O464" s="5">
        <f t="shared" si="3225"/>
        <v>66147</v>
      </c>
      <c r="P464" s="5">
        <f t="shared" si="3226"/>
        <v>367536000</v>
      </c>
      <c r="Q464" s="5">
        <f t="shared" si="3227"/>
        <v>6125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70021</v>
      </c>
      <c r="X464" s="6" t="s">
        <v>180</v>
      </c>
      <c r="Y464" s="5">
        <v>300</v>
      </c>
      <c r="Z464" s="5">
        <v>1</v>
      </c>
      <c r="AA464" s="5">
        <v>90818058</v>
      </c>
      <c r="AB464" s="16" t="s">
        <v>111</v>
      </c>
      <c r="AC464" s="7" t="s">
        <v>112</v>
      </c>
      <c r="AD464" s="7" t="s">
        <v>112</v>
      </c>
      <c r="AE464" s="7" t="s">
        <v>112</v>
      </c>
      <c r="AF464" s="6" t="s">
        <v>113</v>
      </c>
      <c r="AG464" s="26" t="str">
        <f t="shared" ref="AG464" si="3317">CM$5</f>
        <v>4,33,28,33,6,4,33,28,33,6</v>
      </c>
      <c r="AH464" s="26" t="str">
        <f t="shared" ref="AH464" si="3318">CN$5</f>
        <v>0,7,0,7,1,0,7,0,7,1</v>
      </c>
      <c r="AI464" s="26" t="str">
        <f t="shared" ref="AI464" si="3319">CO$5</f>
        <v>0,0,0,0,1,0,0,0,0,1</v>
      </c>
      <c r="AJ464" s="26" t="str">
        <f t="shared" ref="AJ464" si="3320">CP$5</f>
        <v>0,0,0,0,5,0,0,0,0,5</v>
      </c>
      <c r="AK464" s="26" t="str">
        <f t="shared" ref="AK464" si="3321">CQ$5</f>
        <v>100,1,1000,2,5,200,1,1000,2,5</v>
      </c>
      <c r="AL464" s="26" t="str">
        <f t="shared" ref="AL464" si="3322">CR$5</f>
        <v>5,5,5,5,5,5,5,5,5,5</v>
      </c>
      <c r="AM464" s="7">
        <v>2001</v>
      </c>
      <c r="AO464">
        <f t="shared" ref="AO464" si="3323">AQ464*100+2</f>
        <v>5202</v>
      </c>
      <c r="AP464">
        <v>460</v>
      </c>
      <c r="AQ464">
        <f t="shared" si="3235"/>
        <v>52</v>
      </c>
      <c r="AR464">
        <v>10</v>
      </c>
      <c r="AS464" s="17">
        <f t="shared" si="3316"/>
        <v>300</v>
      </c>
      <c r="AT464">
        <v>9</v>
      </c>
      <c r="AU464">
        <f t="shared" si="3236"/>
        <v>30</v>
      </c>
      <c r="AV464">
        <v>150</v>
      </c>
      <c r="AW464">
        <f t="shared" si="3237"/>
        <v>66147.194879999995</v>
      </c>
      <c r="AX464">
        <f t="shared" si="2900"/>
        <v>367536000</v>
      </c>
      <c r="AY464">
        <f t="shared" si="3238"/>
        <v>6125.5999999999995</v>
      </c>
      <c r="AZ464">
        <f t="shared" si="3239"/>
        <v>12251.199999999999</v>
      </c>
      <c r="BA464">
        <f t="shared" si="3240"/>
        <v>77376</v>
      </c>
      <c r="BB464">
        <f t="shared" si="3241"/>
        <v>3062.7999999999997</v>
      </c>
      <c r="BC464">
        <f t="shared" si="2901"/>
        <v>367536000</v>
      </c>
      <c r="BD464">
        <f t="shared" si="3242"/>
        <v>0.29411764705882348</v>
      </c>
      <c r="BE464" s="27">
        <f t="shared" si="2902"/>
        <v>401871066.10559994</v>
      </c>
      <c r="BF464" s="30">
        <f t="shared" si="3243"/>
        <v>0.42479999999999996</v>
      </c>
      <c r="BG464" s="27"/>
      <c r="BH464" s="27"/>
      <c r="BI464" s="27"/>
      <c r="CA464" s="20">
        <f t="shared" si="3244"/>
        <v>355</v>
      </c>
      <c r="CB464" s="20">
        <f t="shared" si="3245"/>
        <v>35500</v>
      </c>
    </row>
    <row r="465" spans="1:80" x14ac:dyDescent="0.15">
      <c r="A465">
        <v>5203</v>
      </c>
      <c r="B465" s="3" t="s">
        <v>117</v>
      </c>
      <c r="C465" s="4" t="s">
        <v>109</v>
      </c>
      <c r="D465" s="4" t="s">
        <v>110</v>
      </c>
      <c r="E465" s="5">
        <v>1</v>
      </c>
      <c r="F465" s="7" t="s">
        <v>144</v>
      </c>
      <c r="G465" s="5">
        <v>3</v>
      </c>
      <c r="H465" s="7" t="s">
        <v>189</v>
      </c>
      <c r="I465" s="5">
        <v>0</v>
      </c>
      <c r="J465" s="2">
        <v>0</v>
      </c>
      <c r="K465">
        <v>6</v>
      </c>
      <c r="L465">
        <v>1.5</v>
      </c>
      <c r="M465" s="5">
        <v>1.5</v>
      </c>
      <c r="N465" s="5">
        <v>10</v>
      </c>
      <c r="O465" s="5">
        <f t="shared" si="3225"/>
        <v>67214</v>
      </c>
      <c r="P465" s="5">
        <f t="shared" si="3226"/>
        <v>373464000</v>
      </c>
      <c r="Q465" s="5">
        <f t="shared" si="3227"/>
        <v>6224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70031</v>
      </c>
      <c r="X465" s="6" t="s">
        <v>181</v>
      </c>
      <c r="Y465" s="5">
        <v>300</v>
      </c>
      <c r="Z465" s="5">
        <v>1</v>
      </c>
      <c r="AA465" s="5">
        <v>94090520</v>
      </c>
      <c r="AB465" s="16" t="s">
        <v>111</v>
      </c>
      <c r="AC465" s="7" t="s">
        <v>112</v>
      </c>
      <c r="AD465" s="7" t="s">
        <v>112</v>
      </c>
      <c r="AE465" s="7" t="s">
        <v>112</v>
      </c>
      <c r="AF465" s="6" t="s">
        <v>113</v>
      </c>
      <c r="AG465" s="26" t="str">
        <f t="shared" ref="AG465" si="3324">CM$6</f>
        <v>4,28,6,28,6,4,28,6,28,6</v>
      </c>
      <c r="AH465" s="26" t="str">
        <f t="shared" ref="AH465" si="3325">CN$6</f>
        <v>0,0,1,0,1,0,0,1,0,1</v>
      </c>
      <c r="AI465" s="26" t="str">
        <f t="shared" ref="AI465" si="3326">CO$6</f>
        <v>0,0,0,0,1,0,0,0,0,1</v>
      </c>
      <c r="AJ465" s="26" t="str">
        <f t="shared" ref="AJ465" si="3327">CP$6</f>
        <v>0,0,5,0,5,0,0,5,0,5</v>
      </c>
      <c r="AK465" s="26" t="str">
        <f t="shared" ref="AK465" si="3328">CQ$6</f>
        <v>100,1000,5,1500,5,200,1000,5,1500,5</v>
      </c>
      <c r="AL465" s="26" t="str">
        <f t="shared" ref="AL465" si="3329">CR$6</f>
        <v>5,5,5,5,5,5,5,5,5,5</v>
      </c>
      <c r="AM465" s="7">
        <v>2001</v>
      </c>
      <c r="AO465">
        <f t="shared" ref="AO465" si="3330">AQ465*100+3</f>
        <v>5203</v>
      </c>
      <c r="AP465">
        <v>461</v>
      </c>
      <c r="AQ465">
        <f t="shared" si="3235"/>
        <v>52</v>
      </c>
      <c r="AR465">
        <v>10</v>
      </c>
      <c r="AS465" s="17">
        <f t="shared" si="3316"/>
        <v>305</v>
      </c>
      <c r="AT465">
        <v>9</v>
      </c>
      <c r="AU465">
        <f t="shared" si="3236"/>
        <v>30</v>
      </c>
      <c r="AV465">
        <v>150</v>
      </c>
      <c r="AW465">
        <f t="shared" si="3237"/>
        <v>67214.085119999989</v>
      </c>
      <c r="AX465">
        <f t="shared" si="2900"/>
        <v>373464000</v>
      </c>
      <c r="AY465">
        <f t="shared" si="3238"/>
        <v>6224.4</v>
      </c>
      <c r="AZ465">
        <f t="shared" si="3239"/>
        <v>12448.8</v>
      </c>
      <c r="BA465">
        <f t="shared" si="3240"/>
        <v>78624</v>
      </c>
      <c r="BB465">
        <f t="shared" si="3241"/>
        <v>3112.2</v>
      </c>
      <c r="BC465">
        <f t="shared" si="2901"/>
        <v>373464000</v>
      </c>
      <c r="BD465">
        <f t="shared" si="3242"/>
        <v>0.29411764705882359</v>
      </c>
      <c r="BE465" s="27">
        <f t="shared" si="2902"/>
        <v>414939193.90560007</v>
      </c>
      <c r="BF465" s="30">
        <f t="shared" si="3243"/>
        <v>0.42479999999999996</v>
      </c>
      <c r="BG465" s="27"/>
      <c r="BH465" s="27"/>
      <c r="BI465" s="27"/>
      <c r="CA465" s="20">
        <f t="shared" si="3244"/>
        <v>355</v>
      </c>
      <c r="CB465" s="20">
        <f t="shared" si="3245"/>
        <v>35500</v>
      </c>
    </row>
    <row r="466" spans="1:80" x14ac:dyDescent="0.15">
      <c r="A466">
        <v>5204</v>
      </c>
      <c r="B466" s="3" t="s">
        <v>119</v>
      </c>
      <c r="C466" s="4" t="s">
        <v>109</v>
      </c>
      <c r="D466" s="6" t="s">
        <v>120</v>
      </c>
      <c r="E466" s="5">
        <v>3</v>
      </c>
      <c r="F466" s="7" t="s">
        <v>145</v>
      </c>
      <c r="G466" s="5">
        <v>3</v>
      </c>
      <c r="H466" s="7" t="s">
        <v>190</v>
      </c>
      <c r="I466" s="5">
        <v>0</v>
      </c>
      <c r="J466" s="5">
        <v>0</v>
      </c>
      <c r="K466">
        <v>2</v>
      </c>
      <c r="L466">
        <v>1.5</v>
      </c>
      <c r="M466" s="5">
        <v>1.5</v>
      </c>
      <c r="N466" s="5">
        <v>10</v>
      </c>
      <c r="O466" s="5">
        <f t="shared" si="3225"/>
        <v>68280</v>
      </c>
      <c r="P466" s="5">
        <f t="shared" si="3226"/>
        <v>379392000</v>
      </c>
      <c r="Q466" s="5">
        <f t="shared" si="3227"/>
        <v>6323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70041</v>
      </c>
      <c r="X466" s="6" t="s">
        <v>182</v>
      </c>
      <c r="Y466" s="5">
        <v>300</v>
      </c>
      <c r="Z466" s="5">
        <v>1</v>
      </c>
      <c r="AA466" s="5">
        <v>97420902</v>
      </c>
      <c r="AB466" s="16" t="s">
        <v>111</v>
      </c>
      <c r="AC466" s="7" t="s">
        <v>112</v>
      </c>
      <c r="AD466" s="7" t="s">
        <v>112</v>
      </c>
      <c r="AE466" s="7" t="s">
        <v>112</v>
      </c>
      <c r="AF466" s="6" t="s">
        <v>113</v>
      </c>
      <c r="AG466" s="26" t="str">
        <f t="shared" ref="AG466" si="3331">CM$7</f>
        <v>4,14,28,14,6,4,14,28,14,6</v>
      </c>
      <c r="AH466" s="26" t="str">
        <f t="shared" ref="AH466" si="3332">CN$7</f>
        <v>0,0,0,0,1,0,0,0,0,1</v>
      </c>
      <c r="AI466" s="26" t="str">
        <f t="shared" ref="AI466" si="3333">CO$7</f>
        <v>0,0,0,0,1,0,0,0,0,1</v>
      </c>
      <c r="AJ466" s="26" t="str">
        <f t="shared" ref="AJ466" si="3334">CP$7</f>
        <v>0,0,0,0,5,0,0,0,0,5</v>
      </c>
      <c r="AK466" s="26" t="str">
        <f t="shared" ref="AK466" si="3335">CQ$7</f>
        <v>100,1,1000,2,5,200,1,1000,2,5</v>
      </c>
      <c r="AL466" s="26" t="str">
        <f t="shared" ref="AL466" si="3336">CR$7</f>
        <v>5,5,5,5,5,5,5,5,5,5</v>
      </c>
      <c r="AM466" s="7">
        <v>2001</v>
      </c>
      <c r="AO466">
        <f t="shared" ref="AO466" si="3337">AQ466*100+4</f>
        <v>5204</v>
      </c>
      <c r="AP466">
        <v>462</v>
      </c>
      <c r="AQ466">
        <f t="shared" si="3235"/>
        <v>52</v>
      </c>
      <c r="AR466">
        <v>10</v>
      </c>
      <c r="AS466" s="17">
        <f t="shared" si="3316"/>
        <v>310</v>
      </c>
      <c r="AT466">
        <v>9</v>
      </c>
      <c r="AU466">
        <f t="shared" si="3236"/>
        <v>30</v>
      </c>
      <c r="AV466">
        <v>150</v>
      </c>
      <c r="AW466">
        <f t="shared" si="3237"/>
        <v>68280.975359999982</v>
      </c>
      <c r="AX466">
        <f t="shared" si="2900"/>
        <v>379392000</v>
      </c>
      <c r="AY466">
        <f t="shared" si="3238"/>
        <v>6323.2</v>
      </c>
      <c r="AZ466">
        <f t="shared" si="3239"/>
        <v>12646.4</v>
      </c>
      <c r="BA466">
        <f t="shared" si="3240"/>
        <v>79872</v>
      </c>
      <c r="BB466">
        <f t="shared" si="3241"/>
        <v>3161.6</v>
      </c>
      <c r="BC466">
        <f t="shared" si="2901"/>
        <v>379392000</v>
      </c>
      <c r="BD466">
        <f t="shared" si="3242"/>
        <v>0.29411764705882354</v>
      </c>
      <c r="BE466" s="27">
        <f t="shared" si="2902"/>
        <v>428216411.75040007</v>
      </c>
      <c r="BF466" s="30">
        <f t="shared" si="3243"/>
        <v>0.42479999999999996</v>
      </c>
      <c r="BG466" s="27"/>
      <c r="BH466" s="27"/>
      <c r="BI466" s="27"/>
      <c r="CA466" s="20">
        <f t="shared" si="3244"/>
        <v>355</v>
      </c>
      <c r="CB466" s="20">
        <f t="shared" si="3245"/>
        <v>35500</v>
      </c>
    </row>
    <row r="467" spans="1:80" x14ac:dyDescent="0.15">
      <c r="A467">
        <v>5205</v>
      </c>
      <c r="B467" s="3" t="s">
        <v>122</v>
      </c>
      <c r="C467" s="4" t="s">
        <v>109</v>
      </c>
      <c r="D467" s="4" t="s">
        <v>110</v>
      </c>
      <c r="E467" s="5">
        <v>2</v>
      </c>
      <c r="F467" s="7" t="s">
        <v>146</v>
      </c>
      <c r="G467" s="5">
        <v>3</v>
      </c>
      <c r="H467" s="7" t="s">
        <v>191</v>
      </c>
      <c r="I467" s="5">
        <v>0</v>
      </c>
      <c r="J467" s="7" t="s">
        <v>148</v>
      </c>
      <c r="K467">
        <v>6</v>
      </c>
      <c r="L467">
        <v>1.5</v>
      </c>
      <c r="M467" s="5">
        <v>1.5</v>
      </c>
      <c r="N467" s="5">
        <v>10</v>
      </c>
      <c r="O467" s="5">
        <f t="shared" si="3225"/>
        <v>69347</v>
      </c>
      <c r="P467" s="5">
        <f t="shared" si="3226"/>
        <v>385320000</v>
      </c>
      <c r="Q467" s="5">
        <f t="shared" si="3227"/>
        <v>6422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70051</v>
      </c>
      <c r="X467" s="6" t="s">
        <v>183</v>
      </c>
      <c r="Y467" s="5">
        <v>300</v>
      </c>
      <c r="Z467" s="5">
        <v>1</v>
      </c>
      <c r="AA467" s="5">
        <v>100809203</v>
      </c>
      <c r="AB467" s="16" t="s">
        <v>111</v>
      </c>
      <c r="AC467" s="7" t="s">
        <v>112</v>
      </c>
      <c r="AD467" s="7" t="s">
        <v>112</v>
      </c>
      <c r="AE467" s="7" t="s">
        <v>112</v>
      </c>
      <c r="AF467" s="6" t="s">
        <v>113</v>
      </c>
      <c r="AG467" s="26" t="str">
        <f t="shared" ref="AG467" si="3338">CM$8</f>
        <v>4,19,28,19,6,4,19,28,19,6</v>
      </c>
      <c r="AH467" s="26" t="str">
        <f t="shared" ref="AH467" si="3339">CN$8</f>
        <v>0,0,0,0,1,0,0,0,0,1</v>
      </c>
      <c r="AI467" s="26" t="str">
        <f t="shared" ref="AI467" si="3340">CO$8</f>
        <v>0,0,0,0,1,0,0,0,0,1</v>
      </c>
      <c r="AJ467" s="26" t="str">
        <f t="shared" ref="AJ467" si="3341">CP$8</f>
        <v>0,0,0,0,5,0,0,0,0,5</v>
      </c>
      <c r="AK467" s="26" t="str">
        <f t="shared" ref="AK467" si="3342">CQ$8</f>
        <v>200,100,1000,200,5,200,100,1000,200,5</v>
      </c>
      <c r="AL467" s="26" t="str">
        <f t="shared" ref="AL467" si="3343">CR$8</f>
        <v>5,5,5,5,5,5,5,5,5,5</v>
      </c>
      <c r="AM467" s="7">
        <v>2001</v>
      </c>
      <c r="AO467">
        <f t="shared" ref="AO467" si="3344">AQ467*100+5</f>
        <v>5205</v>
      </c>
      <c r="AP467">
        <v>463</v>
      </c>
      <c r="AQ467">
        <f t="shared" si="3235"/>
        <v>52</v>
      </c>
      <c r="AR467">
        <v>10</v>
      </c>
      <c r="AS467" s="17">
        <f t="shared" si="3316"/>
        <v>315</v>
      </c>
      <c r="AT467">
        <v>9</v>
      </c>
      <c r="AU467">
        <f t="shared" si="3236"/>
        <v>30</v>
      </c>
      <c r="AV467">
        <v>150</v>
      </c>
      <c r="AW467">
        <f t="shared" si="3237"/>
        <v>69347.86559999999</v>
      </c>
      <c r="AX467">
        <f t="shared" si="2900"/>
        <v>385320000</v>
      </c>
      <c r="AY467">
        <f t="shared" si="3238"/>
        <v>6422</v>
      </c>
      <c r="AZ467">
        <f t="shared" si="3239"/>
        <v>12844</v>
      </c>
      <c r="BA467">
        <f t="shared" si="3240"/>
        <v>81120</v>
      </c>
      <c r="BB467">
        <f t="shared" si="3241"/>
        <v>3211</v>
      </c>
      <c r="BC467">
        <f t="shared" si="2901"/>
        <v>385320000</v>
      </c>
      <c r="BD467">
        <f t="shared" si="3242"/>
        <v>0.29411764705882354</v>
      </c>
      <c r="BE467" s="27">
        <f t="shared" si="2902"/>
        <v>441702719.64000016</v>
      </c>
      <c r="BF467" s="30">
        <f t="shared" si="3243"/>
        <v>0.42479999999999996</v>
      </c>
      <c r="BG467" s="27"/>
      <c r="BH467" s="27"/>
      <c r="BI467" s="27"/>
      <c r="CA467" s="20">
        <f t="shared" si="3244"/>
        <v>355</v>
      </c>
      <c r="CB467" s="20">
        <f t="shared" si="3245"/>
        <v>35500</v>
      </c>
    </row>
    <row r="468" spans="1:80" x14ac:dyDescent="0.15">
      <c r="A468">
        <v>5206</v>
      </c>
      <c r="B468" s="3" t="s">
        <v>124</v>
      </c>
      <c r="C468" s="4" t="s">
        <v>109</v>
      </c>
      <c r="D468" s="6" t="s">
        <v>120</v>
      </c>
      <c r="E468" s="5">
        <v>1</v>
      </c>
      <c r="F468" s="7" t="s">
        <v>147</v>
      </c>
      <c r="G468" s="5">
        <v>3</v>
      </c>
      <c r="H468" s="7" t="s">
        <v>192</v>
      </c>
      <c r="I468" s="5">
        <v>0</v>
      </c>
      <c r="J468" s="7" t="s">
        <v>149</v>
      </c>
      <c r="K468">
        <v>6</v>
      </c>
      <c r="L468">
        <v>1.5</v>
      </c>
      <c r="M468" s="5">
        <v>1.5</v>
      </c>
      <c r="N468" s="5">
        <v>10</v>
      </c>
      <c r="O468" s="5">
        <f t="shared" si="3225"/>
        <v>70414</v>
      </c>
      <c r="P468" s="5">
        <f t="shared" si="3226"/>
        <v>391248000</v>
      </c>
      <c r="Q468" s="5">
        <f t="shared" si="3227"/>
        <v>6520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70061</v>
      </c>
      <c r="X468" s="6" t="s">
        <v>184</v>
      </c>
      <c r="Y468" s="5">
        <v>300</v>
      </c>
      <c r="Z468" s="5">
        <v>1</v>
      </c>
      <c r="AA468" s="5">
        <v>104255424</v>
      </c>
      <c r="AB468" s="16" t="s">
        <v>111</v>
      </c>
      <c r="AC468" s="7" t="s">
        <v>112</v>
      </c>
      <c r="AD468" s="7" t="s">
        <v>112</v>
      </c>
      <c r="AE468" s="7" t="s">
        <v>112</v>
      </c>
      <c r="AF468" s="6" t="s">
        <v>113</v>
      </c>
      <c r="AG468" s="26" t="str">
        <f t="shared" ref="AG468" si="3345">CM$9</f>
        <v>4,33,28,33,6,4,33,28,33,6</v>
      </c>
      <c r="AH468" s="26" t="str">
        <f t="shared" ref="AH468" si="3346">CN$9</f>
        <v>0,6,0,6,1,0,6,0,6,1</v>
      </c>
      <c r="AI468" s="26" t="str">
        <f t="shared" ref="AI468" si="3347">CO$9</f>
        <v>0,0,0,0,1,0,0,0,0,1</v>
      </c>
      <c r="AJ468" s="26" t="str">
        <f t="shared" ref="AJ468" si="3348">CP$9</f>
        <v>0,0,0,0,5,0,0,0,0,5</v>
      </c>
      <c r="AK468" s="26" t="str">
        <f t="shared" ref="AK468" si="3349">CQ$9</f>
        <v>200,1,1000,2,5,200,1,1000,2,5</v>
      </c>
      <c r="AL468" s="26" t="str">
        <f t="shared" ref="AL468" si="3350">CR$9</f>
        <v>5,5,5,5,5,5,5,5,5,5</v>
      </c>
      <c r="AM468" s="7">
        <v>2001</v>
      </c>
      <c r="AO468">
        <f t="shared" ref="AO468" si="3351">AQ468*100+6</f>
        <v>5206</v>
      </c>
      <c r="AP468">
        <v>464</v>
      </c>
      <c r="AQ468">
        <f t="shared" si="3235"/>
        <v>52</v>
      </c>
      <c r="AR468">
        <v>10</v>
      </c>
      <c r="AS468" s="17">
        <f t="shared" si="3316"/>
        <v>320</v>
      </c>
      <c r="AT468">
        <v>9</v>
      </c>
      <c r="AU468">
        <f t="shared" si="3236"/>
        <v>30</v>
      </c>
      <c r="AV468">
        <v>150</v>
      </c>
      <c r="AW468">
        <f t="shared" si="3237"/>
        <v>70414.755839999983</v>
      </c>
      <c r="AX468">
        <f t="shared" si="2900"/>
        <v>391247999.99999994</v>
      </c>
      <c r="AY468">
        <f t="shared" si="3238"/>
        <v>6520.7999999999993</v>
      </c>
      <c r="AZ468">
        <f t="shared" si="3239"/>
        <v>13041.599999999999</v>
      </c>
      <c r="BA468">
        <f t="shared" si="3240"/>
        <v>82368</v>
      </c>
      <c r="BB468">
        <f t="shared" si="3241"/>
        <v>3260.3999999999996</v>
      </c>
      <c r="BC468">
        <f t="shared" si="2901"/>
        <v>391247999.99999994</v>
      </c>
      <c r="BD468">
        <f t="shared" si="3242"/>
        <v>0.29411764705882354</v>
      </c>
      <c r="BE468" s="27">
        <f t="shared" si="2902"/>
        <v>455398117.57439989</v>
      </c>
      <c r="BF468" s="30">
        <f t="shared" si="3243"/>
        <v>0.42479999999999996</v>
      </c>
      <c r="BG468" s="27"/>
      <c r="BH468" s="27"/>
      <c r="BI468" s="27"/>
      <c r="CA468" s="20">
        <f t="shared" si="3244"/>
        <v>355</v>
      </c>
      <c r="CB468" s="20">
        <f t="shared" si="3245"/>
        <v>35500</v>
      </c>
    </row>
    <row r="469" spans="1:80" x14ac:dyDescent="0.15">
      <c r="A469">
        <v>5207</v>
      </c>
      <c r="B469" s="3" t="s">
        <v>126</v>
      </c>
      <c r="C469" s="4" t="s">
        <v>109</v>
      </c>
      <c r="D469" s="4" t="s">
        <v>110</v>
      </c>
      <c r="E469" s="5">
        <v>2</v>
      </c>
      <c r="F469" s="7" t="s">
        <v>143</v>
      </c>
      <c r="G469" s="5">
        <v>3</v>
      </c>
      <c r="H469" s="7" t="s">
        <v>193</v>
      </c>
      <c r="I469" s="5">
        <v>0</v>
      </c>
      <c r="J469" s="5">
        <v>0</v>
      </c>
      <c r="K469">
        <v>2</v>
      </c>
      <c r="L469">
        <v>1.5</v>
      </c>
      <c r="M469" s="5">
        <v>1.5</v>
      </c>
      <c r="N469" s="5">
        <v>10</v>
      </c>
      <c r="O469" s="5">
        <f t="shared" si="3225"/>
        <v>71481</v>
      </c>
      <c r="P469" s="5">
        <f t="shared" si="3226"/>
        <v>397176000</v>
      </c>
      <c r="Q469" s="5">
        <f t="shared" si="3227"/>
        <v>6619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70071</v>
      </c>
      <c r="X469" s="6" t="s">
        <v>185</v>
      </c>
      <c r="Y469" s="5">
        <v>300</v>
      </c>
      <c r="Z469" s="5">
        <v>1</v>
      </c>
      <c r="AA469" s="5">
        <v>107759565</v>
      </c>
      <c r="AB469" s="16" t="s">
        <v>111</v>
      </c>
      <c r="AC469" s="7" t="s">
        <v>112</v>
      </c>
      <c r="AD469" s="7" t="s">
        <v>112</v>
      </c>
      <c r="AE469" s="7" t="s">
        <v>112</v>
      </c>
      <c r="AF469" s="6" t="s">
        <v>113</v>
      </c>
      <c r="AG469" s="26" t="str">
        <f t="shared" ref="AG469" si="3352">CM$10</f>
        <v>4,14,28,14,6,4,14,28,14,6</v>
      </c>
      <c r="AH469" s="26" t="str">
        <f t="shared" ref="AH469" si="3353">CN$10</f>
        <v>0,0,0,0,1,0,0,0,0,1</v>
      </c>
      <c r="AI469" s="26" t="str">
        <f t="shared" ref="AI469" si="3354">CO$10</f>
        <v>0,0,0,0,1,0,0,0,0,1</v>
      </c>
      <c r="AJ469" s="26" t="str">
        <f t="shared" ref="AJ469" si="3355">CP$10</f>
        <v>0,0,0,0,5,0,0,0,0,5</v>
      </c>
      <c r="AK469" s="26" t="str">
        <f t="shared" ref="AK469" si="3356">CQ$10</f>
        <v>200,1,1000,2,5,200,1,1000,2,5</v>
      </c>
      <c r="AL469" s="26" t="str">
        <f t="shared" ref="AL469" si="3357">CR$10</f>
        <v>5,5,5,5,5,5,5,5,5,5</v>
      </c>
      <c r="AM469" s="7">
        <v>2001</v>
      </c>
      <c r="AO469">
        <f t="shared" ref="AO469" si="3358">AQ469*100+7</f>
        <v>5207</v>
      </c>
      <c r="AP469">
        <v>465</v>
      </c>
      <c r="AQ469">
        <f t="shared" si="3235"/>
        <v>52</v>
      </c>
      <c r="AR469">
        <v>10</v>
      </c>
      <c r="AS469" s="17">
        <f t="shared" si="3316"/>
        <v>325</v>
      </c>
      <c r="AT469">
        <v>9</v>
      </c>
      <c r="AU469">
        <f t="shared" si="3236"/>
        <v>30</v>
      </c>
      <c r="AV469">
        <v>150</v>
      </c>
      <c r="AW469">
        <f t="shared" si="3237"/>
        <v>71481.646080000006</v>
      </c>
      <c r="AX469">
        <f t="shared" si="2900"/>
        <v>397176000</v>
      </c>
      <c r="AY469">
        <f t="shared" si="3238"/>
        <v>6619.5999999999995</v>
      </c>
      <c r="AZ469">
        <f t="shared" si="3239"/>
        <v>13239.199999999999</v>
      </c>
      <c r="BA469">
        <f t="shared" si="3240"/>
        <v>83616.000000000015</v>
      </c>
      <c r="BB469">
        <f t="shared" si="3241"/>
        <v>3309.7999999999997</v>
      </c>
      <c r="BC469">
        <f t="shared" si="2901"/>
        <v>397176000</v>
      </c>
      <c r="BD469">
        <f t="shared" si="3242"/>
        <v>0.29411764705882354</v>
      </c>
      <c r="BE469" s="27">
        <f t="shared" si="2902"/>
        <v>469302605.55360001</v>
      </c>
      <c r="BF469" s="30">
        <f t="shared" si="3243"/>
        <v>0.42479999999999996</v>
      </c>
      <c r="BG469" s="27"/>
      <c r="BH469" s="27"/>
      <c r="BI469" s="27"/>
      <c r="CA469" s="20">
        <f t="shared" si="3244"/>
        <v>355</v>
      </c>
      <c r="CB469" s="20">
        <f t="shared" si="3245"/>
        <v>35500</v>
      </c>
    </row>
    <row r="470" spans="1:80" x14ac:dyDescent="0.15">
      <c r="A470">
        <v>5208</v>
      </c>
      <c r="B470" s="3" t="s">
        <v>128</v>
      </c>
      <c r="C470" s="4" t="s">
        <v>109</v>
      </c>
      <c r="D470" s="4" t="s">
        <v>110</v>
      </c>
      <c r="E470" s="5">
        <v>5</v>
      </c>
      <c r="F470" s="7" t="s">
        <v>129</v>
      </c>
      <c r="G470" s="5">
        <v>2</v>
      </c>
      <c r="H470" s="7" t="s">
        <v>130</v>
      </c>
      <c r="I470" s="5">
        <v>0</v>
      </c>
      <c r="J470" s="5">
        <v>0</v>
      </c>
      <c r="K470">
        <v>2</v>
      </c>
      <c r="L470">
        <v>1.5</v>
      </c>
      <c r="M470" s="5">
        <v>1.5</v>
      </c>
      <c r="N470" s="5">
        <v>10</v>
      </c>
      <c r="O470" s="5">
        <f t="shared" si="3225"/>
        <v>72548</v>
      </c>
      <c r="P470" s="5">
        <f t="shared" si="3226"/>
        <v>403104000</v>
      </c>
      <c r="Q470" s="5">
        <f t="shared" si="3227"/>
        <v>6718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70081</v>
      </c>
      <c r="X470" s="6" t="s">
        <v>186</v>
      </c>
      <c r="Y470" s="5">
        <v>300</v>
      </c>
      <c r="Z470" s="5">
        <v>1</v>
      </c>
      <c r="AA470" s="5">
        <v>111321625</v>
      </c>
      <c r="AB470" s="16" t="s">
        <v>111</v>
      </c>
      <c r="AC470" s="7" t="s">
        <v>112</v>
      </c>
      <c r="AD470" s="7" t="s">
        <v>112</v>
      </c>
      <c r="AE470" s="7" t="s">
        <v>112</v>
      </c>
      <c r="AF470" s="6" t="s">
        <v>113</v>
      </c>
      <c r="AG470" s="26" t="str">
        <f t="shared" ref="AG470" si="3359">CM$11</f>
        <v>4,28,6,28,6,4,28,6,28,6</v>
      </c>
      <c r="AH470" s="26" t="str">
        <f t="shared" ref="AH470" si="3360">CN$11</f>
        <v>0,0,1,0,1,0,0,1,0,1</v>
      </c>
      <c r="AI470" s="26" t="str">
        <f t="shared" ref="AI470" si="3361">CO$11</f>
        <v>0,0,1,0,1,0,0,1,0,1</v>
      </c>
      <c r="AJ470" s="26" t="str">
        <f t="shared" ref="AJ470" si="3362">CP$11</f>
        <v>0,0,5,0,5,0,0,5,0,5</v>
      </c>
      <c r="AK470" s="26" t="str">
        <f t="shared" ref="AK470" si="3363">CQ$11</f>
        <v>100,1000,5,1500,5,200,1000,5,1500,5</v>
      </c>
      <c r="AL470" s="26" t="str">
        <f t="shared" ref="AL470" si="3364">CR$11</f>
        <v>5,5,5,5,5,5,5,5,5,5</v>
      </c>
      <c r="AM470" s="7">
        <v>2001</v>
      </c>
      <c r="AO470">
        <f t="shared" ref="AO470" si="3365">AQ470*100+8</f>
        <v>5208</v>
      </c>
      <c r="AP470">
        <v>466</v>
      </c>
      <c r="AQ470">
        <f t="shared" si="3235"/>
        <v>52</v>
      </c>
      <c r="AR470">
        <v>10</v>
      </c>
      <c r="AS470" s="17">
        <f t="shared" si="3316"/>
        <v>330</v>
      </c>
      <c r="AT470">
        <v>9</v>
      </c>
      <c r="AU470">
        <f t="shared" si="3236"/>
        <v>30</v>
      </c>
      <c r="AV470">
        <v>150</v>
      </c>
      <c r="AW470">
        <f t="shared" si="3237"/>
        <v>72548.536319999999</v>
      </c>
      <c r="AX470">
        <f t="shared" ref="AX470:AX533" si="3366">BC470</f>
        <v>403104000</v>
      </c>
      <c r="AY470">
        <f t="shared" si="3238"/>
        <v>6718.4</v>
      </c>
      <c r="AZ470">
        <f t="shared" si="3239"/>
        <v>13436.8</v>
      </c>
      <c r="BA470">
        <f t="shared" si="3240"/>
        <v>84864.000000000015</v>
      </c>
      <c r="BB470">
        <f t="shared" si="3241"/>
        <v>3359.2</v>
      </c>
      <c r="BC470">
        <f t="shared" ref="BC470:BC533" si="3367">90/1.5*AZ470*(1/(1+AZ470/(5*BB470)))*6*AV470</f>
        <v>403104000</v>
      </c>
      <c r="BD470">
        <f t="shared" si="3242"/>
        <v>0.29411764705882359</v>
      </c>
      <c r="BE470" s="27">
        <f t="shared" ref="BE470:BE533" si="3368">BC470/10000/(1-BD470)/1*AZ470/L470*(1+0.1*0.5)*0.9*1</f>
        <v>483416183.57760006</v>
      </c>
      <c r="BF470" s="30">
        <f t="shared" si="3243"/>
        <v>0.42479999999999996</v>
      </c>
      <c r="BG470" s="27"/>
      <c r="BH470" s="27"/>
      <c r="BI470" s="27"/>
      <c r="CA470" s="20">
        <f t="shared" si="3244"/>
        <v>355</v>
      </c>
      <c r="CB470" s="20">
        <f t="shared" si="3245"/>
        <v>35500</v>
      </c>
    </row>
    <row r="471" spans="1:80" x14ac:dyDescent="0.15">
      <c r="A471">
        <v>5209</v>
      </c>
      <c r="B471" s="3" t="s">
        <v>132</v>
      </c>
      <c r="C471" s="4" t="s">
        <v>109</v>
      </c>
      <c r="D471" s="4" t="s">
        <v>110</v>
      </c>
      <c r="E471" s="5">
        <v>5</v>
      </c>
      <c r="F471" s="7" t="s">
        <v>140</v>
      </c>
      <c r="G471" s="5">
        <v>3</v>
      </c>
      <c r="H471" s="7" t="s">
        <v>140</v>
      </c>
      <c r="I471" s="5">
        <v>0</v>
      </c>
      <c r="J471" s="7">
        <v>0</v>
      </c>
      <c r="K471">
        <v>6</v>
      </c>
      <c r="L471">
        <v>1.5</v>
      </c>
      <c r="M471" s="5">
        <v>1.5</v>
      </c>
      <c r="N471" s="5">
        <v>10</v>
      </c>
      <c r="O471" s="5">
        <f t="shared" si="3225"/>
        <v>73615</v>
      </c>
      <c r="P471" s="5">
        <f t="shared" si="3226"/>
        <v>409032000</v>
      </c>
      <c r="Q471" s="5">
        <f t="shared" si="3227"/>
        <v>6817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70091</v>
      </c>
      <c r="X471" s="6" t="s">
        <v>187</v>
      </c>
      <c r="Y471" s="5">
        <v>300</v>
      </c>
      <c r="Z471" s="5">
        <v>1</v>
      </c>
      <c r="AA471" s="5">
        <v>114941605</v>
      </c>
      <c r="AB471" s="16" t="s">
        <v>111</v>
      </c>
      <c r="AC471" s="7" t="s">
        <v>112</v>
      </c>
      <c r="AD471" s="7" t="s">
        <v>112</v>
      </c>
      <c r="AE471" s="7" t="s">
        <v>112</v>
      </c>
      <c r="AF471" s="6" t="s">
        <v>113</v>
      </c>
      <c r="AG471" s="26" t="str">
        <f t="shared" ref="AG471" si="3369">CM$12</f>
        <v>4,33,28,33,6,4,33,28,33,6</v>
      </c>
      <c r="AH471" s="26" t="str">
        <f t="shared" ref="AH471" si="3370">CN$12</f>
        <v>0,5,0,5,1,0,5,0,5,1</v>
      </c>
      <c r="AI471" s="26" t="str">
        <f t="shared" ref="AI471" si="3371">CO$12</f>
        <v>0,0,0,0,1,0,0,0,0,1</v>
      </c>
      <c r="AJ471" s="26" t="str">
        <f t="shared" ref="AJ471" si="3372">CP$12</f>
        <v>0,0,0,0,5,0,0,0,0,5</v>
      </c>
      <c r="AK471" s="26" t="str">
        <f t="shared" ref="AK471" si="3373">CQ$12</f>
        <v>100,1,1000,2,5,200,1,1000,2,5</v>
      </c>
      <c r="AL471" s="26" t="str">
        <f t="shared" ref="AL471" si="3374">CR$12</f>
        <v>5,5,5,5,5,5,5,5,5,5</v>
      </c>
      <c r="AM471" s="7">
        <v>2001</v>
      </c>
      <c r="AO471">
        <f t="shared" ref="AO471" si="3375">AQ471*100+9</f>
        <v>5209</v>
      </c>
      <c r="AP471">
        <v>467</v>
      </c>
      <c r="AQ471">
        <f t="shared" si="3235"/>
        <v>52</v>
      </c>
      <c r="AR471">
        <v>10</v>
      </c>
      <c r="AS471" s="17">
        <f t="shared" si="3316"/>
        <v>335</v>
      </c>
      <c r="AT471">
        <v>9</v>
      </c>
      <c r="AU471">
        <f t="shared" si="3236"/>
        <v>30</v>
      </c>
      <c r="AV471">
        <v>150</v>
      </c>
      <c r="AW471">
        <f t="shared" si="3237"/>
        <v>73615.426559999993</v>
      </c>
      <c r="AX471">
        <f t="shared" si="3366"/>
        <v>409032000</v>
      </c>
      <c r="AY471">
        <f t="shared" si="3238"/>
        <v>6817.2</v>
      </c>
      <c r="AZ471">
        <f t="shared" si="3239"/>
        <v>13634.4</v>
      </c>
      <c r="BA471">
        <f t="shared" si="3240"/>
        <v>86112.000000000015</v>
      </c>
      <c r="BB471">
        <f t="shared" si="3241"/>
        <v>3408.6</v>
      </c>
      <c r="BC471">
        <f t="shared" si="3367"/>
        <v>409032000</v>
      </c>
      <c r="BD471">
        <f t="shared" si="3242"/>
        <v>0.29411764705882354</v>
      </c>
      <c r="BE471" s="27">
        <f t="shared" si="3368"/>
        <v>497738851.64640003</v>
      </c>
      <c r="BF471" s="30">
        <f t="shared" si="3243"/>
        <v>0.42479999999999996</v>
      </c>
      <c r="BG471" s="27"/>
      <c r="BH471" s="27"/>
      <c r="BI471" s="27"/>
      <c r="CA471" s="20">
        <f t="shared" si="3244"/>
        <v>355</v>
      </c>
      <c r="CB471" s="20">
        <f t="shared" si="3245"/>
        <v>35500</v>
      </c>
    </row>
    <row r="472" spans="1:80" x14ac:dyDescent="0.15">
      <c r="A472">
        <v>5301</v>
      </c>
      <c r="B472" s="3" t="s">
        <v>108</v>
      </c>
      <c r="C472" s="4" t="s">
        <v>109</v>
      </c>
      <c r="D472" s="4" t="s">
        <v>110</v>
      </c>
      <c r="E472" s="5">
        <v>3</v>
      </c>
      <c r="F472" s="7" t="s">
        <v>141</v>
      </c>
      <c r="G472" s="5">
        <v>2.5</v>
      </c>
      <c r="H472" s="7" t="s">
        <v>194</v>
      </c>
      <c r="I472" s="5">
        <v>0</v>
      </c>
      <c r="J472" s="5">
        <v>0</v>
      </c>
      <c r="K472">
        <v>2</v>
      </c>
      <c r="L472">
        <v>1.5</v>
      </c>
      <c r="M472" s="5">
        <v>1.5</v>
      </c>
      <c r="N472" s="5">
        <v>10</v>
      </c>
      <c r="O472" s="5">
        <f t="shared" si="3225"/>
        <v>66258</v>
      </c>
      <c r="P472" s="5">
        <f t="shared" si="3226"/>
        <v>367536000</v>
      </c>
      <c r="Q472" s="5">
        <f t="shared" si="3227"/>
        <v>6125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70011</v>
      </c>
      <c r="X472" s="6" t="s">
        <v>179</v>
      </c>
      <c r="Y472" s="5">
        <v>300</v>
      </c>
      <c r="Z472" s="5">
        <v>1</v>
      </c>
      <c r="AA472" s="5">
        <v>118619505</v>
      </c>
      <c r="AB472" s="16" t="s">
        <v>111</v>
      </c>
      <c r="AC472" s="7" t="s">
        <v>112</v>
      </c>
      <c r="AD472" s="7" t="s">
        <v>112</v>
      </c>
      <c r="AE472" s="7" t="s">
        <v>112</v>
      </c>
      <c r="AF472" s="6" t="s">
        <v>113</v>
      </c>
      <c r="AG472" s="26" t="str">
        <f t="shared" ref="AG472" si="3376">CM$4</f>
        <v>4,33,28,33,6,4,33,28,33,6</v>
      </c>
      <c r="AH472" s="26" t="str">
        <f t="shared" ref="AH472" si="3377">CN$4</f>
        <v>0,8,0,8,1,0,8,0,8,1</v>
      </c>
      <c r="AI472" s="26" t="str">
        <f t="shared" ref="AI472" si="3378">CO$4</f>
        <v>0,0,0,0,1,0,0,0,0,1</v>
      </c>
      <c r="AJ472" s="26" t="str">
        <f t="shared" ref="AJ472" si="3379">CP$4</f>
        <v>0,0,0,0,5,0,0,0,0,5</v>
      </c>
      <c r="AK472" s="26" t="str">
        <f t="shared" ref="AK472" si="3380">CQ$4</f>
        <v>100,1,1000,2,5,200,1,1000,2,5</v>
      </c>
      <c r="AL472" s="26" t="str">
        <f t="shared" ref="AL472" si="3381">CR$4</f>
        <v>5,5,5,5,5,5,5,5,5,5</v>
      </c>
      <c r="AM472" s="7">
        <v>2001</v>
      </c>
      <c r="AO472">
        <f t="shared" ref="AO472" si="3382">AQ472*100+1</f>
        <v>5301</v>
      </c>
      <c r="AP472">
        <v>468</v>
      </c>
      <c r="AQ472">
        <f t="shared" si="3235"/>
        <v>53</v>
      </c>
      <c r="AR472">
        <v>10</v>
      </c>
      <c r="AS472" s="17">
        <f t="shared" si="3316"/>
        <v>300</v>
      </c>
      <c r="AT472">
        <v>9</v>
      </c>
      <c r="AU472">
        <f t="shared" si="3236"/>
        <v>30</v>
      </c>
      <c r="AV472">
        <v>150</v>
      </c>
      <c r="AW472">
        <f t="shared" si="3237"/>
        <v>66258.616320000001</v>
      </c>
      <c r="AX472">
        <f t="shared" si="3366"/>
        <v>367536000</v>
      </c>
      <c r="AY472">
        <f t="shared" si="3238"/>
        <v>6125.5999999999995</v>
      </c>
      <c r="AZ472">
        <f t="shared" si="3239"/>
        <v>12251.199999999999</v>
      </c>
      <c r="BA472">
        <f t="shared" si="3240"/>
        <v>77376</v>
      </c>
      <c r="BB472">
        <f t="shared" si="3241"/>
        <v>3062.7999999999997</v>
      </c>
      <c r="BC472">
        <f t="shared" si="3367"/>
        <v>367536000</v>
      </c>
      <c r="BD472">
        <f t="shared" si="3242"/>
        <v>0.29411764705882348</v>
      </c>
      <c r="BE472" s="27">
        <f t="shared" si="3368"/>
        <v>401871066.10559994</v>
      </c>
      <c r="BF472" s="30">
        <f t="shared" si="3243"/>
        <v>0.42719999999999997</v>
      </c>
      <c r="BG472" s="27"/>
      <c r="BH472" s="27"/>
      <c r="BI472" s="27"/>
      <c r="CA472" s="20">
        <f t="shared" si="3244"/>
        <v>360</v>
      </c>
      <c r="CB472" s="20">
        <f t="shared" si="3245"/>
        <v>36000</v>
      </c>
    </row>
    <row r="473" spans="1:80" x14ac:dyDescent="0.15">
      <c r="A473">
        <v>5302</v>
      </c>
      <c r="B473" s="3" t="s">
        <v>115</v>
      </c>
      <c r="C473" s="4" t="s">
        <v>109</v>
      </c>
      <c r="D473" s="6" t="s">
        <v>110</v>
      </c>
      <c r="E473" s="5">
        <v>3</v>
      </c>
      <c r="F473" s="7" t="s">
        <v>142</v>
      </c>
      <c r="G473" s="5">
        <v>3</v>
      </c>
      <c r="H473" s="7" t="s">
        <v>188</v>
      </c>
      <c r="I473" s="5">
        <v>0</v>
      </c>
      <c r="J473" s="5">
        <v>0</v>
      </c>
      <c r="K473">
        <v>2</v>
      </c>
      <c r="L473">
        <v>1.5</v>
      </c>
      <c r="M473" s="5">
        <v>1.5</v>
      </c>
      <c r="N473" s="5">
        <v>10</v>
      </c>
      <c r="O473" s="5">
        <f t="shared" si="3225"/>
        <v>67327</v>
      </c>
      <c r="P473" s="5">
        <f t="shared" si="3226"/>
        <v>373464000</v>
      </c>
      <c r="Q473" s="5">
        <f t="shared" si="3227"/>
        <v>6224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70021</v>
      </c>
      <c r="X473" s="6" t="s">
        <v>180</v>
      </c>
      <c r="Y473" s="5">
        <v>300</v>
      </c>
      <c r="Z473" s="5">
        <v>1</v>
      </c>
      <c r="AA473" s="5">
        <v>94090520</v>
      </c>
      <c r="AB473" s="16" t="s">
        <v>111</v>
      </c>
      <c r="AC473" s="7" t="s">
        <v>112</v>
      </c>
      <c r="AD473" s="7" t="s">
        <v>112</v>
      </c>
      <c r="AE473" s="7" t="s">
        <v>112</v>
      </c>
      <c r="AF473" s="6" t="s">
        <v>113</v>
      </c>
      <c r="AG473" s="26" t="str">
        <f t="shared" ref="AG473" si="3383">CM$5</f>
        <v>4,33,28,33,6,4,33,28,33,6</v>
      </c>
      <c r="AH473" s="26" t="str">
        <f t="shared" ref="AH473" si="3384">CN$5</f>
        <v>0,7,0,7,1,0,7,0,7,1</v>
      </c>
      <c r="AI473" s="26" t="str">
        <f t="shared" ref="AI473" si="3385">CO$5</f>
        <v>0,0,0,0,1,0,0,0,0,1</v>
      </c>
      <c r="AJ473" s="26" t="str">
        <f t="shared" ref="AJ473" si="3386">CP$5</f>
        <v>0,0,0,0,5,0,0,0,0,5</v>
      </c>
      <c r="AK473" s="26" t="str">
        <f t="shared" ref="AK473" si="3387">CQ$5</f>
        <v>100,1,1000,2,5,200,1,1000,2,5</v>
      </c>
      <c r="AL473" s="26" t="str">
        <f t="shared" ref="AL473" si="3388">CR$5</f>
        <v>5,5,5,5,5,5,5,5,5,5</v>
      </c>
      <c r="AM473" s="7">
        <v>2001</v>
      </c>
      <c r="AO473">
        <f t="shared" ref="AO473" si="3389">AQ473*100+2</f>
        <v>5302</v>
      </c>
      <c r="AP473">
        <v>469</v>
      </c>
      <c r="AQ473">
        <f t="shared" si="3235"/>
        <v>53</v>
      </c>
      <c r="AR473">
        <v>10</v>
      </c>
      <c r="AS473" s="17">
        <f t="shared" si="3316"/>
        <v>305</v>
      </c>
      <c r="AT473">
        <v>9</v>
      </c>
      <c r="AU473">
        <f t="shared" si="3236"/>
        <v>30</v>
      </c>
      <c r="AV473">
        <v>150</v>
      </c>
      <c r="AW473">
        <f t="shared" si="3237"/>
        <v>67327.303679999997</v>
      </c>
      <c r="AX473">
        <f t="shared" si="3366"/>
        <v>373464000</v>
      </c>
      <c r="AY473">
        <f t="shared" si="3238"/>
        <v>6224.4</v>
      </c>
      <c r="AZ473">
        <f t="shared" si="3239"/>
        <v>12448.8</v>
      </c>
      <c r="BA473">
        <f t="shared" si="3240"/>
        <v>78624</v>
      </c>
      <c r="BB473">
        <f t="shared" si="3241"/>
        <v>3112.2</v>
      </c>
      <c r="BC473">
        <f t="shared" si="3367"/>
        <v>373464000</v>
      </c>
      <c r="BD473">
        <f t="shared" si="3242"/>
        <v>0.29411764705882359</v>
      </c>
      <c r="BE473" s="27">
        <f t="shared" si="3368"/>
        <v>414939193.90560007</v>
      </c>
      <c r="BF473" s="30">
        <f t="shared" si="3243"/>
        <v>0.42719999999999997</v>
      </c>
      <c r="BG473" s="27"/>
      <c r="BH473" s="27"/>
      <c r="BI473" s="27"/>
      <c r="CA473" s="20">
        <f t="shared" si="3244"/>
        <v>360</v>
      </c>
      <c r="CB473" s="20">
        <f t="shared" si="3245"/>
        <v>36000</v>
      </c>
    </row>
    <row r="474" spans="1:80" x14ac:dyDescent="0.15">
      <c r="A474">
        <v>5303</v>
      </c>
      <c r="B474" s="3" t="s">
        <v>117</v>
      </c>
      <c r="C474" s="4" t="s">
        <v>109</v>
      </c>
      <c r="D474" s="4" t="s">
        <v>110</v>
      </c>
      <c r="E474" s="5">
        <v>1</v>
      </c>
      <c r="F474" s="7" t="s">
        <v>144</v>
      </c>
      <c r="G474" s="5">
        <v>3</v>
      </c>
      <c r="H474" s="7" t="s">
        <v>189</v>
      </c>
      <c r="I474" s="5">
        <v>0</v>
      </c>
      <c r="J474" s="2">
        <v>0</v>
      </c>
      <c r="K474">
        <v>6</v>
      </c>
      <c r="L474">
        <v>1.5</v>
      </c>
      <c r="M474" s="5">
        <v>1.5</v>
      </c>
      <c r="N474" s="5">
        <v>10</v>
      </c>
      <c r="O474" s="5">
        <f t="shared" si="3225"/>
        <v>68395</v>
      </c>
      <c r="P474" s="5">
        <f t="shared" si="3226"/>
        <v>379392000</v>
      </c>
      <c r="Q474" s="5">
        <f t="shared" si="3227"/>
        <v>6323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70031</v>
      </c>
      <c r="X474" s="6" t="s">
        <v>181</v>
      </c>
      <c r="Y474" s="5">
        <v>300</v>
      </c>
      <c r="Z474" s="5">
        <v>1</v>
      </c>
      <c r="AA474" s="5">
        <v>97420902</v>
      </c>
      <c r="AB474" s="16" t="s">
        <v>111</v>
      </c>
      <c r="AC474" s="7" t="s">
        <v>112</v>
      </c>
      <c r="AD474" s="7" t="s">
        <v>112</v>
      </c>
      <c r="AE474" s="7" t="s">
        <v>112</v>
      </c>
      <c r="AF474" s="6" t="s">
        <v>113</v>
      </c>
      <c r="AG474" s="26" t="str">
        <f t="shared" ref="AG474" si="3390">CM$6</f>
        <v>4,28,6,28,6,4,28,6,28,6</v>
      </c>
      <c r="AH474" s="26" t="str">
        <f t="shared" ref="AH474" si="3391">CN$6</f>
        <v>0,0,1,0,1,0,0,1,0,1</v>
      </c>
      <c r="AI474" s="26" t="str">
        <f t="shared" ref="AI474" si="3392">CO$6</f>
        <v>0,0,0,0,1,0,0,0,0,1</v>
      </c>
      <c r="AJ474" s="26" t="str">
        <f t="shared" ref="AJ474" si="3393">CP$6</f>
        <v>0,0,5,0,5,0,0,5,0,5</v>
      </c>
      <c r="AK474" s="26" t="str">
        <f t="shared" ref="AK474" si="3394">CQ$6</f>
        <v>100,1000,5,1500,5,200,1000,5,1500,5</v>
      </c>
      <c r="AL474" s="26" t="str">
        <f t="shared" ref="AL474" si="3395">CR$6</f>
        <v>5,5,5,5,5,5,5,5,5,5</v>
      </c>
      <c r="AM474" s="7">
        <v>2001</v>
      </c>
      <c r="AO474">
        <f t="shared" ref="AO474" si="3396">AQ474*100+3</f>
        <v>5303</v>
      </c>
      <c r="AP474">
        <v>470</v>
      </c>
      <c r="AQ474">
        <f t="shared" si="3235"/>
        <v>53</v>
      </c>
      <c r="AR474">
        <v>10</v>
      </c>
      <c r="AS474" s="17">
        <f t="shared" si="3316"/>
        <v>310</v>
      </c>
      <c r="AT474">
        <v>9</v>
      </c>
      <c r="AU474">
        <f t="shared" si="3236"/>
        <v>30</v>
      </c>
      <c r="AV474">
        <v>150</v>
      </c>
      <c r="AW474">
        <f t="shared" si="3237"/>
        <v>68395.991039999994</v>
      </c>
      <c r="AX474">
        <f t="shared" si="3366"/>
        <v>379392000</v>
      </c>
      <c r="AY474">
        <f t="shared" si="3238"/>
        <v>6323.2</v>
      </c>
      <c r="AZ474">
        <f t="shared" si="3239"/>
        <v>12646.4</v>
      </c>
      <c r="BA474">
        <f t="shared" si="3240"/>
        <v>79872</v>
      </c>
      <c r="BB474">
        <f t="shared" si="3241"/>
        <v>3161.6</v>
      </c>
      <c r="BC474">
        <f t="shared" si="3367"/>
        <v>379392000</v>
      </c>
      <c r="BD474">
        <f t="shared" si="3242"/>
        <v>0.29411764705882354</v>
      </c>
      <c r="BE474" s="27">
        <f t="shared" si="3368"/>
        <v>428216411.75040007</v>
      </c>
      <c r="BF474" s="30">
        <f t="shared" si="3243"/>
        <v>0.42719999999999997</v>
      </c>
      <c r="BG474" s="27"/>
      <c r="BH474" s="27"/>
      <c r="BI474" s="27"/>
      <c r="CA474" s="20">
        <f t="shared" si="3244"/>
        <v>360</v>
      </c>
      <c r="CB474" s="20">
        <f t="shared" si="3245"/>
        <v>36000</v>
      </c>
    </row>
    <row r="475" spans="1:80" x14ac:dyDescent="0.15">
      <c r="A475">
        <v>5304</v>
      </c>
      <c r="B475" s="3" t="s">
        <v>119</v>
      </c>
      <c r="C475" s="4" t="s">
        <v>109</v>
      </c>
      <c r="D475" s="6" t="s">
        <v>120</v>
      </c>
      <c r="E475" s="5">
        <v>3</v>
      </c>
      <c r="F475" s="7" t="s">
        <v>145</v>
      </c>
      <c r="G475" s="5">
        <v>3</v>
      </c>
      <c r="H475" s="7" t="s">
        <v>190</v>
      </c>
      <c r="I475" s="5">
        <v>0</v>
      </c>
      <c r="J475" s="5">
        <v>0</v>
      </c>
      <c r="K475">
        <v>2</v>
      </c>
      <c r="L475">
        <v>1.5</v>
      </c>
      <c r="M475" s="5">
        <v>1.5</v>
      </c>
      <c r="N475" s="5">
        <v>10</v>
      </c>
      <c r="O475" s="5">
        <f t="shared" si="3225"/>
        <v>69464</v>
      </c>
      <c r="P475" s="5">
        <f t="shared" si="3226"/>
        <v>385320000</v>
      </c>
      <c r="Q475" s="5">
        <f t="shared" si="3227"/>
        <v>6422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70041</v>
      </c>
      <c r="X475" s="6" t="s">
        <v>182</v>
      </c>
      <c r="Y475" s="5">
        <v>300</v>
      </c>
      <c r="Z475" s="5">
        <v>1</v>
      </c>
      <c r="AA475" s="5">
        <v>100809203</v>
      </c>
      <c r="AB475" s="16" t="s">
        <v>111</v>
      </c>
      <c r="AC475" s="7" t="s">
        <v>112</v>
      </c>
      <c r="AD475" s="7" t="s">
        <v>112</v>
      </c>
      <c r="AE475" s="7" t="s">
        <v>112</v>
      </c>
      <c r="AF475" s="6" t="s">
        <v>113</v>
      </c>
      <c r="AG475" s="26" t="str">
        <f t="shared" ref="AG475" si="3397">CM$7</f>
        <v>4,14,28,14,6,4,14,28,14,6</v>
      </c>
      <c r="AH475" s="26" t="str">
        <f t="shared" ref="AH475" si="3398">CN$7</f>
        <v>0,0,0,0,1,0,0,0,0,1</v>
      </c>
      <c r="AI475" s="26" t="str">
        <f t="shared" ref="AI475" si="3399">CO$7</f>
        <v>0,0,0,0,1,0,0,0,0,1</v>
      </c>
      <c r="AJ475" s="26" t="str">
        <f t="shared" ref="AJ475" si="3400">CP$7</f>
        <v>0,0,0,0,5,0,0,0,0,5</v>
      </c>
      <c r="AK475" s="26" t="str">
        <f t="shared" ref="AK475" si="3401">CQ$7</f>
        <v>100,1,1000,2,5,200,1,1000,2,5</v>
      </c>
      <c r="AL475" s="26" t="str">
        <f t="shared" ref="AL475" si="3402">CR$7</f>
        <v>5,5,5,5,5,5,5,5,5,5</v>
      </c>
      <c r="AM475" s="7">
        <v>2001</v>
      </c>
      <c r="AO475">
        <f t="shared" ref="AO475" si="3403">AQ475*100+4</f>
        <v>5304</v>
      </c>
      <c r="AP475">
        <v>471</v>
      </c>
      <c r="AQ475">
        <f t="shared" si="3235"/>
        <v>53</v>
      </c>
      <c r="AR475">
        <v>10</v>
      </c>
      <c r="AS475" s="17">
        <f t="shared" si="3316"/>
        <v>315</v>
      </c>
      <c r="AT475">
        <v>9</v>
      </c>
      <c r="AU475">
        <f t="shared" si="3236"/>
        <v>30</v>
      </c>
      <c r="AV475">
        <v>150</v>
      </c>
      <c r="AW475">
        <f t="shared" si="3237"/>
        <v>69464.678400000004</v>
      </c>
      <c r="AX475">
        <f t="shared" si="3366"/>
        <v>385320000</v>
      </c>
      <c r="AY475">
        <f t="shared" si="3238"/>
        <v>6422</v>
      </c>
      <c r="AZ475">
        <f t="shared" si="3239"/>
        <v>12844</v>
      </c>
      <c r="BA475">
        <f t="shared" si="3240"/>
        <v>81120</v>
      </c>
      <c r="BB475">
        <f t="shared" si="3241"/>
        <v>3211</v>
      </c>
      <c r="BC475">
        <f t="shared" si="3367"/>
        <v>385320000</v>
      </c>
      <c r="BD475">
        <f t="shared" si="3242"/>
        <v>0.29411764705882354</v>
      </c>
      <c r="BE475" s="27">
        <f t="shared" si="3368"/>
        <v>441702719.64000016</v>
      </c>
      <c r="BF475" s="30">
        <f t="shared" si="3243"/>
        <v>0.42719999999999997</v>
      </c>
      <c r="BG475" s="27"/>
      <c r="BH475" s="27"/>
      <c r="BI475" s="27"/>
      <c r="CA475" s="20">
        <f t="shared" si="3244"/>
        <v>360</v>
      </c>
      <c r="CB475" s="20">
        <f t="shared" si="3245"/>
        <v>36000</v>
      </c>
    </row>
    <row r="476" spans="1:80" x14ac:dyDescent="0.15">
      <c r="A476">
        <v>5305</v>
      </c>
      <c r="B476" s="3" t="s">
        <v>122</v>
      </c>
      <c r="C476" s="4" t="s">
        <v>109</v>
      </c>
      <c r="D476" s="4" t="s">
        <v>110</v>
      </c>
      <c r="E476" s="5">
        <v>2</v>
      </c>
      <c r="F476" s="7" t="s">
        <v>146</v>
      </c>
      <c r="G476" s="5">
        <v>3</v>
      </c>
      <c r="H476" s="7" t="s">
        <v>191</v>
      </c>
      <c r="I476" s="5">
        <v>0</v>
      </c>
      <c r="J476" s="7" t="s">
        <v>148</v>
      </c>
      <c r="K476">
        <v>6</v>
      </c>
      <c r="L476">
        <v>1.5</v>
      </c>
      <c r="M476" s="5">
        <v>1.5</v>
      </c>
      <c r="N476" s="5">
        <v>10</v>
      </c>
      <c r="O476" s="5">
        <f t="shared" si="3225"/>
        <v>70533</v>
      </c>
      <c r="P476" s="5">
        <f t="shared" si="3226"/>
        <v>391248000</v>
      </c>
      <c r="Q476" s="5">
        <f t="shared" si="3227"/>
        <v>6520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70051</v>
      </c>
      <c r="X476" s="6" t="s">
        <v>183</v>
      </c>
      <c r="Y476" s="5">
        <v>300</v>
      </c>
      <c r="Z476" s="5">
        <v>1</v>
      </c>
      <c r="AA476" s="5">
        <v>104255424</v>
      </c>
      <c r="AB476" s="16" t="s">
        <v>111</v>
      </c>
      <c r="AC476" s="7" t="s">
        <v>112</v>
      </c>
      <c r="AD476" s="7" t="s">
        <v>112</v>
      </c>
      <c r="AE476" s="7" t="s">
        <v>112</v>
      </c>
      <c r="AF476" s="6" t="s">
        <v>113</v>
      </c>
      <c r="AG476" s="26" t="str">
        <f t="shared" ref="AG476" si="3404">CM$8</f>
        <v>4,19,28,19,6,4,19,28,19,6</v>
      </c>
      <c r="AH476" s="26" t="str">
        <f t="shared" ref="AH476" si="3405">CN$8</f>
        <v>0,0,0,0,1,0,0,0,0,1</v>
      </c>
      <c r="AI476" s="26" t="str">
        <f t="shared" ref="AI476" si="3406">CO$8</f>
        <v>0,0,0,0,1,0,0,0,0,1</v>
      </c>
      <c r="AJ476" s="26" t="str">
        <f t="shared" ref="AJ476" si="3407">CP$8</f>
        <v>0,0,0,0,5,0,0,0,0,5</v>
      </c>
      <c r="AK476" s="26" t="str">
        <f t="shared" ref="AK476" si="3408">CQ$8</f>
        <v>200,100,1000,200,5,200,100,1000,200,5</v>
      </c>
      <c r="AL476" s="26" t="str">
        <f t="shared" ref="AL476" si="3409">CR$8</f>
        <v>5,5,5,5,5,5,5,5,5,5</v>
      </c>
      <c r="AM476" s="7">
        <v>2001</v>
      </c>
      <c r="AO476">
        <f t="shared" ref="AO476" si="3410">AQ476*100+5</f>
        <v>5305</v>
      </c>
      <c r="AP476">
        <v>472</v>
      </c>
      <c r="AQ476">
        <f t="shared" si="3235"/>
        <v>53</v>
      </c>
      <c r="AR476">
        <v>10</v>
      </c>
      <c r="AS476" s="17">
        <f t="shared" si="3316"/>
        <v>320</v>
      </c>
      <c r="AT476">
        <v>9</v>
      </c>
      <c r="AU476">
        <f t="shared" si="3236"/>
        <v>30</v>
      </c>
      <c r="AV476">
        <v>150</v>
      </c>
      <c r="AW476">
        <f t="shared" si="3237"/>
        <v>70533.365760000001</v>
      </c>
      <c r="AX476">
        <f t="shared" si="3366"/>
        <v>391247999.99999994</v>
      </c>
      <c r="AY476">
        <f t="shared" si="3238"/>
        <v>6520.7999999999993</v>
      </c>
      <c r="AZ476">
        <f t="shared" si="3239"/>
        <v>13041.599999999999</v>
      </c>
      <c r="BA476">
        <f t="shared" si="3240"/>
        <v>82368</v>
      </c>
      <c r="BB476">
        <f t="shared" si="3241"/>
        <v>3260.3999999999996</v>
      </c>
      <c r="BC476">
        <f t="shared" si="3367"/>
        <v>391247999.99999994</v>
      </c>
      <c r="BD476">
        <f t="shared" si="3242"/>
        <v>0.29411764705882354</v>
      </c>
      <c r="BE476" s="27">
        <f t="shared" si="3368"/>
        <v>455398117.57439989</v>
      </c>
      <c r="BF476" s="30">
        <f t="shared" si="3243"/>
        <v>0.42719999999999997</v>
      </c>
      <c r="BG476" s="27"/>
      <c r="BH476" s="27"/>
      <c r="BI476" s="27"/>
      <c r="CA476" s="20">
        <f t="shared" si="3244"/>
        <v>360</v>
      </c>
      <c r="CB476" s="20">
        <f t="shared" si="3245"/>
        <v>36000</v>
      </c>
    </row>
    <row r="477" spans="1:80" x14ac:dyDescent="0.15">
      <c r="A477">
        <v>5306</v>
      </c>
      <c r="B477" s="3" t="s">
        <v>124</v>
      </c>
      <c r="C477" s="4" t="s">
        <v>109</v>
      </c>
      <c r="D477" s="6" t="s">
        <v>120</v>
      </c>
      <c r="E477" s="5">
        <v>1</v>
      </c>
      <c r="F477" s="7" t="s">
        <v>147</v>
      </c>
      <c r="G477" s="5">
        <v>3</v>
      </c>
      <c r="H477" s="7" t="s">
        <v>192</v>
      </c>
      <c r="I477" s="5">
        <v>0</v>
      </c>
      <c r="J477" s="7" t="s">
        <v>149</v>
      </c>
      <c r="K477">
        <v>6</v>
      </c>
      <c r="L477">
        <v>1.5</v>
      </c>
      <c r="M477" s="5">
        <v>1.5</v>
      </c>
      <c r="N477" s="5">
        <v>10</v>
      </c>
      <c r="O477" s="5">
        <f t="shared" si="3225"/>
        <v>71602</v>
      </c>
      <c r="P477" s="5">
        <f t="shared" si="3226"/>
        <v>397176000</v>
      </c>
      <c r="Q477" s="5">
        <f t="shared" si="3227"/>
        <v>6619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70061</v>
      </c>
      <c r="X477" s="6" t="s">
        <v>184</v>
      </c>
      <c r="Y477" s="5">
        <v>300</v>
      </c>
      <c r="Z477" s="5">
        <v>1</v>
      </c>
      <c r="AA477" s="5">
        <v>107759565</v>
      </c>
      <c r="AB477" s="16" t="s">
        <v>111</v>
      </c>
      <c r="AC477" s="7" t="s">
        <v>112</v>
      </c>
      <c r="AD477" s="7" t="s">
        <v>112</v>
      </c>
      <c r="AE477" s="7" t="s">
        <v>112</v>
      </c>
      <c r="AF477" s="6" t="s">
        <v>113</v>
      </c>
      <c r="AG477" s="26" t="str">
        <f t="shared" ref="AG477" si="3411">CM$9</f>
        <v>4,33,28,33,6,4,33,28,33,6</v>
      </c>
      <c r="AH477" s="26" t="str">
        <f t="shared" ref="AH477" si="3412">CN$9</f>
        <v>0,6,0,6,1,0,6,0,6,1</v>
      </c>
      <c r="AI477" s="26" t="str">
        <f t="shared" ref="AI477" si="3413">CO$9</f>
        <v>0,0,0,0,1,0,0,0,0,1</v>
      </c>
      <c r="AJ477" s="26" t="str">
        <f t="shared" ref="AJ477" si="3414">CP$9</f>
        <v>0,0,0,0,5,0,0,0,0,5</v>
      </c>
      <c r="AK477" s="26" t="str">
        <f t="shared" ref="AK477" si="3415">CQ$9</f>
        <v>200,1,1000,2,5,200,1,1000,2,5</v>
      </c>
      <c r="AL477" s="26" t="str">
        <f t="shared" ref="AL477" si="3416">CR$9</f>
        <v>5,5,5,5,5,5,5,5,5,5</v>
      </c>
      <c r="AM477" s="7">
        <v>2001</v>
      </c>
      <c r="AO477">
        <f t="shared" ref="AO477" si="3417">AQ477*100+6</f>
        <v>5306</v>
      </c>
      <c r="AP477">
        <v>473</v>
      </c>
      <c r="AQ477">
        <f t="shared" si="3235"/>
        <v>53</v>
      </c>
      <c r="AR477">
        <v>10</v>
      </c>
      <c r="AS477" s="17">
        <f t="shared" si="3316"/>
        <v>325</v>
      </c>
      <c r="AT477">
        <v>9</v>
      </c>
      <c r="AU477">
        <f t="shared" si="3236"/>
        <v>30</v>
      </c>
      <c r="AV477">
        <v>150</v>
      </c>
      <c r="AW477">
        <f t="shared" si="3237"/>
        <v>71602.053120000011</v>
      </c>
      <c r="AX477">
        <f t="shared" si="3366"/>
        <v>397176000</v>
      </c>
      <c r="AY477">
        <f t="shared" si="3238"/>
        <v>6619.5999999999995</v>
      </c>
      <c r="AZ477">
        <f t="shared" si="3239"/>
        <v>13239.199999999999</v>
      </c>
      <c r="BA477">
        <f t="shared" si="3240"/>
        <v>83616.000000000015</v>
      </c>
      <c r="BB477">
        <f t="shared" si="3241"/>
        <v>3309.7999999999997</v>
      </c>
      <c r="BC477">
        <f t="shared" si="3367"/>
        <v>397176000</v>
      </c>
      <c r="BD477">
        <f t="shared" si="3242"/>
        <v>0.29411764705882354</v>
      </c>
      <c r="BE477" s="27">
        <f t="shared" si="3368"/>
        <v>469302605.55360001</v>
      </c>
      <c r="BF477" s="30">
        <f t="shared" si="3243"/>
        <v>0.42719999999999997</v>
      </c>
      <c r="BG477" s="27"/>
      <c r="BH477" s="27"/>
      <c r="BI477" s="27"/>
      <c r="CA477" s="20">
        <f t="shared" si="3244"/>
        <v>360</v>
      </c>
      <c r="CB477" s="20">
        <f t="shared" si="3245"/>
        <v>36000</v>
      </c>
    </row>
    <row r="478" spans="1:80" x14ac:dyDescent="0.15">
      <c r="A478">
        <v>5307</v>
      </c>
      <c r="B478" s="3" t="s">
        <v>126</v>
      </c>
      <c r="C478" s="4" t="s">
        <v>109</v>
      </c>
      <c r="D478" s="4" t="s">
        <v>110</v>
      </c>
      <c r="E478" s="5">
        <v>2</v>
      </c>
      <c r="F478" s="7" t="s">
        <v>143</v>
      </c>
      <c r="G478" s="5">
        <v>3</v>
      </c>
      <c r="H478" s="7" t="s">
        <v>193</v>
      </c>
      <c r="I478" s="5">
        <v>0</v>
      </c>
      <c r="J478" s="5">
        <v>0</v>
      </c>
      <c r="K478">
        <v>2</v>
      </c>
      <c r="L478">
        <v>1.5</v>
      </c>
      <c r="M478" s="5">
        <v>1.5</v>
      </c>
      <c r="N478" s="5">
        <v>10</v>
      </c>
      <c r="O478" s="5">
        <f t="shared" si="3225"/>
        <v>72670</v>
      </c>
      <c r="P478" s="5">
        <f t="shared" si="3226"/>
        <v>403104000</v>
      </c>
      <c r="Q478" s="5">
        <f t="shared" si="3227"/>
        <v>6718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70071</v>
      </c>
      <c r="X478" s="6" t="s">
        <v>185</v>
      </c>
      <c r="Y478" s="5">
        <v>300</v>
      </c>
      <c r="Z478" s="5">
        <v>1</v>
      </c>
      <c r="AA478" s="5">
        <v>111321625</v>
      </c>
      <c r="AB478" s="16" t="s">
        <v>111</v>
      </c>
      <c r="AC478" s="7" t="s">
        <v>112</v>
      </c>
      <c r="AD478" s="7" t="s">
        <v>112</v>
      </c>
      <c r="AE478" s="7" t="s">
        <v>112</v>
      </c>
      <c r="AF478" s="6" t="s">
        <v>113</v>
      </c>
      <c r="AG478" s="26" t="str">
        <f t="shared" ref="AG478" si="3418">CM$10</f>
        <v>4,14,28,14,6,4,14,28,14,6</v>
      </c>
      <c r="AH478" s="26" t="str">
        <f t="shared" ref="AH478" si="3419">CN$10</f>
        <v>0,0,0,0,1,0,0,0,0,1</v>
      </c>
      <c r="AI478" s="26" t="str">
        <f t="shared" ref="AI478" si="3420">CO$10</f>
        <v>0,0,0,0,1,0,0,0,0,1</v>
      </c>
      <c r="AJ478" s="26" t="str">
        <f t="shared" ref="AJ478" si="3421">CP$10</f>
        <v>0,0,0,0,5,0,0,0,0,5</v>
      </c>
      <c r="AK478" s="26" t="str">
        <f t="shared" ref="AK478" si="3422">CQ$10</f>
        <v>200,1,1000,2,5,200,1,1000,2,5</v>
      </c>
      <c r="AL478" s="26" t="str">
        <f t="shared" ref="AL478" si="3423">CR$10</f>
        <v>5,5,5,5,5,5,5,5,5,5</v>
      </c>
      <c r="AM478" s="7">
        <v>2001</v>
      </c>
      <c r="AO478">
        <f t="shared" ref="AO478" si="3424">AQ478*100+7</f>
        <v>5307</v>
      </c>
      <c r="AP478">
        <v>474</v>
      </c>
      <c r="AQ478">
        <f t="shared" si="3235"/>
        <v>53</v>
      </c>
      <c r="AR478">
        <v>10</v>
      </c>
      <c r="AS478" s="17">
        <f t="shared" si="3316"/>
        <v>330</v>
      </c>
      <c r="AT478">
        <v>9</v>
      </c>
      <c r="AU478">
        <f t="shared" si="3236"/>
        <v>30</v>
      </c>
      <c r="AV478">
        <v>150</v>
      </c>
      <c r="AW478">
        <f t="shared" si="3237"/>
        <v>72670.740480000008</v>
      </c>
      <c r="AX478">
        <f t="shared" si="3366"/>
        <v>403104000</v>
      </c>
      <c r="AY478">
        <f t="shared" si="3238"/>
        <v>6718.4</v>
      </c>
      <c r="AZ478">
        <f t="shared" si="3239"/>
        <v>13436.8</v>
      </c>
      <c r="BA478">
        <f t="shared" si="3240"/>
        <v>84864.000000000015</v>
      </c>
      <c r="BB478">
        <f t="shared" si="3241"/>
        <v>3359.2</v>
      </c>
      <c r="BC478">
        <f t="shared" si="3367"/>
        <v>403104000</v>
      </c>
      <c r="BD478">
        <f t="shared" si="3242"/>
        <v>0.29411764705882359</v>
      </c>
      <c r="BE478" s="27">
        <f t="shared" si="3368"/>
        <v>483416183.57760006</v>
      </c>
      <c r="BF478" s="30">
        <f t="shared" si="3243"/>
        <v>0.42719999999999997</v>
      </c>
      <c r="BG478" s="27"/>
      <c r="BH478" s="27"/>
      <c r="BI478" s="27"/>
      <c r="CA478" s="20">
        <f t="shared" si="3244"/>
        <v>360</v>
      </c>
      <c r="CB478" s="20">
        <f t="shared" si="3245"/>
        <v>36000</v>
      </c>
    </row>
    <row r="479" spans="1:80" x14ac:dyDescent="0.15">
      <c r="A479">
        <v>5308</v>
      </c>
      <c r="B479" s="3" t="s">
        <v>128</v>
      </c>
      <c r="C479" s="4" t="s">
        <v>109</v>
      </c>
      <c r="D479" s="4" t="s">
        <v>110</v>
      </c>
      <c r="E479" s="5">
        <v>5</v>
      </c>
      <c r="F479" s="7" t="s">
        <v>129</v>
      </c>
      <c r="G479" s="5">
        <v>2</v>
      </c>
      <c r="H479" s="7" t="s">
        <v>130</v>
      </c>
      <c r="I479" s="5">
        <v>0</v>
      </c>
      <c r="J479" s="5">
        <v>0</v>
      </c>
      <c r="K479">
        <v>2</v>
      </c>
      <c r="L479">
        <v>1.5</v>
      </c>
      <c r="M479" s="5">
        <v>1.5</v>
      </c>
      <c r="N479" s="5">
        <v>10</v>
      </c>
      <c r="O479" s="5">
        <f t="shared" si="3225"/>
        <v>73739</v>
      </c>
      <c r="P479" s="5">
        <f t="shared" si="3226"/>
        <v>409032000</v>
      </c>
      <c r="Q479" s="5">
        <f t="shared" si="3227"/>
        <v>6817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70081</v>
      </c>
      <c r="X479" s="6" t="s">
        <v>186</v>
      </c>
      <c r="Y479" s="5">
        <v>300</v>
      </c>
      <c r="Z479" s="5">
        <v>1</v>
      </c>
      <c r="AA479" s="5">
        <v>114941605</v>
      </c>
      <c r="AB479" s="16" t="s">
        <v>111</v>
      </c>
      <c r="AC479" s="7" t="s">
        <v>112</v>
      </c>
      <c r="AD479" s="7" t="s">
        <v>112</v>
      </c>
      <c r="AE479" s="7" t="s">
        <v>112</v>
      </c>
      <c r="AF479" s="6" t="s">
        <v>113</v>
      </c>
      <c r="AG479" s="26" t="str">
        <f t="shared" ref="AG479" si="3425">CM$11</f>
        <v>4,28,6,28,6,4,28,6,28,6</v>
      </c>
      <c r="AH479" s="26" t="str">
        <f t="shared" ref="AH479" si="3426">CN$11</f>
        <v>0,0,1,0,1,0,0,1,0,1</v>
      </c>
      <c r="AI479" s="26" t="str">
        <f t="shared" ref="AI479" si="3427">CO$11</f>
        <v>0,0,1,0,1,0,0,1,0,1</v>
      </c>
      <c r="AJ479" s="26" t="str">
        <f t="shared" ref="AJ479" si="3428">CP$11</f>
        <v>0,0,5,0,5,0,0,5,0,5</v>
      </c>
      <c r="AK479" s="26" t="str">
        <f t="shared" ref="AK479" si="3429">CQ$11</f>
        <v>100,1000,5,1500,5,200,1000,5,1500,5</v>
      </c>
      <c r="AL479" s="26" t="str">
        <f t="shared" ref="AL479" si="3430">CR$11</f>
        <v>5,5,5,5,5,5,5,5,5,5</v>
      </c>
      <c r="AM479" s="7">
        <v>2001</v>
      </c>
      <c r="AO479">
        <f t="shared" ref="AO479" si="3431">AQ479*100+8</f>
        <v>5308</v>
      </c>
      <c r="AP479">
        <v>475</v>
      </c>
      <c r="AQ479">
        <f t="shared" si="3235"/>
        <v>53</v>
      </c>
      <c r="AR479">
        <v>10</v>
      </c>
      <c r="AS479" s="17">
        <f t="shared" si="3316"/>
        <v>335</v>
      </c>
      <c r="AT479">
        <v>9</v>
      </c>
      <c r="AU479">
        <f t="shared" si="3236"/>
        <v>30</v>
      </c>
      <c r="AV479">
        <v>150</v>
      </c>
      <c r="AW479">
        <f t="shared" si="3237"/>
        <v>73739.427840000004</v>
      </c>
      <c r="AX479">
        <f t="shared" si="3366"/>
        <v>409032000</v>
      </c>
      <c r="AY479">
        <f t="shared" si="3238"/>
        <v>6817.2</v>
      </c>
      <c r="AZ479">
        <f t="shared" si="3239"/>
        <v>13634.4</v>
      </c>
      <c r="BA479">
        <f t="shared" si="3240"/>
        <v>86112.000000000015</v>
      </c>
      <c r="BB479">
        <f t="shared" si="3241"/>
        <v>3408.6</v>
      </c>
      <c r="BC479">
        <f t="shared" si="3367"/>
        <v>409032000</v>
      </c>
      <c r="BD479">
        <f t="shared" si="3242"/>
        <v>0.29411764705882354</v>
      </c>
      <c r="BE479" s="27">
        <f t="shared" si="3368"/>
        <v>497738851.64640003</v>
      </c>
      <c r="BF479" s="30">
        <f t="shared" si="3243"/>
        <v>0.42719999999999997</v>
      </c>
      <c r="BG479" s="27"/>
      <c r="BH479" s="27"/>
      <c r="BI479" s="27"/>
      <c r="CA479" s="20">
        <f t="shared" si="3244"/>
        <v>360</v>
      </c>
      <c r="CB479" s="20">
        <f t="shared" si="3245"/>
        <v>36000</v>
      </c>
    </row>
    <row r="480" spans="1:80" x14ac:dyDescent="0.15">
      <c r="A480">
        <v>5309</v>
      </c>
      <c r="B480" s="3" t="s">
        <v>132</v>
      </c>
      <c r="C480" s="4" t="s">
        <v>109</v>
      </c>
      <c r="D480" s="4" t="s">
        <v>110</v>
      </c>
      <c r="E480" s="5">
        <v>5</v>
      </c>
      <c r="F480" s="7" t="s">
        <v>140</v>
      </c>
      <c r="G480" s="5">
        <v>3</v>
      </c>
      <c r="H480" s="7" t="s">
        <v>140</v>
      </c>
      <c r="I480" s="5">
        <v>0</v>
      </c>
      <c r="J480" s="7">
        <v>0</v>
      </c>
      <c r="K480">
        <v>6</v>
      </c>
      <c r="L480">
        <v>1.5</v>
      </c>
      <c r="M480" s="5">
        <v>1.5</v>
      </c>
      <c r="N480" s="5">
        <v>10</v>
      </c>
      <c r="O480" s="5">
        <f t="shared" si="3225"/>
        <v>74808</v>
      </c>
      <c r="P480" s="5">
        <f t="shared" si="3226"/>
        <v>414960000</v>
      </c>
      <c r="Q480" s="5">
        <f t="shared" si="3227"/>
        <v>6916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70091</v>
      </c>
      <c r="X480" s="6" t="s">
        <v>187</v>
      </c>
      <c r="Y480" s="5">
        <v>300</v>
      </c>
      <c r="Z480" s="5">
        <v>1</v>
      </c>
      <c r="AA480" s="5">
        <v>118619505</v>
      </c>
      <c r="AB480" s="16" t="s">
        <v>111</v>
      </c>
      <c r="AC480" s="7" t="s">
        <v>112</v>
      </c>
      <c r="AD480" s="7" t="s">
        <v>112</v>
      </c>
      <c r="AE480" s="7" t="s">
        <v>112</v>
      </c>
      <c r="AF480" s="6" t="s">
        <v>113</v>
      </c>
      <c r="AG480" s="26" t="str">
        <f t="shared" ref="AG480" si="3432">CM$12</f>
        <v>4,33,28,33,6,4,33,28,33,6</v>
      </c>
      <c r="AH480" s="26" t="str">
        <f t="shared" ref="AH480" si="3433">CN$12</f>
        <v>0,5,0,5,1,0,5,0,5,1</v>
      </c>
      <c r="AI480" s="26" t="str">
        <f t="shared" ref="AI480" si="3434">CO$12</f>
        <v>0,0,0,0,1,0,0,0,0,1</v>
      </c>
      <c r="AJ480" s="26" t="str">
        <f t="shared" ref="AJ480" si="3435">CP$12</f>
        <v>0,0,0,0,5,0,0,0,0,5</v>
      </c>
      <c r="AK480" s="26" t="str">
        <f t="shared" ref="AK480" si="3436">CQ$12</f>
        <v>100,1,1000,2,5,200,1,1000,2,5</v>
      </c>
      <c r="AL480" s="26" t="str">
        <f t="shared" ref="AL480" si="3437">CR$12</f>
        <v>5,5,5,5,5,5,5,5,5,5</v>
      </c>
      <c r="AM480" s="7">
        <v>2001</v>
      </c>
      <c r="AO480">
        <f t="shared" ref="AO480" si="3438">AQ480*100+9</f>
        <v>5309</v>
      </c>
      <c r="AP480">
        <v>476</v>
      </c>
      <c r="AQ480">
        <f t="shared" si="3235"/>
        <v>53</v>
      </c>
      <c r="AR480">
        <v>10</v>
      </c>
      <c r="AS480" s="17">
        <f t="shared" si="3316"/>
        <v>340</v>
      </c>
      <c r="AT480">
        <v>9</v>
      </c>
      <c r="AU480">
        <f t="shared" si="3236"/>
        <v>30</v>
      </c>
      <c r="AV480">
        <v>150</v>
      </c>
      <c r="AW480">
        <f t="shared" si="3237"/>
        <v>74808.115200000015</v>
      </c>
      <c r="AX480">
        <f t="shared" si="3366"/>
        <v>414960000</v>
      </c>
      <c r="AY480">
        <f t="shared" si="3238"/>
        <v>6916</v>
      </c>
      <c r="AZ480">
        <f t="shared" si="3239"/>
        <v>13832</v>
      </c>
      <c r="BA480">
        <f t="shared" si="3240"/>
        <v>87360.000000000015</v>
      </c>
      <c r="BB480">
        <f t="shared" si="3241"/>
        <v>3458</v>
      </c>
      <c r="BC480">
        <f t="shared" si="3367"/>
        <v>414960000</v>
      </c>
      <c r="BD480">
        <f t="shared" si="3242"/>
        <v>0.29411764705882354</v>
      </c>
      <c r="BE480" s="27">
        <f t="shared" si="3368"/>
        <v>512270609.76000011</v>
      </c>
      <c r="BF480" s="30">
        <f t="shared" si="3243"/>
        <v>0.42719999999999997</v>
      </c>
      <c r="BG480" s="27"/>
      <c r="BH480" s="27"/>
      <c r="BI480" s="27"/>
      <c r="CA480" s="20">
        <f t="shared" si="3244"/>
        <v>360</v>
      </c>
      <c r="CB480" s="20">
        <f t="shared" si="3245"/>
        <v>36000</v>
      </c>
    </row>
    <row r="481" spans="1:80" x14ac:dyDescent="0.15">
      <c r="A481">
        <v>5401</v>
      </c>
      <c r="B481" s="3" t="s">
        <v>108</v>
      </c>
      <c r="C481" s="4" t="s">
        <v>109</v>
      </c>
      <c r="D481" s="4" t="s">
        <v>110</v>
      </c>
      <c r="E481" s="5">
        <v>3</v>
      </c>
      <c r="F481" s="7" t="s">
        <v>141</v>
      </c>
      <c r="G481" s="5">
        <v>2.5</v>
      </c>
      <c r="H481" s="7" t="s">
        <v>194</v>
      </c>
      <c r="I481" s="5">
        <v>0</v>
      </c>
      <c r="J481" s="5">
        <v>0</v>
      </c>
      <c r="K481">
        <v>2</v>
      </c>
      <c r="L481">
        <v>1.5</v>
      </c>
      <c r="M481" s="5">
        <v>1.5</v>
      </c>
      <c r="N481" s="5">
        <v>10</v>
      </c>
      <c r="O481" s="5">
        <f t="shared" si="3225"/>
        <v>67440</v>
      </c>
      <c r="P481" s="5">
        <f t="shared" si="3226"/>
        <v>373464000</v>
      </c>
      <c r="Q481" s="5">
        <f t="shared" si="3227"/>
        <v>6224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70011</v>
      </c>
      <c r="X481" s="6" t="s">
        <v>179</v>
      </c>
      <c r="Y481" s="5">
        <v>300</v>
      </c>
      <c r="Z481" s="5">
        <v>1</v>
      </c>
      <c r="AA481" s="5">
        <v>122355324</v>
      </c>
      <c r="AB481" s="16" t="s">
        <v>111</v>
      </c>
      <c r="AC481" s="7" t="s">
        <v>112</v>
      </c>
      <c r="AD481" s="7" t="s">
        <v>112</v>
      </c>
      <c r="AE481" s="7" t="s">
        <v>112</v>
      </c>
      <c r="AF481" s="6" t="s">
        <v>113</v>
      </c>
      <c r="AG481" s="26" t="str">
        <f t="shared" ref="AG481" si="3439">CM$4</f>
        <v>4,33,28,33,6,4,33,28,33,6</v>
      </c>
      <c r="AH481" s="26" t="str">
        <f t="shared" ref="AH481" si="3440">CN$4</f>
        <v>0,8,0,8,1,0,8,0,8,1</v>
      </c>
      <c r="AI481" s="26" t="str">
        <f t="shared" ref="AI481" si="3441">CO$4</f>
        <v>0,0,0,0,1,0,0,0,0,1</v>
      </c>
      <c r="AJ481" s="26" t="str">
        <f t="shared" ref="AJ481" si="3442">CP$4</f>
        <v>0,0,0,0,5,0,0,0,0,5</v>
      </c>
      <c r="AK481" s="26" t="str">
        <f t="shared" ref="AK481" si="3443">CQ$4</f>
        <v>100,1,1000,2,5,200,1,1000,2,5</v>
      </c>
      <c r="AL481" s="26" t="str">
        <f t="shared" ref="AL481" si="3444">CR$4</f>
        <v>5,5,5,5,5,5,5,5,5,5</v>
      </c>
      <c r="AM481" s="7">
        <v>2001</v>
      </c>
      <c r="AO481">
        <f t="shared" ref="AO481" si="3445">AQ481*100+1</f>
        <v>5401</v>
      </c>
      <c r="AP481">
        <v>477</v>
      </c>
      <c r="AQ481">
        <f t="shared" si="3235"/>
        <v>54</v>
      </c>
      <c r="AR481">
        <v>10</v>
      </c>
      <c r="AS481" s="17">
        <f t="shared" si="3316"/>
        <v>305</v>
      </c>
      <c r="AT481">
        <v>9</v>
      </c>
      <c r="AU481">
        <f t="shared" si="3236"/>
        <v>30</v>
      </c>
      <c r="AV481">
        <v>150</v>
      </c>
      <c r="AW481">
        <f t="shared" si="3237"/>
        <v>67440.522240000006</v>
      </c>
      <c r="AX481">
        <f t="shared" si="3366"/>
        <v>373464000</v>
      </c>
      <c r="AY481">
        <f t="shared" si="3238"/>
        <v>6224.4</v>
      </c>
      <c r="AZ481">
        <f t="shared" si="3239"/>
        <v>12448.8</v>
      </c>
      <c r="BA481">
        <f t="shared" si="3240"/>
        <v>78624</v>
      </c>
      <c r="BB481">
        <f t="shared" si="3241"/>
        <v>3112.2</v>
      </c>
      <c r="BC481">
        <f t="shared" si="3367"/>
        <v>373464000</v>
      </c>
      <c r="BD481">
        <f t="shared" si="3242"/>
        <v>0.29411764705882359</v>
      </c>
      <c r="BE481" s="27">
        <f t="shared" si="3368"/>
        <v>414939193.90560007</v>
      </c>
      <c r="BF481" s="30">
        <f t="shared" si="3243"/>
        <v>0.42959999999999998</v>
      </c>
      <c r="BG481" s="27"/>
      <c r="BH481" s="27"/>
      <c r="BI481" s="27"/>
      <c r="CA481" s="20">
        <f t="shared" si="3244"/>
        <v>365</v>
      </c>
      <c r="CB481" s="20">
        <f t="shared" si="3245"/>
        <v>36500</v>
      </c>
    </row>
    <row r="482" spans="1:80" x14ac:dyDescent="0.15">
      <c r="A482">
        <v>5402</v>
      </c>
      <c r="B482" s="3" t="s">
        <v>115</v>
      </c>
      <c r="C482" s="4" t="s">
        <v>109</v>
      </c>
      <c r="D482" s="6" t="s">
        <v>110</v>
      </c>
      <c r="E482" s="5">
        <v>3</v>
      </c>
      <c r="F482" s="7" t="s">
        <v>142</v>
      </c>
      <c r="G482" s="5">
        <v>3</v>
      </c>
      <c r="H482" s="7" t="s">
        <v>188</v>
      </c>
      <c r="I482" s="5">
        <v>0</v>
      </c>
      <c r="J482" s="5">
        <v>0</v>
      </c>
      <c r="K482">
        <v>2</v>
      </c>
      <c r="L482">
        <v>1.5</v>
      </c>
      <c r="M482" s="5">
        <v>1.5</v>
      </c>
      <c r="N482" s="5">
        <v>10</v>
      </c>
      <c r="O482" s="5">
        <f t="shared" si="3225"/>
        <v>68511</v>
      </c>
      <c r="P482" s="5">
        <f t="shared" si="3226"/>
        <v>379392000</v>
      </c>
      <c r="Q482" s="5">
        <f t="shared" si="3227"/>
        <v>6323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70021</v>
      </c>
      <c r="X482" s="6" t="s">
        <v>180</v>
      </c>
      <c r="Y482" s="5">
        <v>300</v>
      </c>
      <c r="Z482" s="5">
        <v>1</v>
      </c>
      <c r="AA482" s="5">
        <v>97420902</v>
      </c>
      <c r="AB482" s="16" t="s">
        <v>111</v>
      </c>
      <c r="AC482" s="7" t="s">
        <v>112</v>
      </c>
      <c r="AD482" s="7" t="s">
        <v>112</v>
      </c>
      <c r="AE482" s="7" t="s">
        <v>112</v>
      </c>
      <c r="AF482" s="6" t="s">
        <v>113</v>
      </c>
      <c r="AG482" s="26" t="str">
        <f t="shared" ref="AG482" si="3446">CM$5</f>
        <v>4,33,28,33,6,4,33,28,33,6</v>
      </c>
      <c r="AH482" s="26" t="str">
        <f t="shared" ref="AH482" si="3447">CN$5</f>
        <v>0,7,0,7,1,0,7,0,7,1</v>
      </c>
      <c r="AI482" s="26" t="str">
        <f t="shared" ref="AI482" si="3448">CO$5</f>
        <v>0,0,0,0,1,0,0,0,0,1</v>
      </c>
      <c r="AJ482" s="26" t="str">
        <f t="shared" ref="AJ482" si="3449">CP$5</f>
        <v>0,0,0,0,5,0,0,0,0,5</v>
      </c>
      <c r="AK482" s="26" t="str">
        <f t="shared" ref="AK482" si="3450">CQ$5</f>
        <v>100,1,1000,2,5,200,1,1000,2,5</v>
      </c>
      <c r="AL482" s="26" t="str">
        <f t="shared" ref="AL482" si="3451">CR$5</f>
        <v>5,5,5,5,5,5,5,5,5,5</v>
      </c>
      <c r="AM482" s="7">
        <v>2001</v>
      </c>
      <c r="AO482">
        <f t="shared" ref="AO482" si="3452">AQ482*100+2</f>
        <v>5402</v>
      </c>
      <c r="AP482">
        <v>478</v>
      </c>
      <c r="AQ482">
        <f t="shared" si="3235"/>
        <v>54</v>
      </c>
      <c r="AR482">
        <v>10</v>
      </c>
      <c r="AS482" s="17">
        <f t="shared" si="3316"/>
        <v>310</v>
      </c>
      <c r="AT482">
        <v>9</v>
      </c>
      <c r="AU482">
        <f t="shared" si="3236"/>
        <v>30</v>
      </c>
      <c r="AV482">
        <v>150</v>
      </c>
      <c r="AW482">
        <f t="shared" si="3237"/>
        <v>68511.00671999999</v>
      </c>
      <c r="AX482">
        <f t="shared" si="3366"/>
        <v>379392000</v>
      </c>
      <c r="AY482">
        <f t="shared" si="3238"/>
        <v>6323.2</v>
      </c>
      <c r="AZ482">
        <f t="shared" si="3239"/>
        <v>12646.4</v>
      </c>
      <c r="BA482">
        <f t="shared" si="3240"/>
        <v>79872</v>
      </c>
      <c r="BB482">
        <f t="shared" si="3241"/>
        <v>3161.6</v>
      </c>
      <c r="BC482">
        <f t="shared" si="3367"/>
        <v>379392000</v>
      </c>
      <c r="BD482">
        <f t="shared" si="3242"/>
        <v>0.29411764705882354</v>
      </c>
      <c r="BE482" s="27">
        <f t="shared" si="3368"/>
        <v>428216411.75040007</v>
      </c>
      <c r="BF482" s="30">
        <f t="shared" si="3243"/>
        <v>0.42959999999999998</v>
      </c>
      <c r="BG482" s="27"/>
      <c r="BH482" s="27"/>
      <c r="BI482" s="27"/>
      <c r="CA482" s="20">
        <f t="shared" si="3244"/>
        <v>365</v>
      </c>
      <c r="CB482" s="20">
        <f t="shared" si="3245"/>
        <v>36500</v>
      </c>
    </row>
    <row r="483" spans="1:80" x14ac:dyDescent="0.15">
      <c r="A483">
        <v>5403</v>
      </c>
      <c r="B483" s="3" t="s">
        <v>117</v>
      </c>
      <c r="C483" s="4" t="s">
        <v>109</v>
      </c>
      <c r="D483" s="4" t="s">
        <v>110</v>
      </c>
      <c r="E483" s="5">
        <v>1</v>
      </c>
      <c r="F483" s="7" t="s">
        <v>144</v>
      </c>
      <c r="G483" s="5">
        <v>3</v>
      </c>
      <c r="H483" s="7" t="s">
        <v>189</v>
      </c>
      <c r="I483" s="5">
        <v>0</v>
      </c>
      <c r="J483" s="2">
        <v>0</v>
      </c>
      <c r="K483">
        <v>6</v>
      </c>
      <c r="L483">
        <v>1.5</v>
      </c>
      <c r="M483" s="5">
        <v>1.5</v>
      </c>
      <c r="N483" s="5">
        <v>10</v>
      </c>
      <c r="O483" s="5">
        <f t="shared" si="3225"/>
        <v>69581</v>
      </c>
      <c r="P483" s="5">
        <f t="shared" si="3226"/>
        <v>385320000</v>
      </c>
      <c r="Q483" s="5">
        <f t="shared" si="3227"/>
        <v>6422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70031</v>
      </c>
      <c r="X483" s="6" t="s">
        <v>181</v>
      </c>
      <c r="Y483" s="5">
        <v>300</v>
      </c>
      <c r="Z483" s="5">
        <v>1</v>
      </c>
      <c r="AA483" s="5">
        <v>100809203</v>
      </c>
      <c r="AB483" s="16" t="s">
        <v>111</v>
      </c>
      <c r="AC483" s="7" t="s">
        <v>112</v>
      </c>
      <c r="AD483" s="7" t="s">
        <v>112</v>
      </c>
      <c r="AE483" s="7" t="s">
        <v>112</v>
      </c>
      <c r="AF483" s="6" t="s">
        <v>113</v>
      </c>
      <c r="AG483" s="26" t="str">
        <f t="shared" ref="AG483" si="3453">CM$6</f>
        <v>4,28,6,28,6,4,28,6,28,6</v>
      </c>
      <c r="AH483" s="26" t="str">
        <f t="shared" ref="AH483" si="3454">CN$6</f>
        <v>0,0,1,0,1,0,0,1,0,1</v>
      </c>
      <c r="AI483" s="26" t="str">
        <f t="shared" ref="AI483" si="3455">CO$6</f>
        <v>0,0,0,0,1,0,0,0,0,1</v>
      </c>
      <c r="AJ483" s="26" t="str">
        <f t="shared" ref="AJ483" si="3456">CP$6</f>
        <v>0,0,5,0,5,0,0,5,0,5</v>
      </c>
      <c r="AK483" s="26" t="str">
        <f t="shared" ref="AK483" si="3457">CQ$6</f>
        <v>100,1000,5,1500,5,200,1000,5,1500,5</v>
      </c>
      <c r="AL483" s="26" t="str">
        <f t="shared" ref="AL483" si="3458">CR$6</f>
        <v>5,5,5,5,5,5,5,5,5,5</v>
      </c>
      <c r="AM483" s="7">
        <v>2001</v>
      </c>
      <c r="AO483">
        <f t="shared" ref="AO483" si="3459">AQ483*100+3</f>
        <v>5403</v>
      </c>
      <c r="AP483">
        <v>479</v>
      </c>
      <c r="AQ483">
        <f t="shared" si="3235"/>
        <v>54</v>
      </c>
      <c r="AR483">
        <v>10</v>
      </c>
      <c r="AS483" s="17">
        <f t="shared" si="3316"/>
        <v>315</v>
      </c>
      <c r="AT483">
        <v>9</v>
      </c>
      <c r="AU483">
        <f t="shared" si="3236"/>
        <v>30</v>
      </c>
      <c r="AV483">
        <v>150</v>
      </c>
      <c r="AW483">
        <f t="shared" si="3237"/>
        <v>69581.491200000004</v>
      </c>
      <c r="AX483">
        <f t="shared" si="3366"/>
        <v>385320000</v>
      </c>
      <c r="AY483">
        <f t="shared" si="3238"/>
        <v>6422</v>
      </c>
      <c r="AZ483">
        <f t="shared" si="3239"/>
        <v>12844</v>
      </c>
      <c r="BA483">
        <f t="shared" si="3240"/>
        <v>81120</v>
      </c>
      <c r="BB483">
        <f t="shared" si="3241"/>
        <v>3211</v>
      </c>
      <c r="BC483">
        <f t="shared" si="3367"/>
        <v>385320000</v>
      </c>
      <c r="BD483">
        <f t="shared" si="3242"/>
        <v>0.29411764705882354</v>
      </c>
      <c r="BE483" s="27">
        <f t="shared" si="3368"/>
        <v>441702719.64000016</v>
      </c>
      <c r="BF483" s="30">
        <f t="shared" si="3243"/>
        <v>0.42959999999999998</v>
      </c>
      <c r="BG483" s="27"/>
      <c r="BH483" s="27"/>
      <c r="BI483" s="27"/>
      <c r="CA483" s="20">
        <f t="shared" si="3244"/>
        <v>365</v>
      </c>
      <c r="CB483" s="20">
        <f t="shared" si="3245"/>
        <v>36500</v>
      </c>
    </row>
    <row r="484" spans="1:80" x14ac:dyDescent="0.15">
      <c r="A484">
        <v>5404</v>
      </c>
      <c r="B484" s="3" t="s">
        <v>119</v>
      </c>
      <c r="C484" s="4" t="s">
        <v>109</v>
      </c>
      <c r="D484" s="6" t="s">
        <v>120</v>
      </c>
      <c r="E484" s="5">
        <v>3</v>
      </c>
      <c r="F484" s="7" t="s">
        <v>145</v>
      </c>
      <c r="G484" s="5">
        <v>3</v>
      </c>
      <c r="H484" s="7" t="s">
        <v>190</v>
      </c>
      <c r="I484" s="5">
        <v>0</v>
      </c>
      <c r="J484" s="5">
        <v>0</v>
      </c>
      <c r="K484">
        <v>2</v>
      </c>
      <c r="L484">
        <v>1.5</v>
      </c>
      <c r="M484" s="5">
        <v>1.5</v>
      </c>
      <c r="N484" s="5">
        <v>10</v>
      </c>
      <c r="O484" s="5">
        <f t="shared" si="3225"/>
        <v>70651</v>
      </c>
      <c r="P484" s="5">
        <f t="shared" si="3226"/>
        <v>391248000</v>
      </c>
      <c r="Q484" s="5">
        <f t="shared" si="3227"/>
        <v>6520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70041</v>
      </c>
      <c r="X484" s="6" t="s">
        <v>182</v>
      </c>
      <c r="Y484" s="5">
        <v>300</v>
      </c>
      <c r="Z484" s="5">
        <v>1</v>
      </c>
      <c r="AA484" s="5">
        <v>104255424</v>
      </c>
      <c r="AB484" s="16" t="s">
        <v>111</v>
      </c>
      <c r="AC484" s="7" t="s">
        <v>112</v>
      </c>
      <c r="AD484" s="7" t="s">
        <v>112</v>
      </c>
      <c r="AE484" s="7" t="s">
        <v>112</v>
      </c>
      <c r="AF484" s="6" t="s">
        <v>113</v>
      </c>
      <c r="AG484" s="26" t="str">
        <f t="shared" ref="AG484" si="3460">CM$7</f>
        <v>4,14,28,14,6,4,14,28,14,6</v>
      </c>
      <c r="AH484" s="26" t="str">
        <f t="shared" ref="AH484" si="3461">CN$7</f>
        <v>0,0,0,0,1,0,0,0,0,1</v>
      </c>
      <c r="AI484" s="26" t="str">
        <f t="shared" ref="AI484" si="3462">CO$7</f>
        <v>0,0,0,0,1,0,0,0,0,1</v>
      </c>
      <c r="AJ484" s="26" t="str">
        <f t="shared" ref="AJ484" si="3463">CP$7</f>
        <v>0,0,0,0,5,0,0,0,0,5</v>
      </c>
      <c r="AK484" s="26" t="str">
        <f t="shared" ref="AK484" si="3464">CQ$7</f>
        <v>100,1,1000,2,5,200,1,1000,2,5</v>
      </c>
      <c r="AL484" s="26" t="str">
        <f t="shared" ref="AL484" si="3465">CR$7</f>
        <v>5,5,5,5,5,5,5,5,5,5</v>
      </c>
      <c r="AM484" s="7">
        <v>2001</v>
      </c>
      <c r="AO484">
        <f t="shared" ref="AO484" si="3466">AQ484*100+4</f>
        <v>5404</v>
      </c>
      <c r="AP484">
        <v>480</v>
      </c>
      <c r="AQ484">
        <f t="shared" si="3235"/>
        <v>54</v>
      </c>
      <c r="AR484">
        <v>10</v>
      </c>
      <c r="AS484" s="17">
        <f t="shared" si="3316"/>
        <v>320</v>
      </c>
      <c r="AT484">
        <v>9</v>
      </c>
      <c r="AU484">
        <f t="shared" si="3236"/>
        <v>30</v>
      </c>
      <c r="AV484">
        <v>150</v>
      </c>
      <c r="AW484">
        <f t="shared" si="3237"/>
        <v>70651.975679999989</v>
      </c>
      <c r="AX484">
        <f t="shared" si="3366"/>
        <v>391247999.99999994</v>
      </c>
      <c r="AY484">
        <f t="shared" si="3238"/>
        <v>6520.7999999999993</v>
      </c>
      <c r="AZ484">
        <f t="shared" si="3239"/>
        <v>13041.599999999999</v>
      </c>
      <c r="BA484">
        <f t="shared" si="3240"/>
        <v>82368</v>
      </c>
      <c r="BB484">
        <f t="shared" si="3241"/>
        <v>3260.3999999999996</v>
      </c>
      <c r="BC484">
        <f t="shared" si="3367"/>
        <v>391247999.99999994</v>
      </c>
      <c r="BD484">
        <f t="shared" si="3242"/>
        <v>0.29411764705882354</v>
      </c>
      <c r="BE484" s="27">
        <f t="shared" si="3368"/>
        <v>455398117.57439989</v>
      </c>
      <c r="BF484" s="30">
        <f t="shared" si="3243"/>
        <v>0.42959999999999998</v>
      </c>
      <c r="BG484" s="27"/>
      <c r="BH484" s="27"/>
      <c r="BI484" s="27"/>
      <c r="CA484" s="20">
        <f t="shared" si="3244"/>
        <v>365</v>
      </c>
      <c r="CB484" s="20">
        <f t="shared" si="3245"/>
        <v>36500</v>
      </c>
    </row>
    <row r="485" spans="1:80" x14ac:dyDescent="0.15">
      <c r="A485">
        <v>5405</v>
      </c>
      <c r="B485" s="3" t="s">
        <v>122</v>
      </c>
      <c r="C485" s="4" t="s">
        <v>109</v>
      </c>
      <c r="D485" s="4" t="s">
        <v>110</v>
      </c>
      <c r="E485" s="5">
        <v>2</v>
      </c>
      <c r="F485" s="7" t="s">
        <v>146</v>
      </c>
      <c r="G485" s="5">
        <v>3</v>
      </c>
      <c r="H485" s="7" t="s">
        <v>191</v>
      </c>
      <c r="I485" s="5">
        <v>0</v>
      </c>
      <c r="J485" s="7" t="s">
        <v>148</v>
      </c>
      <c r="K485">
        <v>6</v>
      </c>
      <c r="L485">
        <v>1.5</v>
      </c>
      <c r="M485" s="5">
        <v>1.5</v>
      </c>
      <c r="N485" s="5">
        <v>10</v>
      </c>
      <c r="O485" s="5">
        <f t="shared" si="3225"/>
        <v>71722</v>
      </c>
      <c r="P485" s="5">
        <f t="shared" si="3226"/>
        <v>397176000</v>
      </c>
      <c r="Q485" s="5">
        <f t="shared" si="3227"/>
        <v>6619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70051</v>
      </c>
      <c r="X485" s="6" t="s">
        <v>183</v>
      </c>
      <c r="Y485" s="5">
        <v>300</v>
      </c>
      <c r="Z485" s="5">
        <v>1</v>
      </c>
      <c r="AA485" s="5">
        <v>107759565</v>
      </c>
      <c r="AB485" s="16" t="s">
        <v>111</v>
      </c>
      <c r="AC485" s="7" t="s">
        <v>112</v>
      </c>
      <c r="AD485" s="7" t="s">
        <v>112</v>
      </c>
      <c r="AE485" s="7" t="s">
        <v>112</v>
      </c>
      <c r="AF485" s="6" t="s">
        <v>113</v>
      </c>
      <c r="AG485" s="26" t="str">
        <f t="shared" ref="AG485" si="3467">CM$8</f>
        <v>4,19,28,19,6,4,19,28,19,6</v>
      </c>
      <c r="AH485" s="26" t="str">
        <f t="shared" ref="AH485" si="3468">CN$8</f>
        <v>0,0,0,0,1,0,0,0,0,1</v>
      </c>
      <c r="AI485" s="26" t="str">
        <f t="shared" ref="AI485" si="3469">CO$8</f>
        <v>0,0,0,0,1,0,0,0,0,1</v>
      </c>
      <c r="AJ485" s="26" t="str">
        <f t="shared" ref="AJ485" si="3470">CP$8</f>
        <v>0,0,0,0,5,0,0,0,0,5</v>
      </c>
      <c r="AK485" s="26" t="str">
        <f t="shared" ref="AK485" si="3471">CQ$8</f>
        <v>200,100,1000,200,5,200,100,1000,200,5</v>
      </c>
      <c r="AL485" s="26" t="str">
        <f t="shared" ref="AL485" si="3472">CR$8</f>
        <v>5,5,5,5,5,5,5,5,5,5</v>
      </c>
      <c r="AM485" s="7">
        <v>2001</v>
      </c>
      <c r="AO485">
        <f t="shared" ref="AO485" si="3473">AQ485*100+5</f>
        <v>5405</v>
      </c>
      <c r="AP485">
        <v>481</v>
      </c>
      <c r="AQ485">
        <f t="shared" si="3235"/>
        <v>54</v>
      </c>
      <c r="AR485">
        <v>10</v>
      </c>
      <c r="AS485" s="17">
        <f t="shared" si="3316"/>
        <v>325</v>
      </c>
      <c r="AT485">
        <v>9</v>
      </c>
      <c r="AU485">
        <f t="shared" si="3236"/>
        <v>30</v>
      </c>
      <c r="AV485">
        <v>150</v>
      </c>
      <c r="AW485">
        <f t="shared" si="3237"/>
        <v>71722.460160000002</v>
      </c>
      <c r="AX485">
        <f t="shared" si="3366"/>
        <v>397176000</v>
      </c>
      <c r="AY485">
        <f t="shared" si="3238"/>
        <v>6619.5999999999995</v>
      </c>
      <c r="AZ485">
        <f t="shared" si="3239"/>
        <v>13239.199999999999</v>
      </c>
      <c r="BA485">
        <f t="shared" si="3240"/>
        <v>83616.000000000015</v>
      </c>
      <c r="BB485">
        <f t="shared" si="3241"/>
        <v>3309.7999999999997</v>
      </c>
      <c r="BC485">
        <f t="shared" si="3367"/>
        <v>397176000</v>
      </c>
      <c r="BD485">
        <f t="shared" si="3242"/>
        <v>0.29411764705882354</v>
      </c>
      <c r="BE485" s="27">
        <f t="shared" si="3368"/>
        <v>469302605.55360001</v>
      </c>
      <c r="BF485" s="30">
        <f t="shared" si="3243"/>
        <v>0.42959999999999998</v>
      </c>
      <c r="BG485" s="27"/>
      <c r="BH485" s="27"/>
      <c r="BI485" s="27"/>
      <c r="CA485" s="20">
        <f t="shared" si="3244"/>
        <v>365</v>
      </c>
      <c r="CB485" s="20">
        <f t="shared" si="3245"/>
        <v>36500</v>
      </c>
    </row>
    <row r="486" spans="1:80" x14ac:dyDescent="0.15">
      <c r="A486">
        <v>5406</v>
      </c>
      <c r="B486" s="3" t="s">
        <v>124</v>
      </c>
      <c r="C486" s="4" t="s">
        <v>109</v>
      </c>
      <c r="D486" s="6" t="s">
        <v>120</v>
      </c>
      <c r="E486" s="5">
        <v>1</v>
      </c>
      <c r="F486" s="7" t="s">
        <v>147</v>
      </c>
      <c r="G486" s="5">
        <v>3</v>
      </c>
      <c r="H486" s="7" t="s">
        <v>192</v>
      </c>
      <c r="I486" s="5">
        <v>0</v>
      </c>
      <c r="J486" s="7" t="s">
        <v>149</v>
      </c>
      <c r="K486">
        <v>6</v>
      </c>
      <c r="L486">
        <v>1.5</v>
      </c>
      <c r="M486" s="5">
        <v>1.5</v>
      </c>
      <c r="N486" s="5">
        <v>10</v>
      </c>
      <c r="O486" s="5">
        <f t="shared" si="3225"/>
        <v>72792</v>
      </c>
      <c r="P486" s="5">
        <f t="shared" si="3226"/>
        <v>403104000</v>
      </c>
      <c r="Q486" s="5">
        <f t="shared" si="3227"/>
        <v>6718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70061</v>
      </c>
      <c r="X486" s="6" t="s">
        <v>184</v>
      </c>
      <c r="Y486" s="5">
        <v>300</v>
      </c>
      <c r="Z486" s="5">
        <v>1</v>
      </c>
      <c r="AA486" s="5">
        <v>111321625</v>
      </c>
      <c r="AB486" s="16" t="s">
        <v>111</v>
      </c>
      <c r="AC486" s="7" t="s">
        <v>112</v>
      </c>
      <c r="AD486" s="7" t="s">
        <v>112</v>
      </c>
      <c r="AE486" s="7" t="s">
        <v>112</v>
      </c>
      <c r="AF486" s="6" t="s">
        <v>113</v>
      </c>
      <c r="AG486" s="26" t="str">
        <f t="shared" ref="AG486" si="3474">CM$9</f>
        <v>4,33,28,33,6,4,33,28,33,6</v>
      </c>
      <c r="AH486" s="26" t="str">
        <f t="shared" ref="AH486" si="3475">CN$9</f>
        <v>0,6,0,6,1,0,6,0,6,1</v>
      </c>
      <c r="AI486" s="26" t="str">
        <f t="shared" ref="AI486" si="3476">CO$9</f>
        <v>0,0,0,0,1,0,0,0,0,1</v>
      </c>
      <c r="AJ486" s="26" t="str">
        <f t="shared" ref="AJ486" si="3477">CP$9</f>
        <v>0,0,0,0,5,0,0,0,0,5</v>
      </c>
      <c r="AK486" s="26" t="str">
        <f t="shared" ref="AK486" si="3478">CQ$9</f>
        <v>200,1,1000,2,5,200,1,1000,2,5</v>
      </c>
      <c r="AL486" s="26" t="str">
        <f t="shared" ref="AL486" si="3479">CR$9</f>
        <v>5,5,5,5,5,5,5,5,5,5</v>
      </c>
      <c r="AM486" s="7">
        <v>2001</v>
      </c>
      <c r="AO486">
        <f t="shared" ref="AO486" si="3480">AQ486*100+6</f>
        <v>5406</v>
      </c>
      <c r="AP486">
        <v>482</v>
      </c>
      <c r="AQ486">
        <f t="shared" si="3235"/>
        <v>54</v>
      </c>
      <c r="AR486">
        <v>10</v>
      </c>
      <c r="AS486" s="17">
        <f t="shared" si="3316"/>
        <v>330</v>
      </c>
      <c r="AT486">
        <v>9</v>
      </c>
      <c r="AU486">
        <f t="shared" si="3236"/>
        <v>30</v>
      </c>
      <c r="AV486">
        <v>150</v>
      </c>
      <c r="AW486">
        <f t="shared" si="3237"/>
        <v>72792.944640000016</v>
      </c>
      <c r="AX486">
        <f t="shared" si="3366"/>
        <v>403104000</v>
      </c>
      <c r="AY486">
        <f t="shared" si="3238"/>
        <v>6718.4</v>
      </c>
      <c r="AZ486">
        <f t="shared" si="3239"/>
        <v>13436.8</v>
      </c>
      <c r="BA486">
        <f t="shared" si="3240"/>
        <v>84864.000000000015</v>
      </c>
      <c r="BB486">
        <f t="shared" si="3241"/>
        <v>3359.2</v>
      </c>
      <c r="BC486">
        <f t="shared" si="3367"/>
        <v>403104000</v>
      </c>
      <c r="BD486">
        <f t="shared" si="3242"/>
        <v>0.29411764705882359</v>
      </c>
      <c r="BE486" s="27">
        <f t="shared" si="3368"/>
        <v>483416183.57760006</v>
      </c>
      <c r="BF486" s="30">
        <f t="shared" si="3243"/>
        <v>0.42959999999999998</v>
      </c>
      <c r="BG486" s="27"/>
      <c r="BH486" s="27"/>
      <c r="BI486" s="27"/>
      <c r="CA486" s="20">
        <f t="shared" si="3244"/>
        <v>365</v>
      </c>
      <c r="CB486" s="20">
        <f t="shared" si="3245"/>
        <v>36500</v>
      </c>
    </row>
    <row r="487" spans="1:80" x14ac:dyDescent="0.15">
      <c r="A487">
        <v>5407</v>
      </c>
      <c r="B487" s="3" t="s">
        <v>126</v>
      </c>
      <c r="C487" s="4" t="s">
        <v>109</v>
      </c>
      <c r="D487" s="4" t="s">
        <v>110</v>
      </c>
      <c r="E487" s="5">
        <v>2</v>
      </c>
      <c r="F487" s="7" t="s">
        <v>143</v>
      </c>
      <c r="G487" s="5">
        <v>3</v>
      </c>
      <c r="H487" s="7" t="s">
        <v>193</v>
      </c>
      <c r="I487" s="5">
        <v>0</v>
      </c>
      <c r="J487" s="5">
        <v>0</v>
      </c>
      <c r="K487">
        <v>2</v>
      </c>
      <c r="L487">
        <v>1.5</v>
      </c>
      <c r="M487" s="5">
        <v>1.5</v>
      </c>
      <c r="N487" s="5">
        <v>10</v>
      </c>
      <c r="O487" s="5">
        <f t="shared" si="3225"/>
        <v>73863</v>
      </c>
      <c r="P487" s="5">
        <f t="shared" si="3226"/>
        <v>409032000</v>
      </c>
      <c r="Q487" s="5">
        <f t="shared" si="3227"/>
        <v>6817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70071</v>
      </c>
      <c r="X487" s="6" t="s">
        <v>185</v>
      </c>
      <c r="Y487" s="5">
        <v>300</v>
      </c>
      <c r="Z487" s="5">
        <v>1</v>
      </c>
      <c r="AA487" s="5">
        <v>114941605</v>
      </c>
      <c r="AB487" s="16" t="s">
        <v>111</v>
      </c>
      <c r="AC487" s="7" t="s">
        <v>112</v>
      </c>
      <c r="AD487" s="7" t="s">
        <v>112</v>
      </c>
      <c r="AE487" s="7" t="s">
        <v>112</v>
      </c>
      <c r="AF487" s="6" t="s">
        <v>113</v>
      </c>
      <c r="AG487" s="26" t="str">
        <f t="shared" ref="AG487" si="3481">CM$10</f>
        <v>4,14,28,14,6,4,14,28,14,6</v>
      </c>
      <c r="AH487" s="26" t="str">
        <f t="shared" ref="AH487" si="3482">CN$10</f>
        <v>0,0,0,0,1,0,0,0,0,1</v>
      </c>
      <c r="AI487" s="26" t="str">
        <f t="shared" ref="AI487" si="3483">CO$10</f>
        <v>0,0,0,0,1,0,0,0,0,1</v>
      </c>
      <c r="AJ487" s="26" t="str">
        <f t="shared" ref="AJ487" si="3484">CP$10</f>
        <v>0,0,0,0,5,0,0,0,0,5</v>
      </c>
      <c r="AK487" s="26" t="str">
        <f t="shared" ref="AK487" si="3485">CQ$10</f>
        <v>200,1,1000,2,5,200,1,1000,2,5</v>
      </c>
      <c r="AL487" s="26" t="str">
        <f t="shared" ref="AL487" si="3486">CR$10</f>
        <v>5,5,5,5,5,5,5,5,5,5</v>
      </c>
      <c r="AM487" s="7">
        <v>2001</v>
      </c>
      <c r="AO487">
        <f t="shared" ref="AO487" si="3487">AQ487*100+7</f>
        <v>5407</v>
      </c>
      <c r="AP487">
        <v>483</v>
      </c>
      <c r="AQ487">
        <f t="shared" si="3235"/>
        <v>54</v>
      </c>
      <c r="AR487">
        <v>10</v>
      </c>
      <c r="AS487" s="17">
        <f t="shared" si="3316"/>
        <v>335</v>
      </c>
      <c r="AT487">
        <v>9</v>
      </c>
      <c r="AU487">
        <f t="shared" si="3236"/>
        <v>30</v>
      </c>
      <c r="AV487">
        <v>150</v>
      </c>
      <c r="AW487">
        <f t="shared" si="3237"/>
        <v>73863.429120000001</v>
      </c>
      <c r="AX487">
        <f t="shared" si="3366"/>
        <v>409032000</v>
      </c>
      <c r="AY487">
        <f t="shared" si="3238"/>
        <v>6817.2</v>
      </c>
      <c r="AZ487">
        <f t="shared" si="3239"/>
        <v>13634.4</v>
      </c>
      <c r="BA487">
        <f t="shared" si="3240"/>
        <v>86112.000000000015</v>
      </c>
      <c r="BB487">
        <f t="shared" si="3241"/>
        <v>3408.6</v>
      </c>
      <c r="BC487">
        <f t="shared" si="3367"/>
        <v>409032000</v>
      </c>
      <c r="BD487">
        <f t="shared" si="3242"/>
        <v>0.29411764705882354</v>
      </c>
      <c r="BE487" s="27">
        <f t="shared" si="3368"/>
        <v>497738851.64640003</v>
      </c>
      <c r="BF487" s="30">
        <f t="shared" si="3243"/>
        <v>0.42959999999999998</v>
      </c>
      <c r="BG487" s="27"/>
      <c r="BH487" s="27"/>
      <c r="BI487" s="27"/>
      <c r="CA487" s="20">
        <f t="shared" si="3244"/>
        <v>365</v>
      </c>
      <c r="CB487" s="20">
        <f t="shared" si="3245"/>
        <v>36500</v>
      </c>
    </row>
    <row r="488" spans="1:80" x14ac:dyDescent="0.15">
      <c r="A488">
        <v>5408</v>
      </c>
      <c r="B488" s="3" t="s">
        <v>128</v>
      </c>
      <c r="C488" s="4" t="s">
        <v>109</v>
      </c>
      <c r="D488" s="4" t="s">
        <v>110</v>
      </c>
      <c r="E488" s="5">
        <v>5</v>
      </c>
      <c r="F488" s="7" t="s">
        <v>129</v>
      </c>
      <c r="G488" s="5">
        <v>2</v>
      </c>
      <c r="H488" s="7" t="s">
        <v>130</v>
      </c>
      <c r="I488" s="5">
        <v>0</v>
      </c>
      <c r="J488" s="5">
        <v>0</v>
      </c>
      <c r="K488">
        <v>2</v>
      </c>
      <c r="L488">
        <v>1.5</v>
      </c>
      <c r="M488" s="5">
        <v>1.5</v>
      </c>
      <c r="N488" s="5">
        <v>10</v>
      </c>
      <c r="O488" s="5">
        <f t="shared" si="3225"/>
        <v>74933</v>
      </c>
      <c r="P488" s="5">
        <f t="shared" si="3226"/>
        <v>414960000</v>
      </c>
      <c r="Q488" s="5">
        <f t="shared" si="3227"/>
        <v>6916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70081</v>
      </c>
      <c r="X488" s="6" t="s">
        <v>186</v>
      </c>
      <c r="Y488" s="5">
        <v>300</v>
      </c>
      <c r="Z488" s="5">
        <v>1</v>
      </c>
      <c r="AA488" s="5">
        <v>118619505</v>
      </c>
      <c r="AB488" s="16" t="s">
        <v>111</v>
      </c>
      <c r="AC488" s="7" t="s">
        <v>112</v>
      </c>
      <c r="AD488" s="7" t="s">
        <v>112</v>
      </c>
      <c r="AE488" s="7" t="s">
        <v>112</v>
      </c>
      <c r="AF488" s="6" t="s">
        <v>113</v>
      </c>
      <c r="AG488" s="26" t="str">
        <f t="shared" ref="AG488" si="3488">CM$11</f>
        <v>4,28,6,28,6,4,28,6,28,6</v>
      </c>
      <c r="AH488" s="26" t="str">
        <f t="shared" ref="AH488" si="3489">CN$11</f>
        <v>0,0,1,0,1,0,0,1,0,1</v>
      </c>
      <c r="AI488" s="26" t="str">
        <f t="shared" ref="AI488" si="3490">CO$11</f>
        <v>0,0,1,0,1,0,0,1,0,1</v>
      </c>
      <c r="AJ488" s="26" t="str">
        <f t="shared" ref="AJ488" si="3491">CP$11</f>
        <v>0,0,5,0,5,0,0,5,0,5</v>
      </c>
      <c r="AK488" s="26" t="str">
        <f t="shared" ref="AK488" si="3492">CQ$11</f>
        <v>100,1000,5,1500,5,200,1000,5,1500,5</v>
      </c>
      <c r="AL488" s="26" t="str">
        <f t="shared" ref="AL488" si="3493">CR$11</f>
        <v>5,5,5,5,5,5,5,5,5,5</v>
      </c>
      <c r="AM488" s="7">
        <v>2001</v>
      </c>
      <c r="AO488">
        <f t="shared" ref="AO488" si="3494">AQ488*100+8</f>
        <v>5408</v>
      </c>
      <c r="AP488">
        <v>484</v>
      </c>
      <c r="AQ488">
        <f t="shared" si="3235"/>
        <v>54</v>
      </c>
      <c r="AR488">
        <v>10</v>
      </c>
      <c r="AS488" s="17">
        <f t="shared" si="3316"/>
        <v>340</v>
      </c>
      <c r="AT488">
        <v>9</v>
      </c>
      <c r="AU488">
        <f t="shared" si="3236"/>
        <v>30</v>
      </c>
      <c r="AV488">
        <v>150</v>
      </c>
      <c r="AW488">
        <f t="shared" si="3237"/>
        <v>74933.913600000014</v>
      </c>
      <c r="AX488">
        <f t="shared" si="3366"/>
        <v>414960000</v>
      </c>
      <c r="AY488">
        <f t="shared" si="3238"/>
        <v>6916</v>
      </c>
      <c r="AZ488">
        <f t="shared" si="3239"/>
        <v>13832</v>
      </c>
      <c r="BA488">
        <f t="shared" si="3240"/>
        <v>87360.000000000015</v>
      </c>
      <c r="BB488">
        <f t="shared" si="3241"/>
        <v>3458</v>
      </c>
      <c r="BC488">
        <f t="shared" si="3367"/>
        <v>414960000</v>
      </c>
      <c r="BD488">
        <f t="shared" si="3242"/>
        <v>0.29411764705882354</v>
      </c>
      <c r="BE488" s="27">
        <f t="shared" si="3368"/>
        <v>512270609.76000011</v>
      </c>
      <c r="BF488" s="30">
        <f t="shared" si="3243"/>
        <v>0.42959999999999998</v>
      </c>
      <c r="BG488" s="27"/>
      <c r="BH488" s="27"/>
      <c r="BI488" s="27"/>
      <c r="CA488" s="20">
        <f t="shared" si="3244"/>
        <v>365</v>
      </c>
      <c r="CB488" s="20">
        <f t="shared" si="3245"/>
        <v>36500</v>
      </c>
    </row>
    <row r="489" spans="1:80" x14ac:dyDescent="0.15">
      <c r="A489">
        <v>5409</v>
      </c>
      <c r="B489" s="3" t="s">
        <v>132</v>
      </c>
      <c r="C489" s="4" t="s">
        <v>109</v>
      </c>
      <c r="D489" s="4" t="s">
        <v>110</v>
      </c>
      <c r="E489" s="5">
        <v>5</v>
      </c>
      <c r="F489" s="7" t="s">
        <v>140</v>
      </c>
      <c r="G489" s="5">
        <v>3</v>
      </c>
      <c r="H489" s="7" t="s">
        <v>140</v>
      </c>
      <c r="I489" s="5">
        <v>0</v>
      </c>
      <c r="J489" s="7">
        <v>0</v>
      </c>
      <c r="K489">
        <v>6</v>
      </c>
      <c r="L489">
        <v>1.5</v>
      </c>
      <c r="M489" s="5">
        <v>1.5</v>
      </c>
      <c r="N489" s="5">
        <v>10</v>
      </c>
      <c r="O489" s="5">
        <f t="shared" si="3225"/>
        <v>76004</v>
      </c>
      <c r="P489" s="5">
        <f t="shared" si="3226"/>
        <v>420888000</v>
      </c>
      <c r="Q489" s="5">
        <f t="shared" si="3227"/>
        <v>7014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70091</v>
      </c>
      <c r="X489" s="6" t="s">
        <v>187</v>
      </c>
      <c r="Y489" s="5">
        <v>300</v>
      </c>
      <c r="Z489" s="5">
        <v>1</v>
      </c>
      <c r="AA489" s="5">
        <v>122355324</v>
      </c>
      <c r="AB489" s="16" t="s">
        <v>111</v>
      </c>
      <c r="AC489" s="7" t="s">
        <v>112</v>
      </c>
      <c r="AD489" s="7" t="s">
        <v>112</v>
      </c>
      <c r="AE489" s="7" t="s">
        <v>112</v>
      </c>
      <c r="AF489" s="6" t="s">
        <v>113</v>
      </c>
      <c r="AG489" s="26" t="str">
        <f t="shared" ref="AG489" si="3495">CM$12</f>
        <v>4,33,28,33,6,4,33,28,33,6</v>
      </c>
      <c r="AH489" s="26" t="str">
        <f t="shared" ref="AH489" si="3496">CN$12</f>
        <v>0,5,0,5,1,0,5,0,5,1</v>
      </c>
      <c r="AI489" s="26" t="str">
        <f t="shared" ref="AI489" si="3497">CO$12</f>
        <v>0,0,0,0,1,0,0,0,0,1</v>
      </c>
      <c r="AJ489" s="26" t="str">
        <f t="shared" ref="AJ489" si="3498">CP$12</f>
        <v>0,0,0,0,5,0,0,0,0,5</v>
      </c>
      <c r="AK489" s="26" t="str">
        <f t="shared" ref="AK489" si="3499">CQ$12</f>
        <v>100,1,1000,2,5,200,1,1000,2,5</v>
      </c>
      <c r="AL489" s="26" t="str">
        <f t="shared" ref="AL489" si="3500">CR$12</f>
        <v>5,5,5,5,5,5,5,5,5,5</v>
      </c>
      <c r="AM489" s="7">
        <v>2001</v>
      </c>
      <c r="AO489">
        <f t="shared" ref="AO489" si="3501">AQ489*100+9</f>
        <v>5409</v>
      </c>
      <c r="AP489">
        <v>485</v>
      </c>
      <c r="AQ489">
        <f t="shared" si="3235"/>
        <v>54</v>
      </c>
      <c r="AR489">
        <v>10</v>
      </c>
      <c r="AS489" s="17">
        <f t="shared" si="3316"/>
        <v>345</v>
      </c>
      <c r="AT489">
        <v>9</v>
      </c>
      <c r="AU489">
        <f t="shared" si="3236"/>
        <v>30</v>
      </c>
      <c r="AV489">
        <v>150</v>
      </c>
      <c r="AW489">
        <f t="shared" si="3237"/>
        <v>76004.398080000014</v>
      </c>
      <c r="AX489">
        <f t="shared" si="3366"/>
        <v>420888000</v>
      </c>
      <c r="AY489">
        <f t="shared" si="3238"/>
        <v>7014.7999999999993</v>
      </c>
      <c r="AZ489">
        <f t="shared" si="3239"/>
        <v>14029.599999999999</v>
      </c>
      <c r="BA489">
        <f t="shared" si="3240"/>
        <v>88608.000000000015</v>
      </c>
      <c r="BB489">
        <f t="shared" si="3241"/>
        <v>3507.3999999999996</v>
      </c>
      <c r="BC489">
        <f t="shared" si="3367"/>
        <v>420888000</v>
      </c>
      <c r="BD489">
        <f t="shared" si="3242"/>
        <v>0.29411764705882354</v>
      </c>
      <c r="BE489" s="27">
        <f t="shared" si="3368"/>
        <v>527011457.91840011</v>
      </c>
      <c r="BF489" s="30">
        <f t="shared" si="3243"/>
        <v>0.42959999999999998</v>
      </c>
      <c r="BG489" s="27"/>
      <c r="BH489" s="27"/>
      <c r="BI489" s="27"/>
      <c r="CA489" s="20">
        <f t="shared" si="3244"/>
        <v>365</v>
      </c>
      <c r="CB489" s="20">
        <f t="shared" si="3245"/>
        <v>36500</v>
      </c>
    </row>
    <row r="490" spans="1:80" x14ac:dyDescent="0.15">
      <c r="A490">
        <v>5501</v>
      </c>
      <c r="B490" s="3" t="s">
        <v>108</v>
      </c>
      <c r="C490" s="4" t="s">
        <v>109</v>
      </c>
      <c r="D490" s="4" t="s">
        <v>110</v>
      </c>
      <c r="E490" s="5">
        <v>3</v>
      </c>
      <c r="F490" s="7" t="s">
        <v>141</v>
      </c>
      <c r="G490" s="5">
        <v>2.5</v>
      </c>
      <c r="H490" s="7" t="s">
        <v>194</v>
      </c>
      <c r="I490" s="5">
        <v>0</v>
      </c>
      <c r="J490" s="5">
        <v>0</v>
      </c>
      <c r="K490">
        <v>2</v>
      </c>
      <c r="L490">
        <v>1.5</v>
      </c>
      <c r="M490" s="5">
        <v>1.5</v>
      </c>
      <c r="N490" s="5">
        <v>10</v>
      </c>
      <c r="O490" s="5">
        <f t="shared" si="3225"/>
        <v>68626</v>
      </c>
      <c r="P490" s="5">
        <f t="shared" si="3226"/>
        <v>379392000</v>
      </c>
      <c r="Q490" s="5">
        <f t="shared" si="3227"/>
        <v>6323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70011</v>
      </c>
      <c r="X490" s="6" t="s">
        <v>179</v>
      </c>
      <c r="Y490" s="5">
        <v>300</v>
      </c>
      <c r="Z490" s="5">
        <v>1</v>
      </c>
      <c r="AA490" s="5">
        <v>126149063</v>
      </c>
      <c r="AB490" s="16" t="s">
        <v>111</v>
      </c>
      <c r="AC490" s="7" t="s">
        <v>112</v>
      </c>
      <c r="AD490" s="7" t="s">
        <v>112</v>
      </c>
      <c r="AE490" s="7" t="s">
        <v>112</v>
      </c>
      <c r="AF490" s="6" t="s">
        <v>113</v>
      </c>
      <c r="AG490" s="26" t="str">
        <f t="shared" ref="AG490" si="3502">CM$4</f>
        <v>4,33,28,33,6,4,33,28,33,6</v>
      </c>
      <c r="AH490" s="26" t="str">
        <f t="shared" ref="AH490" si="3503">CN$4</f>
        <v>0,8,0,8,1,0,8,0,8,1</v>
      </c>
      <c r="AI490" s="26" t="str">
        <f t="shared" ref="AI490" si="3504">CO$4</f>
        <v>0,0,0,0,1,0,0,0,0,1</v>
      </c>
      <c r="AJ490" s="26" t="str">
        <f t="shared" ref="AJ490" si="3505">CP$4</f>
        <v>0,0,0,0,5,0,0,0,0,5</v>
      </c>
      <c r="AK490" s="26" t="str">
        <f t="shared" ref="AK490" si="3506">CQ$4</f>
        <v>100,1,1000,2,5,200,1,1000,2,5</v>
      </c>
      <c r="AL490" s="26" t="str">
        <f t="shared" ref="AL490" si="3507">CR$4</f>
        <v>5,5,5,5,5,5,5,5,5,5</v>
      </c>
      <c r="AM490" s="7">
        <v>2001</v>
      </c>
      <c r="AO490">
        <f t="shared" ref="AO490" si="3508">AQ490*100+1</f>
        <v>5501</v>
      </c>
      <c r="AP490">
        <v>486</v>
      </c>
      <c r="AQ490">
        <f t="shared" si="3235"/>
        <v>55</v>
      </c>
      <c r="AR490">
        <v>10</v>
      </c>
      <c r="AS490" s="17">
        <f t="shared" si="3316"/>
        <v>310</v>
      </c>
      <c r="AT490">
        <v>9</v>
      </c>
      <c r="AU490">
        <f t="shared" si="3236"/>
        <v>30</v>
      </c>
      <c r="AV490">
        <v>150</v>
      </c>
      <c r="AW490">
        <f t="shared" si="3237"/>
        <v>68626.022399999987</v>
      </c>
      <c r="AX490">
        <f t="shared" si="3366"/>
        <v>379392000</v>
      </c>
      <c r="AY490">
        <f t="shared" si="3238"/>
        <v>6323.2</v>
      </c>
      <c r="AZ490">
        <f t="shared" si="3239"/>
        <v>12646.4</v>
      </c>
      <c r="BA490">
        <f t="shared" si="3240"/>
        <v>79872</v>
      </c>
      <c r="BB490">
        <f t="shared" si="3241"/>
        <v>3161.6</v>
      </c>
      <c r="BC490">
        <f t="shared" si="3367"/>
        <v>379392000</v>
      </c>
      <c r="BD490">
        <f t="shared" si="3242"/>
        <v>0.29411764705882354</v>
      </c>
      <c r="BE490" s="27">
        <f t="shared" si="3368"/>
        <v>428216411.75040007</v>
      </c>
      <c r="BF490" s="30">
        <f t="shared" si="3243"/>
        <v>0.43199999999999994</v>
      </c>
      <c r="BG490" s="27"/>
      <c r="BH490" s="27"/>
      <c r="BI490" s="27"/>
      <c r="CA490" s="20">
        <f t="shared" si="3244"/>
        <v>370</v>
      </c>
      <c r="CB490" s="20">
        <f t="shared" si="3245"/>
        <v>37000</v>
      </c>
    </row>
    <row r="491" spans="1:80" x14ac:dyDescent="0.15">
      <c r="A491">
        <v>5502</v>
      </c>
      <c r="B491" s="3" t="s">
        <v>115</v>
      </c>
      <c r="C491" s="4" t="s">
        <v>109</v>
      </c>
      <c r="D491" s="6" t="s">
        <v>110</v>
      </c>
      <c r="E491" s="5">
        <v>3</v>
      </c>
      <c r="F491" s="7" t="s">
        <v>142</v>
      </c>
      <c r="G491" s="5">
        <v>3</v>
      </c>
      <c r="H491" s="7" t="s">
        <v>188</v>
      </c>
      <c r="I491" s="5">
        <v>0</v>
      </c>
      <c r="J491" s="5">
        <v>0</v>
      </c>
      <c r="K491">
        <v>2</v>
      </c>
      <c r="L491">
        <v>1.5</v>
      </c>
      <c r="M491" s="5">
        <v>1.5</v>
      </c>
      <c r="N491" s="5">
        <v>10</v>
      </c>
      <c r="O491" s="5">
        <f t="shared" si="3225"/>
        <v>69698</v>
      </c>
      <c r="P491" s="5">
        <f t="shared" si="3226"/>
        <v>385320000</v>
      </c>
      <c r="Q491" s="5">
        <f t="shared" si="3227"/>
        <v>6422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70021</v>
      </c>
      <c r="X491" s="6" t="s">
        <v>180</v>
      </c>
      <c r="Y491" s="5">
        <v>300</v>
      </c>
      <c r="Z491" s="5">
        <v>1</v>
      </c>
      <c r="AA491" s="5">
        <v>100809203</v>
      </c>
      <c r="AB491" s="16" t="s">
        <v>111</v>
      </c>
      <c r="AC491" s="7" t="s">
        <v>112</v>
      </c>
      <c r="AD491" s="7" t="s">
        <v>112</v>
      </c>
      <c r="AE491" s="7" t="s">
        <v>112</v>
      </c>
      <c r="AF491" s="6" t="s">
        <v>113</v>
      </c>
      <c r="AG491" s="26" t="str">
        <f t="shared" ref="AG491" si="3509">CM$5</f>
        <v>4,33,28,33,6,4,33,28,33,6</v>
      </c>
      <c r="AH491" s="26" t="str">
        <f t="shared" ref="AH491" si="3510">CN$5</f>
        <v>0,7,0,7,1,0,7,0,7,1</v>
      </c>
      <c r="AI491" s="26" t="str">
        <f t="shared" ref="AI491" si="3511">CO$5</f>
        <v>0,0,0,0,1,0,0,0,0,1</v>
      </c>
      <c r="AJ491" s="26" t="str">
        <f t="shared" ref="AJ491" si="3512">CP$5</f>
        <v>0,0,0,0,5,0,0,0,0,5</v>
      </c>
      <c r="AK491" s="26" t="str">
        <f t="shared" ref="AK491" si="3513">CQ$5</f>
        <v>100,1,1000,2,5,200,1,1000,2,5</v>
      </c>
      <c r="AL491" s="26" t="str">
        <f t="shared" ref="AL491" si="3514">CR$5</f>
        <v>5,5,5,5,5,5,5,5,5,5</v>
      </c>
      <c r="AM491" s="7">
        <v>2001</v>
      </c>
      <c r="AO491">
        <f t="shared" ref="AO491" si="3515">AQ491*100+2</f>
        <v>5502</v>
      </c>
      <c r="AP491">
        <v>487</v>
      </c>
      <c r="AQ491">
        <f t="shared" si="3235"/>
        <v>55</v>
      </c>
      <c r="AR491">
        <v>10</v>
      </c>
      <c r="AS491" s="17">
        <f t="shared" si="3316"/>
        <v>315</v>
      </c>
      <c r="AT491">
        <v>9</v>
      </c>
      <c r="AU491">
        <f t="shared" si="3236"/>
        <v>30</v>
      </c>
      <c r="AV491">
        <v>150</v>
      </c>
      <c r="AW491">
        <f t="shared" si="3237"/>
        <v>69698.304000000004</v>
      </c>
      <c r="AX491">
        <f t="shared" si="3366"/>
        <v>385320000</v>
      </c>
      <c r="AY491">
        <f t="shared" si="3238"/>
        <v>6422</v>
      </c>
      <c r="AZ491">
        <f t="shared" si="3239"/>
        <v>12844</v>
      </c>
      <c r="BA491">
        <f t="shared" si="3240"/>
        <v>81120</v>
      </c>
      <c r="BB491">
        <f t="shared" si="3241"/>
        <v>3211</v>
      </c>
      <c r="BC491">
        <f t="shared" si="3367"/>
        <v>385320000</v>
      </c>
      <c r="BD491">
        <f t="shared" si="3242"/>
        <v>0.29411764705882354</v>
      </c>
      <c r="BE491" s="27">
        <f t="shared" si="3368"/>
        <v>441702719.64000016</v>
      </c>
      <c r="BF491" s="30">
        <f t="shared" si="3243"/>
        <v>0.43199999999999994</v>
      </c>
      <c r="BG491" s="27"/>
      <c r="BH491" s="27"/>
      <c r="BI491" s="27"/>
      <c r="CA491" s="20">
        <f t="shared" si="3244"/>
        <v>370</v>
      </c>
      <c r="CB491" s="20">
        <f t="shared" si="3245"/>
        <v>37000</v>
      </c>
    </row>
    <row r="492" spans="1:80" x14ac:dyDescent="0.15">
      <c r="A492">
        <v>5503</v>
      </c>
      <c r="B492" s="3" t="s">
        <v>117</v>
      </c>
      <c r="C492" s="4" t="s">
        <v>109</v>
      </c>
      <c r="D492" s="4" t="s">
        <v>110</v>
      </c>
      <c r="E492" s="5">
        <v>1</v>
      </c>
      <c r="F492" s="7" t="s">
        <v>144</v>
      </c>
      <c r="G492" s="5">
        <v>3</v>
      </c>
      <c r="H492" s="7" t="s">
        <v>189</v>
      </c>
      <c r="I492" s="5">
        <v>0</v>
      </c>
      <c r="J492" s="2">
        <v>0</v>
      </c>
      <c r="K492">
        <v>6</v>
      </c>
      <c r="L492">
        <v>1.5</v>
      </c>
      <c r="M492" s="5">
        <v>1.5</v>
      </c>
      <c r="N492" s="5">
        <v>10</v>
      </c>
      <c r="O492" s="5">
        <f t="shared" si="3225"/>
        <v>70770</v>
      </c>
      <c r="P492" s="5">
        <f t="shared" si="3226"/>
        <v>391248000</v>
      </c>
      <c r="Q492" s="5">
        <f t="shared" si="3227"/>
        <v>6520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70031</v>
      </c>
      <c r="X492" s="6" t="s">
        <v>181</v>
      </c>
      <c r="Y492" s="5">
        <v>300</v>
      </c>
      <c r="Z492" s="5">
        <v>1</v>
      </c>
      <c r="AA492" s="5">
        <v>104255424</v>
      </c>
      <c r="AB492" s="16" t="s">
        <v>111</v>
      </c>
      <c r="AC492" s="7" t="s">
        <v>112</v>
      </c>
      <c r="AD492" s="7" t="s">
        <v>112</v>
      </c>
      <c r="AE492" s="7" t="s">
        <v>112</v>
      </c>
      <c r="AF492" s="6" t="s">
        <v>113</v>
      </c>
      <c r="AG492" s="26" t="str">
        <f t="shared" ref="AG492" si="3516">CM$6</f>
        <v>4,28,6,28,6,4,28,6,28,6</v>
      </c>
      <c r="AH492" s="26" t="str">
        <f t="shared" ref="AH492" si="3517">CN$6</f>
        <v>0,0,1,0,1,0,0,1,0,1</v>
      </c>
      <c r="AI492" s="26" t="str">
        <f t="shared" ref="AI492" si="3518">CO$6</f>
        <v>0,0,0,0,1,0,0,0,0,1</v>
      </c>
      <c r="AJ492" s="26" t="str">
        <f t="shared" ref="AJ492" si="3519">CP$6</f>
        <v>0,0,5,0,5,0,0,5,0,5</v>
      </c>
      <c r="AK492" s="26" t="str">
        <f t="shared" ref="AK492" si="3520">CQ$6</f>
        <v>100,1000,5,1500,5,200,1000,5,1500,5</v>
      </c>
      <c r="AL492" s="26" t="str">
        <f t="shared" ref="AL492" si="3521">CR$6</f>
        <v>5,5,5,5,5,5,5,5,5,5</v>
      </c>
      <c r="AM492" s="7">
        <v>2001</v>
      </c>
      <c r="AO492">
        <f t="shared" ref="AO492" si="3522">AQ492*100+3</f>
        <v>5503</v>
      </c>
      <c r="AP492">
        <v>488</v>
      </c>
      <c r="AQ492">
        <f t="shared" si="3235"/>
        <v>55</v>
      </c>
      <c r="AR492">
        <v>10</v>
      </c>
      <c r="AS492" s="17">
        <f t="shared" si="3316"/>
        <v>320</v>
      </c>
      <c r="AT492">
        <v>9</v>
      </c>
      <c r="AU492">
        <f t="shared" si="3236"/>
        <v>30</v>
      </c>
      <c r="AV492">
        <v>150</v>
      </c>
      <c r="AW492">
        <f t="shared" si="3237"/>
        <v>70770.585599999991</v>
      </c>
      <c r="AX492">
        <f t="shared" si="3366"/>
        <v>391247999.99999994</v>
      </c>
      <c r="AY492">
        <f t="shared" si="3238"/>
        <v>6520.7999999999993</v>
      </c>
      <c r="AZ492">
        <f t="shared" si="3239"/>
        <v>13041.599999999999</v>
      </c>
      <c r="BA492">
        <f t="shared" si="3240"/>
        <v>82368</v>
      </c>
      <c r="BB492">
        <f t="shared" si="3241"/>
        <v>3260.3999999999996</v>
      </c>
      <c r="BC492">
        <f t="shared" si="3367"/>
        <v>391247999.99999994</v>
      </c>
      <c r="BD492">
        <f t="shared" si="3242"/>
        <v>0.29411764705882354</v>
      </c>
      <c r="BE492" s="27">
        <f t="shared" si="3368"/>
        <v>455398117.57439989</v>
      </c>
      <c r="BF492" s="30">
        <f t="shared" si="3243"/>
        <v>0.43199999999999994</v>
      </c>
      <c r="BG492" s="27"/>
      <c r="BH492" s="27"/>
      <c r="BI492" s="27"/>
      <c r="CA492" s="20">
        <f t="shared" si="3244"/>
        <v>370</v>
      </c>
      <c r="CB492" s="20">
        <f t="shared" si="3245"/>
        <v>37000</v>
      </c>
    </row>
    <row r="493" spans="1:80" x14ac:dyDescent="0.15">
      <c r="A493">
        <v>5504</v>
      </c>
      <c r="B493" s="3" t="s">
        <v>119</v>
      </c>
      <c r="C493" s="4" t="s">
        <v>109</v>
      </c>
      <c r="D493" s="6" t="s">
        <v>120</v>
      </c>
      <c r="E493" s="5">
        <v>3</v>
      </c>
      <c r="F493" s="7" t="s">
        <v>145</v>
      </c>
      <c r="G493" s="5">
        <v>3</v>
      </c>
      <c r="H493" s="7" t="s">
        <v>190</v>
      </c>
      <c r="I493" s="5">
        <v>0</v>
      </c>
      <c r="J493" s="5">
        <v>0</v>
      </c>
      <c r="K493">
        <v>2</v>
      </c>
      <c r="L493">
        <v>1.5</v>
      </c>
      <c r="M493" s="5">
        <v>1.5</v>
      </c>
      <c r="N493" s="5">
        <v>10</v>
      </c>
      <c r="O493" s="5">
        <f t="shared" si="3225"/>
        <v>71842</v>
      </c>
      <c r="P493" s="5">
        <f t="shared" si="3226"/>
        <v>397176000</v>
      </c>
      <c r="Q493" s="5">
        <f t="shared" si="3227"/>
        <v>6619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70041</v>
      </c>
      <c r="X493" s="6" t="s">
        <v>182</v>
      </c>
      <c r="Y493" s="5">
        <v>300</v>
      </c>
      <c r="Z493" s="5">
        <v>1</v>
      </c>
      <c r="AA493" s="5">
        <v>107759565</v>
      </c>
      <c r="AB493" s="16" t="s">
        <v>111</v>
      </c>
      <c r="AC493" s="7" t="s">
        <v>112</v>
      </c>
      <c r="AD493" s="7" t="s">
        <v>112</v>
      </c>
      <c r="AE493" s="7" t="s">
        <v>112</v>
      </c>
      <c r="AF493" s="6" t="s">
        <v>113</v>
      </c>
      <c r="AG493" s="26" t="str">
        <f t="shared" ref="AG493" si="3523">CM$7</f>
        <v>4,14,28,14,6,4,14,28,14,6</v>
      </c>
      <c r="AH493" s="26" t="str">
        <f t="shared" ref="AH493" si="3524">CN$7</f>
        <v>0,0,0,0,1,0,0,0,0,1</v>
      </c>
      <c r="AI493" s="26" t="str">
        <f t="shared" ref="AI493" si="3525">CO$7</f>
        <v>0,0,0,0,1,0,0,0,0,1</v>
      </c>
      <c r="AJ493" s="26" t="str">
        <f t="shared" ref="AJ493" si="3526">CP$7</f>
        <v>0,0,0,0,5,0,0,0,0,5</v>
      </c>
      <c r="AK493" s="26" t="str">
        <f t="shared" ref="AK493" si="3527">CQ$7</f>
        <v>100,1,1000,2,5,200,1,1000,2,5</v>
      </c>
      <c r="AL493" s="26" t="str">
        <f t="shared" ref="AL493" si="3528">CR$7</f>
        <v>5,5,5,5,5,5,5,5,5,5</v>
      </c>
      <c r="AM493" s="7">
        <v>2001</v>
      </c>
      <c r="AO493">
        <f t="shared" ref="AO493" si="3529">AQ493*100+4</f>
        <v>5504</v>
      </c>
      <c r="AP493">
        <v>489</v>
      </c>
      <c r="AQ493">
        <f t="shared" si="3235"/>
        <v>55</v>
      </c>
      <c r="AR493">
        <v>10</v>
      </c>
      <c r="AS493" s="17">
        <f t="shared" si="3316"/>
        <v>325</v>
      </c>
      <c r="AT493">
        <v>9</v>
      </c>
      <c r="AU493">
        <f t="shared" si="3236"/>
        <v>30</v>
      </c>
      <c r="AV493">
        <v>150</v>
      </c>
      <c r="AW493">
        <f t="shared" si="3237"/>
        <v>71842.867200000008</v>
      </c>
      <c r="AX493">
        <f t="shared" si="3366"/>
        <v>397176000</v>
      </c>
      <c r="AY493">
        <f t="shared" si="3238"/>
        <v>6619.5999999999995</v>
      </c>
      <c r="AZ493">
        <f t="shared" si="3239"/>
        <v>13239.199999999999</v>
      </c>
      <c r="BA493">
        <f t="shared" si="3240"/>
        <v>83616.000000000015</v>
      </c>
      <c r="BB493">
        <f t="shared" si="3241"/>
        <v>3309.7999999999997</v>
      </c>
      <c r="BC493">
        <f t="shared" si="3367"/>
        <v>397176000</v>
      </c>
      <c r="BD493">
        <f t="shared" si="3242"/>
        <v>0.29411764705882354</v>
      </c>
      <c r="BE493" s="27">
        <f t="shared" si="3368"/>
        <v>469302605.55360001</v>
      </c>
      <c r="BF493" s="30">
        <f t="shared" si="3243"/>
        <v>0.43199999999999994</v>
      </c>
      <c r="BG493" s="27"/>
      <c r="BH493" s="27"/>
      <c r="BI493" s="27"/>
      <c r="CA493" s="20">
        <f t="shared" si="3244"/>
        <v>370</v>
      </c>
      <c r="CB493" s="20">
        <f t="shared" si="3245"/>
        <v>37000</v>
      </c>
    </row>
    <row r="494" spans="1:80" x14ac:dyDescent="0.15">
      <c r="A494">
        <v>5505</v>
      </c>
      <c r="B494" s="3" t="s">
        <v>122</v>
      </c>
      <c r="C494" s="4" t="s">
        <v>109</v>
      </c>
      <c r="D494" s="4" t="s">
        <v>110</v>
      </c>
      <c r="E494" s="5">
        <v>2</v>
      </c>
      <c r="F494" s="7" t="s">
        <v>146</v>
      </c>
      <c r="G494" s="5">
        <v>3</v>
      </c>
      <c r="H494" s="7" t="s">
        <v>191</v>
      </c>
      <c r="I494" s="5">
        <v>0</v>
      </c>
      <c r="J494" s="7" t="s">
        <v>148</v>
      </c>
      <c r="K494">
        <v>6</v>
      </c>
      <c r="L494">
        <v>1.5</v>
      </c>
      <c r="M494" s="5">
        <v>1.5</v>
      </c>
      <c r="N494" s="5">
        <v>10</v>
      </c>
      <c r="O494" s="5">
        <f t="shared" si="3225"/>
        <v>72915</v>
      </c>
      <c r="P494" s="5">
        <f t="shared" si="3226"/>
        <v>403104000</v>
      </c>
      <c r="Q494" s="5">
        <f t="shared" si="3227"/>
        <v>6718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70051</v>
      </c>
      <c r="X494" s="6" t="s">
        <v>183</v>
      </c>
      <c r="Y494" s="5">
        <v>300</v>
      </c>
      <c r="Z494" s="5">
        <v>1</v>
      </c>
      <c r="AA494" s="5">
        <v>111321625</v>
      </c>
      <c r="AB494" s="16" t="s">
        <v>111</v>
      </c>
      <c r="AC494" s="7" t="s">
        <v>112</v>
      </c>
      <c r="AD494" s="7" t="s">
        <v>112</v>
      </c>
      <c r="AE494" s="7" t="s">
        <v>112</v>
      </c>
      <c r="AF494" s="6" t="s">
        <v>113</v>
      </c>
      <c r="AG494" s="26" t="str">
        <f t="shared" ref="AG494" si="3530">CM$8</f>
        <v>4,19,28,19,6,4,19,28,19,6</v>
      </c>
      <c r="AH494" s="26" t="str">
        <f t="shared" ref="AH494" si="3531">CN$8</f>
        <v>0,0,0,0,1,0,0,0,0,1</v>
      </c>
      <c r="AI494" s="26" t="str">
        <f t="shared" ref="AI494" si="3532">CO$8</f>
        <v>0,0,0,0,1,0,0,0,0,1</v>
      </c>
      <c r="AJ494" s="26" t="str">
        <f t="shared" ref="AJ494" si="3533">CP$8</f>
        <v>0,0,0,0,5,0,0,0,0,5</v>
      </c>
      <c r="AK494" s="26" t="str">
        <f t="shared" ref="AK494" si="3534">CQ$8</f>
        <v>200,100,1000,200,5,200,100,1000,200,5</v>
      </c>
      <c r="AL494" s="26" t="str">
        <f t="shared" ref="AL494" si="3535">CR$8</f>
        <v>5,5,5,5,5,5,5,5,5,5</v>
      </c>
      <c r="AM494" s="7">
        <v>2001</v>
      </c>
      <c r="AO494">
        <f t="shared" ref="AO494" si="3536">AQ494*100+5</f>
        <v>5505</v>
      </c>
      <c r="AP494">
        <v>490</v>
      </c>
      <c r="AQ494">
        <f t="shared" si="3235"/>
        <v>55</v>
      </c>
      <c r="AR494">
        <v>10</v>
      </c>
      <c r="AS494" s="17">
        <f t="shared" si="3316"/>
        <v>330</v>
      </c>
      <c r="AT494">
        <v>9</v>
      </c>
      <c r="AU494">
        <f t="shared" si="3236"/>
        <v>30</v>
      </c>
      <c r="AV494">
        <v>150</v>
      </c>
      <c r="AW494">
        <f t="shared" si="3237"/>
        <v>72915.14880000001</v>
      </c>
      <c r="AX494">
        <f t="shared" si="3366"/>
        <v>403104000</v>
      </c>
      <c r="AY494">
        <f t="shared" si="3238"/>
        <v>6718.4</v>
      </c>
      <c r="AZ494">
        <f t="shared" si="3239"/>
        <v>13436.8</v>
      </c>
      <c r="BA494">
        <f t="shared" si="3240"/>
        <v>84864.000000000015</v>
      </c>
      <c r="BB494">
        <f t="shared" si="3241"/>
        <v>3359.2</v>
      </c>
      <c r="BC494">
        <f t="shared" si="3367"/>
        <v>403104000</v>
      </c>
      <c r="BD494">
        <f t="shared" si="3242"/>
        <v>0.29411764705882359</v>
      </c>
      <c r="BE494" s="27">
        <f t="shared" si="3368"/>
        <v>483416183.57760006</v>
      </c>
      <c r="BF494" s="30">
        <f t="shared" si="3243"/>
        <v>0.43199999999999994</v>
      </c>
      <c r="BG494" s="27"/>
      <c r="BH494" s="27"/>
      <c r="BI494" s="27"/>
      <c r="CA494" s="20">
        <f t="shared" si="3244"/>
        <v>370</v>
      </c>
      <c r="CB494" s="20">
        <f t="shared" si="3245"/>
        <v>37000</v>
      </c>
    </row>
    <row r="495" spans="1:80" x14ac:dyDescent="0.15">
      <c r="A495">
        <v>5506</v>
      </c>
      <c r="B495" s="3" t="s">
        <v>124</v>
      </c>
      <c r="C495" s="4" t="s">
        <v>109</v>
      </c>
      <c r="D495" s="6" t="s">
        <v>120</v>
      </c>
      <c r="E495" s="5">
        <v>1</v>
      </c>
      <c r="F495" s="7" t="s">
        <v>147</v>
      </c>
      <c r="G495" s="5">
        <v>3</v>
      </c>
      <c r="H495" s="7" t="s">
        <v>192</v>
      </c>
      <c r="I495" s="5">
        <v>0</v>
      </c>
      <c r="J495" s="7" t="s">
        <v>149</v>
      </c>
      <c r="K495">
        <v>6</v>
      </c>
      <c r="L495">
        <v>1.5</v>
      </c>
      <c r="M495" s="5">
        <v>1.5</v>
      </c>
      <c r="N495" s="5">
        <v>10</v>
      </c>
      <c r="O495" s="5">
        <f t="shared" si="3225"/>
        <v>73987</v>
      </c>
      <c r="P495" s="5">
        <f t="shared" si="3226"/>
        <v>409032000</v>
      </c>
      <c r="Q495" s="5">
        <f t="shared" si="3227"/>
        <v>6817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70061</v>
      </c>
      <c r="X495" s="6" t="s">
        <v>184</v>
      </c>
      <c r="Y495" s="5">
        <v>300</v>
      </c>
      <c r="Z495" s="5">
        <v>1</v>
      </c>
      <c r="AA495" s="5">
        <v>114941605</v>
      </c>
      <c r="AB495" s="16" t="s">
        <v>111</v>
      </c>
      <c r="AC495" s="7" t="s">
        <v>112</v>
      </c>
      <c r="AD495" s="7" t="s">
        <v>112</v>
      </c>
      <c r="AE495" s="7" t="s">
        <v>112</v>
      </c>
      <c r="AF495" s="6" t="s">
        <v>113</v>
      </c>
      <c r="AG495" s="26" t="str">
        <f t="shared" ref="AG495" si="3537">CM$9</f>
        <v>4,33,28,33,6,4,33,28,33,6</v>
      </c>
      <c r="AH495" s="26" t="str">
        <f t="shared" ref="AH495" si="3538">CN$9</f>
        <v>0,6,0,6,1,0,6,0,6,1</v>
      </c>
      <c r="AI495" s="26" t="str">
        <f t="shared" ref="AI495" si="3539">CO$9</f>
        <v>0,0,0,0,1,0,0,0,0,1</v>
      </c>
      <c r="AJ495" s="26" t="str">
        <f t="shared" ref="AJ495" si="3540">CP$9</f>
        <v>0,0,0,0,5,0,0,0,0,5</v>
      </c>
      <c r="AK495" s="26" t="str">
        <f t="shared" ref="AK495" si="3541">CQ$9</f>
        <v>200,1,1000,2,5,200,1,1000,2,5</v>
      </c>
      <c r="AL495" s="26" t="str">
        <f t="shared" ref="AL495" si="3542">CR$9</f>
        <v>5,5,5,5,5,5,5,5,5,5</v>
      </c>
      <c r="AM495" s="7">
        <v>2001</v>
      </c>
      <c r="AO495">
        <f t="shared" ref="AO495" si="3543">AQ495*100+6</f>
        <v>5506</v>
      </c>
      <c r="AP495">
        <v>491</v>
      </c>
      <c r="AQ495">
        <f t="shared" si="3235"/>
        <v>55</v>
      </c>
      <c r="AR495">
        <v>10</v>
      </c>
      <c r="AS495" s="17">
        <f t="shared" si="3316"/>
        <v>335</v>
      </c>
      <c r="AT495">
        <v>9</v>
      </c>
      <c r="AU495">
        <f t="shared" si="3236"/>
        <v>30</v>
      </c>
      <c r="AV495">
        <v>150</v>
      </c>
      <c r="AW495">
        <f t="shared" si="3237"/>
        <v>73987.430399999997</v>
      </c>
      <c r="AX495">
        <f t="shared" si="3366"/>
        <v>409032000</v>
      </c>
      <c r="AY495">
        <f t="shared" si="3238"/>
        <v>6817.2</v>
      </c>
      <c r="AZ495">
        <f t="shared" si="3239"/>
        <v>13634.4</v>
      </c>
      <c r="BA495">
        <f t="shared" si="3240"/>
        <v>86112.000000000015</v>
      </c>
      <c r="BB495">
        <f t="shared" si="3241"/>
        <v>3408.6</v>
      </c>
      <c r="BC495">
        <f t="shared" si="3367"/>
        <v>409032000</v>
      </c>
      <c r="BD495">
        <f t="shared" si="3242"/>
        <v>0.29411764705882354</v>
      </c>
      <c r="BE495" s="27">
        <f t="shared" si="3368"/>
        <v>497738851.64640003</v>
      </c>
      <c r="BF495" s="30">
        <f t="shared" si="3243"/>
        <v>0.43199999999999994</v>
      </c>
      <c r="BG495" s="27"/>
      <c r="BH495" s="27"/>
      <c r="BI495" s="27"/>
      <c r="CA495" s="20">
        <f t="shared" si="3244"/>
        <v>370</v>
      </c>
      <c r="CB495" s="20">
        <f t="shared" si="3245"/>
        <v>37000</v>
      </c>
    </row>
    <row r="496" spans="1:80" x14ac:dyDescent="0.15">
      <c r="A496">
        <v>5507</v>
      </c>
      <c r="B496" s="3" t="s">
        <v>126</v>
      </c>
      <c r="C496" s="4" t="s">
        <v>109</v>
      </c>
      <c r="D496" s="4" t="s">
        <v>110</v>
      </c>
      <c r="E496" s="5">
        <v>2</v>
      </c>
      <c r="F496" s="7" t="s">
        <v>143</v>
      </c>
      <c r="G496" s="5">
        <v>3</v>
      </c>
      <c r="H496" s="7" t="s">
        <v>193</v>
      </c>
      <c r="I496" s="5">
        <v>0</v>
      </c>
      <c r="J496" s="5">
        <v>0</v>
      </c>
      <c r="K496">
        <v>2</v>
      </c>
      <c r="L496">
        <v>1.5</v>
      </c>
      <c r="M496" s="5">
        <v>1.5</v>
      </c>
      <c r="N496" s="5">
        <v>10</v>
      </c>
      <c r="O496" s="5">
        <f t="shared" si="3225"/>
        <v>75059</v>
      </c>
      <c r="P496" s="5">
        <f t="shared" si="3226"/>
        <v>414960000</v>
      </c>
      <c r="Q496" s="5">
        <f t="shared" si="3227"/>
        <v>6916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70071</v>
      </c>
      <c r="X496" s="6" t="s">
        <v>185</v>
      </c>
      <c r="Y496" s="5">
        <v>300</v>
      </c>
      <c r="Z496" s="5">
        <v>1</v>
      </c>
      <c r="AA496" s="5">
        <v>118619505</v>
      </c>
      <c r="AB496" s="16" t="s">
        <v>111</v>
      </c>
      <c r="AC496" s="7" t="s">
        <v>112</v>
      </c>
      <c r="AD496" s="7" t="s">
        <v>112</v>
      </c>
      <c r="AE496" s="7" t="s">
        <v>112</v>
      </c>
      <c r="AF496" s="6" t="s">
        <v>113</v>
      </c>
      <c r="AG496" s="26" t="str">
        <f t="shared" ref="AG496" si="3544">CM$10</f>
        <v>4,14,28,14,6,4,14,28,14,6</v>
      </c>
      <c r="AH496" s="26" t="str">
        <f t="shared" ref="AH496" si="3545">CN$10</f>
        <v>0,0,0,0,1,0,0,0,0,1</v>
      </c>
      <c r="AI496" s="26" t="str">
        <f t="shared" ref="AI496" si="3546">CO$10</f>
        <v>0,0,0,0,1,0,0,0,0,1</v>
      </c>
      <c r="AJ496" s="26" t="str">
        <f t="shared" ref="AJ496" si="3547">CP$10</f>
        <v>0,0,0,0,5,0,0,0,0,5</v>
      </c>
      <c r="AK496" s="26" t="str">
        <f t="shared" ref="AK496" si="3548">CQ$10</f>
        <v>200,1,1000,2,5,200,1,1000,2,5</v>
      </c>
      <c r="AL496" s="26" t="str">
        <f t="shared" ref="AL496" si="3549">CR$10</f>
        <v>5,5,5,5,5,5,5,5,5,5</v>
      </c>
      <c r="AM496" s="7">
        <v>2001</v>
      </c>
      <c r="AO496">
        <f t="shared" ref="AO496" si="3550">AQ496*100+7</f>
        <v>5507</v>
      </c>
      <c r="AP496">
        <v>492</v>
      </c>
      <c r="AQ496">
        <f t="shared" si="3235"/>
        <v>55</v>
      </c>
      <c r="AR496">
        <v>10</v>
      </c>
      <c r="AS496" s="17">
        <f t="shared" si="3316"/>
        <v>340</v>
      </c>
      <c r="AT496">
        <v>9</v>
      </c>
      <c r="AU496">
        <f t="shared" si="3236"/>
        <v>30</v>
      </c>
      <c r="AV496">
        <v>150</v>
      </c>
      <c r="AW496">
        <f t="shared" si="3237"/>
        <v>75059.712000000014</v>
      </c>
      <c r="AX496">
        <f t="shared" si="3366"/>
        <v>414960000</v>
      </c>
      <c r="AY496">
        <f t="shared" si="3238"/>
        <v>6916</v>
      </c>
      <c r="AZ496">
        <f t="shared" si="3239"/>
        <v>13832</v>
      </c>
      <c r="BA496">
        <f t="shared" si="3240"/>
        <v>87360.000000000015</v>
      </c>
      <c r="BB496">
        <f t="shared" si="3241"/>
        <v>3458</v>
      </c>
      <c r="BC496">
        <f t="shared" si="3367"/>
        <v>414960000</v>
      </c>
      <c r="BD496">
        <f t="shared" si="3242"/>
        <v>0.29411764705882354</v>
      </c>
      <c r="BE496" s="27">
        <f t="shared" si="3368"/>
        <v>512270609.76000011</v>
      </c>
      <c r="BF496" s="30">
        <f t="shared" si="3243"/>
        <v>0.43199999999999994</v>
      </c>
      <c r="BG496" s="27"/>
      <c r="BH496" s="27"/>
      <c r="BI496" s="27"/>
      <c r="CA496" s="20">
        <f t="shared" si="3244"/>
        <v>370</v>
      </c>
      <c r="CB496" s="20">
        <f t="shared" si="3245"/>
        <v>37000</v>
      </c>
    </row>
    <row r="497" spans="1:80" x14ac:dyDescent="0.15">
      <c r="A497">
        <v>5508</v>
      </c>
      <c r="B497" s="3" t="s">
        <v>128</v>
      </c>
      <c r="C497" s="4" t="s">
        <v>109</v>
      </c>
      <c r="D497" s="4" t="s">
        <v>110</v>
      </c>
      <c r="E497" s="5">
        <v>5</v>
      </c>
      <c r="F497" s="7" t="s">
        <v>129</v>
      </c>
      <c r="G497" s="5">
        <v>2</v>
      </c>
      <c r="H497" s="7" t="s">
        <v>130</v>
      </c>
      <c r="I497" s="5">
        <v>0</v>
      </c>
      <c r="J497" s="5">
        <v>0</v>
      </c>
      <c r="K497">
        <v>2</v>
      </c>
      <c r="L497">
        <v>1.5</v>
      </c>
      <c r="M497" s="5">
        <v>1.5</v>
      </c>
      <c r="N497" s="5">
        <v>10</v>
      </c>
      <c r="O497" s="5">
        <f t="shared" si="3225"/>
        <v>76131</v>
      </c>
      <c r="P497" s="5">
        <f t="shared" si="3226"/>
        <v>420888000</v>
      </c>
      <c r="Q497" s="5">
        <f t="shared" si="3227"/>
        <v>7014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70081</v>
      </c>
      <c r="X497" s="6" t="s">
        <v>186</v>
      </c>
      <c r="Y497" s="5">
        <v>300</v>
      </c>
      <c r="Z497" s="5">
        <v>1</v>
      </c>
      <c r="AA497" s="5">
        <v>122355324</v>
      </c>
      <c r="AB497" s="16" t="s">
        <v>111</v>
      </c>
      <c r="AC497" s="7" t="s">
        <v>112</v>
      </c>
      <c r="AD497" s="7" t="s">
        <v>112</v>
      </c>
      <c r="AE497" s="7" t="s">
        <v>112</v>
      </c>
      <c r="AF497" s="6" t="s">
        <v>113</v>
      </c>
      <c r="AG497" s="26" t="str">
        <f t="shared" ref="AG497" si="3551">CM$11</f>
        <v>4,28,6,28,6,4,28,6,28,6</v>
      </c>
      <c r="AH497" s="26" t="str">
        <f t="shared" ref="AH497" si="3552">CN$11</f>
        <v>0,0,1,0,1,0,0,1,0,1</v>
      </c>
      <c r="AI497" s="26" t="str">
        <f t="shared" ref="AI497" si="3553">CO$11</f>
        <v>0,0,1,0,1,0,0,1,0,1</v>
      </c>
      <c r="AJ497" s="26" t="str">
        <f t="shared" ref="AJ497" si="3554">CP$11</f>
        <v>0,0,5,0,5,0,0,5,0,5</v>
      </c>
      <c r="AK497" s="26" t="str">
        <f t="shared" ref="AK497" si="3555">CQ$11</f>
        <v>100,1000,5,1500,5,200,1000,5,1500,5</v>
      </c>
      <c r="AL497" s="26" t="str">
        <f t="shared" ref="AL497" si="3556">CR$11</f>
        <v>5,5,5,5,5,5,5,5,5,5</v>
      </c>
      <c r="AM497" s="7">
        <v>2001</v>
      </c>
      <c r="AO497">
        <f t="shared" ref="AO497" si="3557">AQ497*100+8</f>
        <v>5508</v>
      </c>
      <c r="AP497">
        <v>493</v>
      </c>
      <c r="AQ497">
        <f t="shared" si="3235"/>
        <v>55</v>
      </c>
      <c r="AR497">
        <v>10</v>
      </c>
      <c r="AS497" s="17">
        <f t="shared" si="3316"/>
        <v>345</v>
      </c>
      <c r="AT497">
        <v>9</v>
      </c>
      <c r="AU497">
        <f t="shared" si="3236"/>
        <v>30</v>
      </c>
      <c r="AV497">
        <v>150</v>
      </c>
      <c r="AW497">
        <f t="shared" si="3237"/>
        <v>76131.993600000016</v>
      </c>
      <c r="AX497">
        <f t="shared" si="3366"/>
        <v>420888000</v>
      </c>
      <c r="AY497">
        <f t="shared" si="3238"/>
        <v>7014.7999999999993</v>
      </c>
      <c r="AZ497">
        <f t="shared" si="3239"/>
        <v>14029.599999999999</v>
      </c>
      <c r="BA497">
        <f t="shared" si="3240"/>
        <v>88608.000000000015</v>
      </c>
      <c r="BB497">
        <f t="shared" si="3241"/>
        <v>3507.3999999999996</v>
      </c>
      <c r="BC497">
        <f t="shared" si="3367"/>
        <v>420888000</v>
      </c>
      <c r="BD497">
        <f t="shared" si="3242"/>
        <v>0.29411764705882354</v>
      </c>
      <c r="BE497" s="27">
        <f t="shared" si="3368"/>
        <v>527011457.91840011</v>
      </c>
      <c r="BF497" s="30">
        <f t="shared" si="3243"/>
        <v>0.43199999999999994</v>
      </c>
      <c r="BG497" s="27"/>
      <c r="BH497" s="27"/>
      <c r="BI497" s="27"/>
      <c r="CA497" s="20">
        <f t="shared" si="3244"/>
        <v>370</v>
      </c>
      <c r="CB497" s="20">
        <f t="shared" si="3245"/>
        <v>37000</v>
      </c>
    </row>
    <row r="498" spans="1:80" x14ac:dyDescent="0.15">
      <c r="A498">
        <v>5509</v>
      </c>
      <c r="B498" s="3" t="s">
        <v>132</v>
      </c>
      <c r="C498" s="4" t="s">
        <v>109</v>
      </c>
      <c r="D498" s="4" t="s">
        <v>110</v>
      </c>
      <c r="E498" s="5">
        <v>5</v>
      </c>
      <c r="F498" s="7" t="s">
        <v>140</v>
      </c>
      <c r="G498" s="5">
        <v>3</v>
      </c>
      <c r="H498" s="7" t="s">
        <v>140</v>
      </c>
      <c r="I498" s="5">
        <v>0</v>
      </c>
      <c r="J498" s="7">
        <v>0</v>
      </c>
      <c r="K498">
        <v>6</v>
      </c>
      <c r="L498">
        <v>1.5</v>
      </c>
      <c r="M498" s="5">
        <v>1.5</v>
      </c>
      <c r="N498" s="5">
        <v>10</v>
      </c>
      <c r="O498" s="5">
        <f t="shared" si="3225"/>
        <v>77204</v>
      </c>
      <c r="P498" s="5">
        <f t="shared" si="3226"/>
        <v>426816000</v>
      </c>
      <c r="Q498" s="5">
        <f t="shared" si="3227"/>
        <v>7113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70091</v>
      </c>
      <c r="X498" s="6" t="s">
        <v>187</v>
      </c>
      <c r="Y498" s="5">
        <v>300</v>
      </c>
      <c r="Z498" s="5">
        <v>1</v>
      </c>
      <c r="AA498" s="5">
        <v>126149063</v>
      </c>
      <c r="AB498" s="16" t="s">
        <v>111</v>
      </c>
      <c r="AC498" s="7" t="s">
        <v>112</v>
      </c>
      <c r="AD498" s="7" t="s">
        <v>112</v>
      </c>
      <c r="AE498" s="7" t="s">
        <v>112</v>
      </c>
      <c r="AF498" s="6" t="s">
        <v>113</v>
      </c>
      <c r="AG498" s="26" t="str">
        <f t="shared" ref="AG498" si="3558">CM$12</f>
        <v>4,33,28,33,6,4,33,28,33,6</v>
      </c>
      <c r="AH498" s="26" t="str">
        <f t="shared" ref="AH498" si="3559">CN$12</f>
        <v>0,5,0,5,1,0,5,0,5,1</v>
      </c>
      <c r="AI498" s="26" t="str">
        <f t="shared" ref="AI498" si="3560">CO$12</f>
        <v>0,0,0,0,1,0,0,0,0,1</v>
      </c>
      <c r="AJ498" s="26" t="str">
        <f t="shared" ref="AJ498" si="3561">CP$12</f>
        <v>0,0,0,0,5,0,0,0,0,5</v>
      </c>
      <c r="AK498" s="26" t="str">
        <f t="shared" ref="AK498" si="3562">CQ$12</f>
        <v>100,1,1000,2,5,200,1,1000,2,5</v>
      </c>
      <c r="AL498" s="26" t="str">
        <f t="shared" ref="AL498" si="3563">CR$12</f>
        <v>5,5,5,5,5,5,5,5,5,5</v>
      </c>
      <c r="AM498" s="7">
        <v>2001</v>
      </c>
      <c r="AO498">
        <f t="shared" ref="AO498" si="3564">AQ498*100+9</f>
        <v>5509</v>
      </c>
      <c r="AP498">
        <v>494</v>
      </c>
      <c r="AQ498">
        <f t="shared" si="3235"/>
        <v>55</v>
      </c>
      <c r="AR498">
        <v>10</v>
      </c>
      <c r="AS498" s="17">
        <f t="shared" si="3316"/>
        <v>350</v>
      </c>
      <c r="AT498">
        <v>9</v>
      </c>
      <c r="AU498">
        <f t="shared" si="3236"/>
        <v>30</v>
      </c>
      <c r="AV498">
        <v>150</v>
      </c>
      <c r="AW498">
        <f t="shared" si="3237"/>
        <v>77204.275200000004</v>
      </c>
      <c r="AX498">
        <f t="shared" si="3366"/>
        <v>426815999.99999994</v>
      </c>
      <c r="AY498">
        <f t="shared" si="3238"/>
        <v>7113.5999999999995</v>
      </c>
      <c r="AZ498">
        <f t="shared" si="3239"/>
        <v>14227.199999999999</v>
      </c>
      <c r="BA498">
        <f t="shared" si="3240"/>
        <v>89856.000000000015</v>
      </c>
      <c r="BB498">
        <f t="shared" si="3241"/>
        <v>3556.7999999999997</v>
      </c>
      <c r="BC498">
        <f t="shared" si="3367"/>
        <v>426815999.99999994</v>
      </c>
      <c r="BD498">
        <f t="shared" si="3242"/>
        <v>0.29411764705882354</v>
      </c>
      <c r="BE498" s="27">
        <f t="shared" si="3368"/>
        <v>541961396.12159991</v>
      </c>
      <c r="BF498" s="30">
        <f t="shared" si="3243"/>
        <v>0.43199999999999994</v>
      </c>
      <c r="BG498" s="27"/>
      <c r="BH498" s="27"/>
      <c r="BI498" s="27"/>
      <c r="CA498" s="20">
        <f t="shared" si="3244"/>
        <v>370</v>
      </c>
      <c r="CB498" s="20">
        <f t="shared" si="3245"/>
        <v>37000</v>
      </c>
    </row>
    <row r="499" spans="1:80" x14ac:dyDescent="0.15">
      <c r="A499">
        <v>5601</v>
      </c>
      <c r="B499" s="3" t="s">
        <v>108</v>
      </c>
      <c r="C499" s="4" t="s">
        <v>109</v>
      </c>
      <c r="D499" s="4" t="s">
        <v>110</v>
      </c>
      <c r="E499" s="5">
        <v>3</v>
      </c>
      <c r="F499" s="7" t="s">
        <v>141</v>
      </c>
      <c r="G499" s="5">
        <v>2.5</v>
      </c>
      <c r="H499" s="7" t="s">
        <v>194</v>
      </c>
      <c r="I499" s="5">
        <v>0</v>
      </c>
      <c r="J499" s="5">
        <v>0</v>
      </c>
      <c r="K499">
        <v>2</v>
      </c>
      <c r="L499">
        <v>1.5</v>
      </c>
      <c r="M499" s="5">
        <v>1.5</v>
      </c>
      <c r="N499" s="5">
        <v>10</v>
      </c>
      <c r="O499" s="5">
        <f t="shared" si="3225"/>
        <v>69815</v>
      </c>
      <c r="P499" s="5">
        <f t="shared" si="3226"/>
        <v>385320000</v>
      </c>
      <c r="Q499" s="5">
        <f t="shared" si="3227"/>
        <v>6422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70011</v>
      </c>
      <c r="X499" s="6" t="s">
        <v>179</v>
      </c>
      <c r="Y499" s="5">
        <v>300</v>
      </c>
      <c r="Z499" s="5">
        <v>1</v>
      </c>
      <c r="AA499" s="5">
        <v>130000722</v>
      </c>
      <c r="AB499" s="16" t="s">
        <v>111</v>
      </c>
      <c r="AC499" s="7" t="s">
        <v>112</v>
      </c>
      <c r="AD499" s="7" t="s">
        <v>112</v>
      </c>
      <c r="AE499" s="7" t="s">
        <v>112</v>
      </c>
      <c r="AF499" s="6" t="s">
        <v>113</v>
      </c>
      <c r="AG499" s="26" t="str">
        <f t="shared" ref="AG499" si="3565">CM$4</f>
        <v>4,33,28,33,6,4,33,28,33,6</v>
      </c>
      <c r="AH499" s="26" t="str">
        <f t="shared" ref="AH499" si="3566">CN$4</f>
        <v>0,8,0,8,1,0,8,0,8,1</v>
      </c>
      <c r="AI499" s="26" t="str">
        <f t="shared" ref="AI499" si="3567">CO$4</f>
        <v>0,0,0,0,1,0,0,0,0,1</v>
      </c>
      <c r="AJ499" s="26" t="str">
        <f t="shared" ref="AJ499" si="3568">CP$4</f>
        <v>0,0,0,0,5,0,0,0,0,5</v>
      </c>
      <c r="AK499" s="26" t="str">
        <f t="shared" ref="AK499" si="3569">CQ$4</f>
        <v>100,1,1000,2,5,200,1,1000,2,5</v>
      </c>
      <c r="AL499" s="26" t="str">
        <f t="shared" ref="AL499" si="3570">CR$4</f>
        <v>5,5,5,5,5,5,5,5,5,5</v>
      </c>
      <c r="AM499" s="7">
        <v>2001</v>
      </c>
      <c r="AO499">
        <f t="shared" ref="AO499" si="3571">AQ499*100+1</f>
        <v>5601</v>
      </c>
      <c r="AP499">
        <v>495</v>
      </c>
      <c r="AQ499">
        <f t="shared" si="3235"/>
        <v>56</v>
      </c>
      <c r="AR499">
        <v>10</v>
      </c>
      <c r="AS499" s="17">
        <f t="shared" si="3316"/>
        <v>315</v>
      </c>
      <c r="AT499">
        <v>9</v>
      </c>
      <c r="AU499">
        <f t="shared" si="3236"/>
        <v>30</v>
      </c>
      <c r="AV499">
        <v>150</v>
      </c>
      <c r="AW499">
        <f t="shared" si="3237"/>
        <v>69815.116800000003</v>
      </c>
      <c r="AX499">
        <f t="shared" si="3366"/>
        <v>385320000</v>
      </c>
      <c r="AY499">
        <f t="shared" si="3238"/>
        <v>6422</v>
      </c>
      <c r="AZ499">
        <f t="shared" si="3239"/>
        <v>12844</v>
      </c>
      <c r="BA499">
        <f t="shared" si="3240"/>
        <v>81120</v>
      </c>
      <c r="BB499">
        <f t="shared" si="3241"/>
        <v>3211</v>
      </c>
      <c r="BC499">
        <f t="shared" si="3367"/>
        <v>385320000</v>
      </c>
      <c r="BD499">
        <f t="shared" si="3242"/>
        <v>0.29411764705882354</v>
      </c>
      <c r="BE499" s="27">
        <f t="shared" si="3368"/>
        <v>441702719.64000016</v>
      </c>
      <c r="BF499" s="30">
        <f t="shared" si="3243"/>
        <v>0.43440000000000001</v>
      </c>
      <c r="BG499" s="27"/>
      <c r="BH499" s="27"/>
      <c r="BI499" s="27"/>
      <c r="CA499" s="20">
        <f t="shared" si="3244"/>
        <v>375</v>
      </c>
      <c r="CB499" s="20">
        <f t="shared" si="3245"/>
        <v>37500</v>
      </c>
    </row>
    <row r="500" spans="1:80" x14ac:dyDescent="0.15">
      <c r="A500">
        <v>5602</v>
      </c>
      <c r="B500" s="3" t="s">
        <v>115</v>
      </c>
      <c r="C500" s="4" t="s">
        <v>109</v>
      </c>
      <c r="D500" s="6" t="s">
        <v>110</v>
      </c>
      <c r="E500" s="5">
        <v>3</v>
      </c>
      <c r="F500" s="7" t="s">
        <v>142</v>
      </c>
      <c r="G500" s="5">
        <v>3</v>
      </c>
      <c r="H500" s="7" t="s">
        <v>188</v>
      </c>
      <c r="I500" s="5">
        <v>0</v>
      </c>
      <c r="J500" s="5">
        <v>0</v>
      </c>
      <c r="K500">
        <v>2</v>
      </c>
      <c r="L500">
        <v>1.5</v>
      </c>
      <c r="M500" s="5">
        <v>1.5</v>
      </c>
      <c r="N500" s="5">
        <v>10</v>
      </c>
      <c r="O500" s="5">
        <f t="shared" si="3225"/>
        <v>70889</v>
      </c>
      <c r="P500" s="5">
        <f t="shared" si="3226"/>
        <v>391248000</v>
      </c>
      <c r="Q500" s="5">
        <f t="shared" si="3227"/>
        <v>6520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70021</v>
      </c>
      <c r="X500" s="6" t="s">
        <v>180</v>
      </c>
      <c r="Y500" s="5">
        <v>300</v>
      </c>
      <c r="Z500" s="5">
        <v>1</v>
      </c>
      <c r="AA500" s="5">
        <v>104255424</v>
      </c>
      <c r="AB500" s="16" t="s">
        <v>111</v>
      </c>
      <c r="AC500" s="7" t="s">
        <v>112</v>
      </c>
      <c r="AD500" s="7" t="s">
        <v>112</v>
      </c>
      <c r="AE500" s="7" t="s">
        <v>112</v>
      </c>
      <c r="AF500" s="6" t="s">
        <v>113</v>
      </c>
      <c r="AG500" s="26" t="str">
        <f t="shared" ref="AG500" si="3572">CM$5</f>
        <v>4,33,28,33,6,4,33,28,33,6</v>
      </c>
      <c r="AH500" s="26" t="str">
        <f t="shared" ref="AH500" si="3573">CN$5</f>
        <v>0,7,0,7,1,0,7,0,7,1</v>
      </c>
      <c r="AI500" s="26" t="str">
        <f t="shared" ref="AI500" si="3574">CO$5</f>
        <v>0,0,0,0,1,0,0,0,0,1</v>
      </c>
      <c r="AJ500" s="26" t="str">
        <f t="shared" ref="AJ500" si="3575">CP$5</f>
        <v>0,0,0,0,5,0,0,0,0,5</v>
      </c>
      <c r="AK500" s="26" t="str">
        <f t="shared" ref="AK500" si="3576">CQ$5</f>
        <v>100,1,1000,2,5,200,1,1000,2,5</v>
      </c>
      <c r="AL500" s="26" t="str">
        <f t="shared" ref="AL500" si="3577">CR$5</f>
        <v>5,5,5,5,5,5,5,5,5,5</v>
      </c>
      <c r="AM500" s="7">
        <v>2001</v>
      </c>
      <c r="AO500">
        <f t="shared" ref="AO500" si="3578">AQ500*100+2</f>
        <v>5602</v>
      </c>
      <c r="AP500">
        <v>496</v>
      </c>
      <c r="AQ500">
        <f t="shared" si="3235"/>
        <v>56</v>
      </c>
      <c r="AR500">
        <v>10</v>
      </c>
      <c r="AS500" s="17">
        <f t="shared" si="3316"/>
        <v>320</v>
      </c>
      <c r="AT500">
        <v>9</v>
      </c>
      <c r="AU500">
        <f t="shared" si="3236"/>
        <v>30</v>
      </c>
      <c r="AV500">
        <v>150</v>
      </c>
      <c r="AW500">
        <f t="shared" si="3237"/>
        <v>70889.195519999994</v>
      </c>
      <c r="AX500">
        <f t="shared" si="3366"/>
        <v>391247999.99999994</v>
      </c>
      <c r="AY500">
        <f t="shared" si="3238"/>
        <v>6520.7999999999993</v>
      </c>
      <c r="AZ500">
        <f t="shared" si="3239"/>
        <v>13041.599999999999</v>
      </c>
      <c r="BA500">
        <f t="shared" si="3240"/>
        <v>82368</v>
      </c>
      <c r="BB500">
        <f t="shared" si="3241"/>
        <v>3260.3999999999996</v>
      </c>
      <c r="BC500">
        <f t="shared" si="3367"/>
        <v>391247999.99999994</v>
      </c>
      <c r="BD500">
        <f t="shared" si="3242"/>
        <v>0.29411764705882354</v>
      </c>
      <c r="BE500" s="27">
        <f t="shared" si="3368"/>
        <v>455398117.57439989</v>
      </c>
      <c r="BF500" s="30">
        <f t="shared" si="3243"/>
        <v>0.43440000000000001</v>
      </c>
      <c r="BG500" s="27"/>
      <c r="BH500" s="27"/>
      <c r="BI500" s="27"/>
      <c r="CA500" s="20">
        <f t="shared" si="3244"/>
        <v>375</v>
      </c>
      <c r="CB500" s="20">
        <f t="shared" si="3245"/>
        <v>37500</v>
      </c>
    </row>
    <row r="501" spans="1:80" x14ac:dyDescent="0.15">
      <c r="A501">
        <v>5603</v>
      </c>
      <c r="B501" s="3" t="s">
        <v>117</v>
      </c>
      <c r="C501" s="4" t="s">
        <v>109</v>
      </c>
      <c r="D501" s="4" t="s">
        <v>110</v>
      </c>
      <c r="E501" s="5">
        <v>1</v>
      </c>
      <c r="F501" s="7" t="s">
        <v>144</v>
      </c>
      <c r="G501" s="5">
        <v>3</v>
      </c>
      <c r="H501" s="7" t="s">
        <v>189</v>
      </c>
      <c r="I501" s="5">
        <v>0</v>
      </c>
      <c r="J501" s="2">
        <v>0</v>
      </c>
      <c r="K501">
        <v>6</v>
      </c>
      <c r="L501">
        <v>1.5</v>
      </c>
      <c r="M501" s="5">
        <v>1.5</v>
      </c>
      <c r="N501" s="5">
        <v>10</v>
      </c>
      <c r="O501" s="5">
        <f t="shared" si="3225"/>
        <v>71963</v>
      </c>
      <c r="P501" s="5">
        <f t="shared" si="3226"/>
        <v>397176000</v>
      </c>
      <c r="Q501" s="5">
        <f t="shared" si="3227"/>
        <v>6619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70031</v>
      </c>
      <c r="X501" s="6" t="s">
        <v>181</v>
      </c>
      <c r="Y501" s="5">
        <v>300</v>
      </c>
      <c r="Z501" s="5">
        <v>1</v>
      </c>
      <c r="AA501" s="5">
        <v>107759565</v>
      </c>
      <c r="AB501" s="16" t="s">
        <v>111</v>
      </c>
      <c r="AC501" s="7" t="s">
        <v>112</v>
      </c>
      <c r="AD501" s="7" t="s">
        <v>112</v>
      </c>
      <c r="AE501" s="7" t="s">
        <v>112</v>
      </c>
      <c r="AF501" s="6" t="s">
        <v>113</v>
      </c>
      <c r="AG501" s="26" t="str">
        <f t="shared" ref="AG501" si="3579">CM$6</f>
        <v>4,28,6,28,6,4,28,6,28,6</v>
      </c>
      <c r="AH501" s="26" t="str">
        <f t="shared" ref="AH501" si="3580">CN$6</f>
        <v>0,0,1,0,1,0,0,1,0,1</v>
      </c>
      <c r="AI501" s="26" t="str">
        <f t="shared" ref="AI501" si="3581">CO$6</f>
        <v>0,0,0,0,1,0,0,0,0,1</v>
      </c>
      <c r="AJ501" s="26" t="str">
        <f t="shared" ref="AJ501" si="3582">CP$6</f>
        <v>0,0,5,0,5,0,0,5,0,5</v>
      </c>
      <c r="AK501" s="26" t="str">
        <f t="shared" ref="AK501" si="3583">CQ$6</f>
        <v>100,1000,5,1500,5,200,1000,5,1500,5</v>
      </c>
      <c r="AL501" s="26" t="str">
        <f t="shared" ref="AL501" si="3584">CR$6</f>
        <v>5,5,5,5,5,5,5,5,5,5</v>
      </c>
      <c r="AM501" s="7">
        <v>2001</v>
      </c>
      <c r="AO501">
        <f t="shared" ref="AO501" si="3585">AQ501*100+3</f>
        <v>5603</v>
      </c>
      <c r="AP501">
        <v>497</v>
      </c>
      <c r="AQ501">
        <f t="shared" si="3235"/>
        <v>56</v>
      </c>
      <c r="AR501">
        <v>10</v>
      </c>
      <c r="AS501" s="17">
        <f t="shared" si="3316"/>
        <v>325</v>
      </c>
      <c r="AT501">
        <v>9</v>
      </c>
      <c r="AU501">
        <f t="shared" si="3236"/>
        <v>30</v>
      </c>
      <c r="AV501">
        <v>150</v>
      </c>
      <c r="AW501">
        <f t="shared" si="3237"/>
        <v>71963.274240000013</v>
      </c>
      <c r="AX501">
        <f t="shared" si="3366"/>
        <v>397176000</v>
      </c>
      <c r="AY501">
        <f t="shared" si="3238"/>
        <v>6619.5999999999995</v>
      </c>
      <c r="AZ501">
        <f t="shared" si="3239"/>
        <v>13239.199999999999</v>
      </c>
      <c r="BA501">
        <f t="shared" si="3240"/>
        <v>83616.000000000015</v>
      </c>
      <c r="BB501">
        <f t="shared" si="3241"/>
        <v>3309.7999999999997</v>
      </c>
      <c r="BC501">
        <f t="shared" si="3367"/>
        <v>397176000</v>
      </c>
      <c r="BD501">
        <f t="shared" si="3242"/>
        <v>0.29411764705882354</v>
      </c>
      <c r="BE501" s="27">
        <f t="shared" si="3368"/>
        <v>469302605.55360001</v>
      </c>
      <c r="BF501" s="30">
        <f t="shared" si="3243"/>
        <v>0.43440000000000001</v>
      </c>
      <c r="BG501" s="27"/>
      <c r="BH501" s="27"/>
      <c r="BI501" s="27"/>
      <c r="CA501" s="20">
        <f t="shared" si="3244"/>
        <v>375</v>
      </c>
      <c r="CB501" s="20">
        <f t="shared" si="3245"/>
        <v>37500</v>
      </c>
    </row>
    <row r="502" spans="1:80" x14ac:dyDescent="0.15">
      <c r="A502">
        <v>5604</v>
      </c>
      <c r="B502" s="3" t="s">
        <v>119</v>
      </c>
      <c r="C502" s="4" t="s">
        <v>109</v>
      </c>
      <c r="D502" s="6" t="s">
        <v>120</v>
      </c>
      <c r="E502" s="5">
        <v>3</v>
      </c>
      <c r="F502" s="7" t="s">
        <v>145</v>
      </c>
      <c r="G502" s="5">
        <v>3</v>
      </c>
      <c r="H502" s="7" t="s">
        <v>190</v>
      </c>
      <c r="I502" s="5">
        <v>0</v>
      </c>
      <c r="J502" s="5">
        <v>0</v>
      </c>
      <c r="K502">
        <v>2</v>
      </c>
      <c r="L502">
        <v>1.5</v>
      </c>
      <c r="M502" s="5">
        <v>1.5</v>
      </c>
      <c r="N502" s="5">
        <v>10</v>
      </c>
      <c r="O502" s="5">
        <f t="shared" si="3225"/>
        <v>73037</v>
      </c>
      <c r="P502" s="5">
        <f t="shared" si="3226"/>
        <v>403104000</v>
      </c>
      <c r="Q502" s="5">
        <f t="shared" si="3227"/>
        <v>6718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70041</v>
      </c>
      <c r="X502" s="6" t="s">
        <v>182</v>
      </c>
      <c r="Y502" s="5">
        <v>300</v>
      </c>
      <c r="Z502" s="5">
        <v>1</v>
      </c>
      <c r="AA502" s="5">
        <v>111321625</v>
      </c>
      <c r="AB502" s="16" t="s">
        <v>111</v>
      </c>
      <c r="AC502" s="7" t="s">
        <v>112</v>
      </c>
      <c r="AD502" s="7" t="s">
        <v>112</v>
      </c>
      <c r="AE502" s="7" t="s">
        <v>112</v>
      </c>
      <c r="AF502" s="6" t="s">
        <v>113</v>
      </c>
      <c r="AG502" s="26" t="str">
        <f t="shared" ref="AG502" si="3586">CM$7</f>
        <v>4,14,28,14,6,4,14,28,14,6</v>
      </c>
      <c r="AH502" s="26" t="str">
        <f t="shared" ref="AH502" si="3587">CN$7</f>
        <v>0,0,0,0,1,0,0,0,0,1</v>
      </c>
      <c r="AI502" s="26" t="str">
        <f t="shared" ref="AI502" si="3588">CO$7</f>
        <v>0,0,0,0,1,0,0,0,0,1</v>
      </c>
      <c r="AJ502" s="26" t="str">
        <f t="shared" ref="AJ502" si="3589">CP$7</f>
        <v>0,0,0,0,5,0,0,0,0,5</v>
      </c>
      <c r="AK502" s="26" t="str">
        <f t="shared" ref="AK502" si="3590">CQ$7</f>
        <v>100,1,1000,2,5,200,1,1000,2,5</v>
      </c>
      <c r="AL502" s="26" t="str">
        <f t="shared" ref="AL502" si="3591">CR$7</f>
        <v>5,5,5,5,5,5,5,5,5,5</v>
      </c>
      <c r="AM502" s="7">
        <v>2001</v>
      </c>
      <c r="AO502">
        <f t="shared" ref="AO502" si="3592">AQ502*100+4</f>
        <v>5604</v>
      </c>
      <c r="AP502">
        <v>498</v>
      </c>
      <c r="AQ502">
        <f t="shared" si="3235"/>
        <v>56</v>
      </c>
      <c r="AR502">
        <v>10</v>
      </c>
      <c r="AS502" s="17">
        <f t="shared" si="3316"/>
        <v>330</v>
      </c>
      <c r="AT502">
        <v>9</v>
      </c>
      <c r="AU502">
        <f t="shared" si="3236"/>
        <v>30</v>
      </c>
      <c r="AV502">
        <v>150</v>
      </c>
      <c r="AW502">
        <f t="shared" si="3237"/>
        <v>73037.352960000018</v>
      </c>
      <c r="AX502">
        <f t="shared" si="3366"/>
        <v>403104000</v>
      </c>
      <c r="AY502">
        <f t="shared" si="3238"/>
        <v>6718.4</v>
      </c>
      <c r="AZ502">
        <f t="shared" si="3239"/>
        <v>13436.8</v>
      </c>
      <c r="BA502">
        <f t="shared" si="3240"/>
        <v>84864.000000000015</v>
      </c>
      <c r="BB502">
        <f t="shared" si="3241"/>
        <v>3359.2</v>
      </c>
      <c r="BC502">
        <f t="shared" si="3367"/>
        <v>403104000</v>
      </c>
      <c r="BD502">
        <f t="shared" si="3242"/>
        <v>0.29411764705882359</v>
      </c>
      <c r="BE502" s="27">
        <f t="shared" si="3368"/>
        <v>483416183.57760006</v>
      </c>
      <c r="BF502" s="30">
        <f t="shared" si="3243"/>
        <v>0.43440000000000001</v>
      </c>
      <c r="BG502" s="27"/>
      <c r="BH502" s="27"/>
      <c r="BI502" s="27"/>
      <c r="CA502" s="20">
        <f t="shared" si="3244"/>
        <v>375</v>
      </c>
      <c r="CB502" s="20">
        <f t="shared" si="3245"/>
        <v>37500</v>
      </c>
    </row>
    <row r="503" spans="1:80" x14ac:dyDescent="0.15">
      <c r="A503">
        <v>5605</v>
      </c>
      <c r="B503" s="3" t="s">
        <v>122</v>
      </c>
      <c r="C503" s="4" t="s">
        <v>109</v>
      </c>
      <c r="D503" s="4" t="s">
        <v>110</v>
      </c>
      <c r="E503" s="5">
        <v>2</v>
      </c>
      <c r="F503" s="7" t="s">
        <v>146</v>
      </c>
      <c r="G503" s="5">
        <v>3</v>
      </c>
      <c r="H503" s="7" t="s">
        <v>191</v>
      </c>
      <c r="I503" s="5">
        <v>0</v>
      </c>
      <c r="J503" s="7" t="s">
        <v>148</v>
      </c>
      <c r="K503">
        <v>6</v>
      </c>
      <c r="L503">
        <v>1.5</v>
      </c>
      <c r="M503" s="5">
        <v>1.5</v>
      </c>
      <c r="N503" s="5">
        <v>10</v>
      </c>
      <c r="O503" s="5">
        <f t="shared" si="3225"/>
        <v>74111</v>
      </c>
      <c r="P503" s="5">
        <f t="shared" si="3226"/>
        <v>409032000</v>
      </c>
      <c r="Q503" s="5">
        <f t="shared" si="3227"/>
        <v>6817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70051</v>
      </c>
      <c r="X503" s="6" t="s">
        <v>183</v>
      </c>
      <c r="Y503" s="5">
        <v>300</v>
      </c>
      <c r="Z503" s="5">
        <v>1</v>
      </c>
      <c r="AA503" s="5">
        <v>114941605</v>
      </c>
      <c r="AB503" s="16" t="s">
        <v>111</v>
      </c>
      <c r="AC503" s="7" t="s">
        <v>112</v>
      </c>
      <c r="AD503" s="7" t="s">
        <v>112</v>
      </c>
      <c r="AE503" s="7" t="s">
        <v>112</v>
      </c>
      <c r="AF503" s="6" t="s">
        <v>113</v>
      </c>
      <c r="AG503" s="26" t="str">
        <f t="shared" ref="AG503" si="3593">CM$8</f>
        <v>4,19,28,19,6,4,19,28,19,6</v>
      </c>
      <c r="AH503" s="26" t="str">
        <f t="shared" ref="AH503" si="3594">CN$8</f>
        <v>0,0,0,0,1,0,0,0,0,1</v>
      </c>
      <c r="AI503" s="26" t="str">
        <f t="shared" ref="AI503" si="3595">CO$8</f>
        <v>0,0,0,0,1,0,0,0,0,1</v>
      </c>
      <c r="AJ503" s="26" t="str">
        <f t="shared" ref="AJ503" si="3596">CP$8</f>
        <v>0,0,0,0,5,0,0,0,0,5</v>
      </c>
      <c r="AK503" s="26" t="str">
        <f t="shared" ref="AK503" si="3597">CQ$8</f>
        <v>200,100,1000,200,5,200,100,1000,200,5</v>
      </c>
      <c r="AL503" s="26" t="str">
        <f t="shared" ref="AL503" si="3598">CR$8</f>
        <v>5,5,5,5,5,5,5,5,5,5</v>
      </c>
      <c r="AM503" s="7">
        <v>2001</v>
      </c>
      <c r="AO503">
        <f t="shared" ref="AO503" si="3599">AQ503*100+5</f>
        <v>5605</v>
      </c>
      <c r="AP503">
        <v>499</v>
      </c>
      <c r="AQ503">
        <f t="shared" si="3235"/>
        <v>56</v>
      </c>
      <c r="AR503">
        <v>10</v>
      </c>
      <c r="AS503" s="17">
        <f t="shared" si="3316"/>
        <v>335</v>
      </c>
      <c r="AT503">
        <v>9</v>
      </c>
      <c r="AU503">
        <f t="shared" si="3236"/>
        <v>30</v>
      </c>
      <c r="AV503">
        <v>150</v>
      </c>
      <c r="AW503">
        <f t="shared" si="3237"/>
        <v>74111.431680000009</v>
      </c>
      <c r="AX503">
        <f t="shared" si="3366"/>
        <v>409032000</v>
      </c>
      <c r="AY503">
        <f t="shared" si="3238"/>
        <v>6817.2</v>
      </c>
      <c r="AZ503">
        <f t="shared" si="3239"/>
        <v>13634.4</v>
      </c>
      <c r="BA503">
        <f t="shared" si="3240"/>
        <v>86112.000000000015</v>
      </c>
      <c r="BB503">
        <f t="shared" si="3241"/>
        <v>3408.6</v>
      </c>
      <c r="BC503">
        <f t="shared" si="3367"/>
        <v>409032000</v>
      </c>
      <c r="BD503">
        <f t="shared" si="3242"/>
        <v>0.29411764705882354</v>
      </c>
      <c r="BE503" s="27">
        <f t="shared" si="3368"/>
        <v>497738851.64640003</v>
      </c>
      <c r="BF503" s="30">
        <f t="shared" si="3243"/>
        <v>0.43440000000000001</v>
      </c>
      <c r="BG503" s="27"/>
      <c r="BH503" s="27"/>
      <c r="BI503" s="27"/>
      <c r="CA503" s="20">
        <f t="shared" si="3244"/>
        <v>375</v>
      </c>
      <c r="CB503" s="20">
        <f t="shared" si="3245"/>
        <v>37500</v>
      </c>
    </row>
    <row r="504" spans="1:80" x14ac:dyDescent="0.15">
      <c r="A504">
        <v>5606</v>
      </c>
      <c r="B504" s="3" t="s">
        <v>124</v>
      </c>
      <c r="C504" s="4" t="s">
        <v>109</v>
      </c>
      <c r="D504" s="6" t="s">
        <v>120</v>
      </c>
      <c r="E504" s="5">
        <v>1</v>
      </c>
      <c r="F504" s="7" t="s">
        <v>147</v>
      </c>
      <c r="G504" s="5">
        <v>3</v>
      </c>
      <c r="H504" s="7" t="s">
        <v>192</v>
      </c>
      <c r="I504" s="5">
        <v>0</v>
      </c>
      <c r="J504" s="7" t="s">
        <v>149</v>
      </c>
      <c r="K504">
        <v>6</v>
      </c>
      <c r="L504">
        <v>1.5</v>
      </c>
      <c r="M504" s="5">
        <v>1.5</v>
      </c>
      <c r="N504" s="5">
        <v>10</v>
      </c>
      <c r="O504" s="5">
        <f t="shared" si="3225"/>
        <v>75185</v>
      </c>
      <c r="P504" s="5">
        <f t="shared" si="3226"/>
        <v>414960000</v>
      </c>
      <c r="Q504" s="5">
        <f t="shared" si="3227"/>
        <v>6916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70061</v>
      </c>
      <c r="X504" s="6" t="s">
        <v>184</v>
      </c>
      <c r="Y504" s="5">
        <v>300</v>
      </c>
      <c r="Z504" s="5">
        <v>1</v>
      </c>
      <c r="AA504" s="5">
        <v>118619505</v>
      </c>
      <c r="AB504" s="16" t="s">
        <v>111</v>
      </c>
      <c r="AC504" s="7" t="s">
        <v>112</v>
      </c>
      <c r="AD504" s="7" t="s">
        <v>112</v>
      </c>
      <c r="AE504" s="7" t="s">
        <v>112</v>
      </c>
      <c r="AF504" s="6" t="s">
        <v>113</v>
      </c>
      <c r="AG504" s="26" t="str">
        <f t="shared" ref="AG504" si="3600">CM$9</f>
        <v>4,33,28,33,6,4,33,28,33,6</v>
      </c>
      <c r="AH504" s="26" t="str">
        <f t="shared" ref="AH504" si="3601">CN$9</f>
        <v>0,6,0,6,1,0,6,0,6,1</v>
      </c>
      <c r="AI504" s="26" t="str">
        <f t="shared" ref="AI504" si="3602">CO$9</f>
        <v>0,0,0,0,1,0,0,0,0,1</v>
      </c>
      <c r="AJ504" s="26" t="str">
        <f t="shared" ref="AJ504" si="3603">CP$9</f>
        <v>0,0,0,0,5,0,0,0,0,5</v>
      </c>
      <c r="AK504" s="26" t="str">
        <f t="shared" ref="AK504" si="3604">CQ$9</f>
        <v>200,1,1000,2,5,200,1,1000,2,5</v>
      </c>
      <c r="AL504" s="26" t="str">
        <f t="shared" ref="AL504" si="3605">CR$9</f>
        <v>5,5,5,5,5,5,5,5,5,5</v>
      </c>
      <c r="AM504" s="7">
        <v>2001</v>
      </c>
      <c r="AO504">
        <f t="shared" ref="AO504" si="3606">AQ504*100+6</f>
        <v>5606</v>
      </c>
      <c r="AP504">
        <v>500</v>
      </c>
      <c r="AQ504">
        <f t="shared" si="3235"/>
        <v>56</v>
      </c>
      <c r="AR504">
        <v>10</v>
      </c>
      <c r="AS504" s="17">
        <f t="shared" si="3316"/>
        <v>340</v>
      </c>
      <c r="AT504">
        <v>9</v>
      </c>
      <c r="AU504">
        <f t="shared" si="3236"/>
        <v>30</v>
      </c>
      <c r="AV504">
        <v>150</v>
      </c>
      <c r="AW504">
        <f t="shared" si="3237"/>
        <v>75185.510400000014</v>
      </c>
      <c r="AX504">
        <f t="shared" si="3366"/>
        <v>414960000</v>
      </c>
      <c r="AY504">
        <f t="shared" si="3238"/>
        <v>6916</v>
      </c>
      <c r="AZ504">
        <f t="shared" si="3239"/>
        <v>13832</v>
      </c>
      <c r="BA504">
        <f t="shared" si="3240"/>
        <v>87360.000000000015</v>
      </c>
      <c r="BB504">
        <f t="shared" si="3241"/>
        <v>3458</v>
      </c>
      <c r="BC504">
        <f t="shared" si="3367"/>
        <v>414960000</v>
      </c>
      <c r="BD504">
        <f t="shared" si="3242"/>
        <v>0.29411764705882354</v>
      </c>
      <c r="BE504" s="27">
        <f t="shared" si="3368"/>
        <v>512270609.76000011</v>
      </c>
      <c r="BF504" s="30">
        <f t="shared" si="3243"/>
        <v>0.43440000000000001</v>
      </c>
      <c r="BG504" s="27"/>
      <c r="BH504" s="27"/>
      <c r="BI504" s="27"/>
      <c r="CA504" s="20">
        <f t="shared" si="3244"/>
        <v>375</v>
      </c>
      <c r="CB504" s="20">
        <f t="shared" si="3245"/>
        <v>37500</v>
      </c>
    </row>
    <row r="505" spans="1:80" x14ac:dyDescent="0.15">
      <c r="A505">
        <v>5607</v>
      </c>
      <c r="B505" s="3" t="s">
        <v>126</v>
      </c>
      <c r="C505" s="4" t="s">
        <v>109</v>
      </c>
      <c r="D505" s="4" t="s">
        <v>110</v>
      </c>
      <c r="E505" s="5">
        <v>2</v>
      </c>
      <c r="F505" s="7" t="s">
        <v>143</v>
      </c>
      <c r="G505" s="5">
        <v>3</v>
      </c>
      <c r="H505" s="7" t="s">
        <v>193</v>
      </c>
      <c r="I505" s="5">
        <v>0</v>
      </c>
      <c r="J505" s="5">
        <v>0</v>
      </c>
      <c r="K505">
        <v>2</v>
      </c>
      <c r="L505">
        <v>1.5</v>
      </c>
      <c r="M505" s="5">
        <v>1.5</v>
      </c>
      <c r="N505" s="5">
        <v>10</v>
      </c>
      <c r="O505" s="5">
        <f t="shared" si="3225"/>
        <v>76259</v>
      </c>
      <c r="P505" s="5">
        <f t="shared" si="3226"/>
        <v>420888000</v>
      </c>
      <c r="Q505" s="5">
        <f t="shared" si="3227"/>
        <v>7014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70071</v>
      </c>
      <c r="X505" s="6" t="s">
        <v>185</v>
      </c>
      <c r="Y505" s="5">
        <v>300</v>
      </c>
      <c r="Z505" s="5">
        <v>1</v>
      </c>
      <c r="AA505" s="5">
        <v>122355324</v>
      </c>
      <c r="AB505" s="16" t="s">
        <v>111</v>
      </c>
      <c r="AC505" s="7" t="s">
        <v>112</v>
      </c>
      <c r="AD505" s="7" t="s">
        <v>112</v>
      </c>
      <c r="AE505" s="7" t="s">
        <v>112</v>
      </c>
      <c r="AF505" s="6" t="s">
        <v>113</v>
      </c>
      <c r="AG505" s="26" t="str">
        <f t="shared" ref="AG505" si="3607">CM$10</f>
        <v>4,14,28,14,6,4,14,28,14,6</v>
      </c>
      <c r="AH505" s="26" t="str">
        <f t="shared" ref="AH505" si="3608">CN$10</f>
        <v>0,0,0,0,1,0,0,0,0,1</v>
      </c>
      <c r="AI505" s="26" t="str">
        <f t="shared" ref="AI505" si="3609">CO$10</f>
        <v>0,0,0,0,1,0,0,0,0,1</v>
      </c>
      <c r="AJ505" s="26" t="str">
        <f t="shared" ref="AJ505" si="3610">CP$10</f>
        <v>0,0,0,0,5,0,0,0,0,5</v>
      </c>
      <c r="AK505" s="26" t="str">
        <f t="shared" ref="AK505" si="3611">CQ$10</f>
        <v>200,1,1000,2,5,200,1,1000,2,5</v>
      </c>
      <c r="AL505" s="26" t="str">
        <f t="shared" ref="AL505" si="3612">CR$10</f>
        <v>5,5,5,5,5,5,5,5,5,5</v>
      </c>
      <c r="AM505" s="7">
        <v>2001</v>
      </c>
      <c r="AO505">
        <f t="shared" ref="AO505" si="3613">AQ505*100+7</f>
        <v>5607</v>
      </c>
      <c r="AP505">
        <v>501</v>
      </c>
      <c r="AQ505">
        <f t="shared" si="3235"/>
        <v>56</v>
      </c>
      <c r="AR505">
        <v>10</v>
      </c>
      <c r="AS505" s="17">
        <f t="shared" si="3316"/>
        <v>345</v>
      </c>
      <c r="AT505">
        <v>9</v>
      </c>
      <c r="AU505">
        <f t="shared" si="3236"/>
        <v>30</v>
      </c>
      <c r="AV505">
        <v>150</v>
      </c>
      <c r="AW505">
        <f t="shared" si="3237"/>
        <v>76259.589120000019</v>
      </c>
      <c r="AX505">
        <f t="shared" si="3366"/>
        <v>420888000</v>
      </c>
      <c r="AY505">
        <f t="shared" si="3238"/>
        <v>7014.7999999999993</v>
      </c>
      <c r="AZ505">
        <f t="shared" si="3239"/>
        <v>14029.599999999999</v>
      </c>
      <c r="BA505">
        <f t="shared" si="3240"/>
        <v>88608.000000000015</v>
      </c>
      <c r="BB505">
        <f t="shared" si="3241"/>
        <v>3507.3999999999996</v>
      </c>
      <c r="BC505">
        <f t="shared" si="3367"/>
        <v>420888000</v>
      </c>
      <c r="BD505">
        <f t="shared" si="3242"/>
        <v>0.29411764705882354</v>
      </c>
      <c r="BE505" s="27">
        <f t="shared" si="3368"/>
        <v>527011457.91840011</v>
      </c>
      <c r="BF505" s="30">
        <f t="shared" si="3243"/>
        <v>0.43440000000000001</v>
      </c>
      <c r="BG505" s="27"/>
      <c r="BH505" s="27"/>
      <c r="BI505" s="27"/>
      <c r="CA505" s="20">
        <f t="shared" si="3244"/>
        <v>375</v>
      </c>
      <c r="CB505" s="20">
        <f t="shared" si="3245"/>
        <v>37500</v>
      </c>
    </row>
    <row r="506" spans="1:80" x14ac:dyDescent="0.15">
      <c r="A506">
        <v>5608</v>
      </c>
      <c r="B506" s="3" t="s">
        <v>128</v>
      </c>
      <c r="C506" s="4" t="s">
        <v>109</v>
      </c>
      <c r="D506" s="4" t="s">
        <v>110</v>
      </c>
      <c r="E506" s="5">
        <v>5</v>
      </c>
      <c r="F506" s="7" t="s">
        <v>129</v>
      </c>
      <c r="G506" s="5">
        <v>2</v>
      </c>
      <c r="H506" s="7" t="s">
        <v>130</v>
      </c>
      <c r="I506" s="5">
        <v>0</v>
      </c>
      <c r="J506" s="5">
        <v>0</v>
      </c>
      <c r="K506">
        <v>2</v>
      </c>
      <c r="L506">
        <v>1.5</v>
      </c>
      <c r="M506" s="5">
        <v>1.5</v>
      </c>
      <c r="N506" s="5">
        <v>10</v>
      </c>
      <c r="O506" s="5">
        <f t="shared" si="3225"/>
        <v>77333</v>
      </c>
      <c r="P506" s="5">
        <f t="shared" si="3226"/>
        <v>426816000</v>
      </c>
      <c r="Q506" s="5">
        <f t="shared" si="3227"/>
        <v>7113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70081</v>
      </c>
      <c r="X506" s="6" t="s">
        <v>186</v>
      </c>
      <c r="Y506" s="5">
        <v>300</v>
      </c>
      <c r="Z506" s="5">
        <v>1</v>
      </c>
      <c r="AA506" s="5">
        <v>126149063</v>
      </c>
      <c r="AB506" s="16" t="s">
        <v>111</v>
      </c>
      <c r="AC506" s="7" t="s">
        <v>112</v>
      </c>
      <c r="AD506" s="7" t="s">
        <v>112</v>
      </c>
      <c r="AE506" s="7" t="s">
        <v>112</v>
      </c>
      <c r="AF506" s="6" t="s">
        <v>113</v>
      </c>
      <c r="AG506" s="26" t="str">
        <f t="shared" ref="AG506" si="3614">CM$11</f>
        <v>4,28,6,28,6,4,28,6,28,6</v>
      </c>
      <c r="AH506" s="26" t="str">
        <f t="shared" ref="AH506" si="3615">CN$11</f>
        <v>0,0,1,0,1,0,0,1,0,1</v>
      </c>
      <c r="AI506" s="26" t="str">
        <f t="shared" ref="AI506" si="3616">CO$11</f>
        <v>0,0,1,0,1,0,0,1,0,1</v>
      </c>
      <c r="AJ506" s="26" t="str">
        <f t="shared" ref="AJ506" si="3617">CP$11</f>
        <v>0,0,5,0,5,0,0,5,0,5</v>
      </c>
      <c r="AK506" s="26" t="str">
        <f t="shared" ref="AK506" si="3618">CQ$11</f>
        <v>100,1000,5,1500,5,200,1000,5,1500,5</v>
      </c>
      <c r="AL506" s="26" t="str">
        <f t="shared" ref="AL506" si="3619">CR$11</f>
        <v>5,5,5,5,5,5,5,5,5,5</v>
      </c>
      <c r="AM506" s="7">
        <v>2001</v>
      </c>
      <c r="AO506">
        <f t="shared" ref="AO506" si="3620">AQ506*100+8</f>
        <v>5608</v>
      </c>
      <c r="AP506">
        <v>502</v>
      </c>
      <c r="AQ506">
        <f t="shared" si="3235"/>
        <v>56</v>
      </c>
      <c r="AR506">
        <v>10</v>
      </c>
      <c r="AS506" s="17">
        <f t="shared" si="3316"/>
        <v>350</v>
      </c>
      <c r="AT506">
        <v>9</v>
      </c>
      <c r="AU506">
        <f t="shared" si="3236"/>
        <v>30</v>
      </c>
      <c r="AV506">
        <v>150</v>
      </c>
      <c r="AW506">
        <f t="shared" si="3237"/>
        <v>77333.667840000009</v>
      </c>
      <c r="AX506">
        <f t="shared" si="3366"/>
        <v>426815999.99999994</v>
      </c>
      <c r="AY506">
        <f t="shared" si="3238"/>
        <v>7113.5999999999995</v>
      </c>
      <c r="AZ506">
        <f t="shared" si="3239"/>
        <v>14227.199999999999</v>
      </c>
      <c r="BA506">
        <f t="shared" si="3240"/>
        <v>89856.000000000015</v>
      </c>
      <c r="BB506">
        <f t="shared" si="3241"/>
        <v>3556.7999999999997</v>
      </c>
      <c r="BC506">
        <f t="shared" si="3367"/>
        <v>426815999.99999994</v>
      </c>
      <c r="BD506">
        <f t="shared" si="3242"/>
        <v>0.29411764705882354</v>
      </c>
      <c r="BE506" s="27">
        <f t="shared" si="3368"/>
        <v>541961396.12159991</v>
      </c>
      <c r="BF506" s="30">
        <f t="shared" si="3243"/>
        <v>0.43440000000000001</v>
      </c>
      <c r="BG506" s="27"/>
      <c r="BH506" s="27"/>
      <c r="BI506" s="27"/>
      <c r="CA506" s="20">
        <f t="shared" si="3244"/>
        <v>375</v>
      </c>
      <c r="CB506" s="20">
        <f t="shared" si="3245"/>
        <v>37500</v>
      </c>
    </row>
    <row r="507" spans="1:80" x14ac:dyDescent="0.15">
      <c r="A507">
        <v>5609</v>
      </c>
      <c r="B507" s="3" t="s">
        <v>132</v>
      </c>
      <c r="C507" s="4" t="s">
        <v>109</v>
      </c>
      <c r="D507" s="4" t="s">
        <v>110</v>
      </c>
      <c r="E507" s="5">
        <v>5</v>
      </c>
      <c r="F507" s="7" t="s">
        <v>140</v>
      </c>
      <c r="G507" s="5">
        <v>3</v>
      </c>
      <c r="H507" s="7" t="s">
        <v>140</v>
      </c>
      <c r="I507" s="5">
        <v>0</v>
      </c>
      <c r="J507" s="7">
        <v>0</v>
      </c>
      <c r="K507">
        <v>6</v>
      </c>
      <c r="L507">
        <v>1.5</v>
      </c>
      <c r="M507" s="5">
        <v>1.5</v>
      </c>
      <c r="N507" s="5">
        <v>10</v>
      </c>
      <c r="O507" s="5">
        <f t="shared" si="3225"/>
        <v>78407</v>
      </c>
      <c r="P507" s="5">
        <f t="shared" si="3226"/>
        <v>432744000</v>
      </c>
      <c r="Q507" s="5">
        <f t="shared" si="3227"/>
        <v>7212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70091</v>
      </c>
      <c r="X507" s="6" t="s">
        <v>187</v>
      </c>
      <c r="Y507" s="5">
        <v>300</v>
      </c>
      <c r="Z507" s="5">
        <v>1</v>
      </c>
      <c r="AA507" s="5">
        <v>130000722</v>
      </c>
      <c r="AB507" s="16" t="s">
        <v>111</v>
      </c>
      <c r="AC507" s="7" t="s">
        <v>112</v>
      </c>
      <c r="AD507" s="7" t="s">
        <v>112</v>
      </c>
      <c r="AE507" s="7" t="s">
        <v>112</v>
      </c>
      <c r="AF507" s="6" t="s">
        <v>113</v>
      </c>
      <c r="AG507" s="26" t="str">
        <f t="shared" ref="AG507" si="3621">CM$12</f>
        <v>4,33,28,33,6,4,33,28,33,6</v>
      </c>
      <c r="AH507" s="26" t="str">
        <f t="shared" ref="AH507" si="3622">CN$12</f>
        <v>0,5,0,5,1,0,5,0,5,1</v>
      </c>
      <c r="AI507" s="26" t="str">
        <f t="shared" ref="AI507" si="3623">CO$12</f>
        <v>0,0,0,0,1,0,0,0,0,1</v>
      </c>
      <c r="AJ507" s="26" t="str">
        <f t="shared" ref="AJ507" si="3624">CP$12</f>
        <v>0,0,0,0,5,0,0,0,0,5</v>
      </c>
      <c r="AK507" s="26" t="str">
        <f t="shared" ref="AK507" si="3625">CQ$12</f>
        <v>100,1,1000,2,5,200,1,1000,2,5</v>
      </c>
      <c r="AL507" s="26" t="str">
        <f t="shared" ref="AL507" si="3626">CR$12</f>
        <v>5,5,5,5,5,5,5,5,5,5</v>
      </c>
      <c r="AM507" s="7">
        <v>2001</v>
      </c>
      <c r="AO507">
        <f t="shared" ref="AO507" si="3627">AQ507*100+9</f>
        <v>5609</v>
      </c>
      <c r="AP507">
        <v>503</v>
      </c>
      <c r="AQ507">
        <f t="shared" si="3235"/>
        <v>56</v>
      </c>
      <c r="AR507">
        <v>10</v>
      </c>
      <c r="AS507" s="17">
        <f t="shared" si="3316"/>
        <v>355</v>
      </c>
      <c r="AT507">
        <v>9</v>
      </c>
      <c r="AU507">
        <f t="shared" si="3236"/>
        <v>30</v>
      </c>
      <c r="AV507">
        <v>150</v>
      </c>
      <c r="AW507">
        <f t="shared" si="3237"/>
        <v>78407.746560000014</v>
      </c>
      <c r="AX507">
        <f t="shared" si="3366"/>
        <v>432744000</v>
      </c>
      <c r="AY507">
        <f t="shared" si="3238"/>
        <v>7212.4</v>
      </c>
      <c r="AZ507">
        <f t="shared" si="3239"/>
        <v>14424.8</v>
      </c>
      <c r="BA507">
        <f t="shared" si="3240"/>
        <v>91104.000000000015</v>
      </c>
      <c r="BB507">
        <f t="shared" si="3241"/>
        <v>3606.2</v>
      </c>
      <c r="BC507">
        <f t="shared" si="3367"/>
        <v>432744000</v>
      </c>
      <c r="BD507">
        <f t="shared" si="3242"/>
        <v>0.29411764705882359</v>
      </c>
      <c r="BE507" s="27">
        <f t="shared" si="3368"/>
        <v>557120424.36960006</v>
      </c>
      <c r="BF507" s="30">
        <f t="shared" si="3243"/>
        <v>0.43440000000000001</v>
      </c>
      <c r="BG507" s="27"/>
      <c r="BH507" s="27"/>
      <c r="BI507" s="27"/>
      <c r="CA507" s="20">
        <f t="shared" si="3244"/>
        <v>375</v>
      </c>
      <c r="CB507" s="20">
        <f t="shared" si="3245"/>
        <v>37500</v>
      </c>
    </row>
    <row r="508" spans="1:80" x14ac:dyDescent="0.15">
      <c r="A508">
        <v>5701</v>
      </c>
      <c r="B508" s="3" t="s">
        <v>108</v>
      </c>
      <c r="C508" s="4" t="s">
        <v>109</v>
      </c>
      <c r="D508" s="4" t="s">
        <v>110</v>
      </c>
      <c r="E508" s="5">
        <v>3</v>
      </c>
      <c r="F508" s="7" t="s">
        <v>141</v>
      </c>
      <c r="G508" s="5">
        <v>2.5</v>
      </c>
      <c r="H508" s="7" t="s">
        <v>194</v>
      </c>
      <c r="I508" s="5">
        <v>0</v>
      </c>
      <c r="J508" s="5">
        <v>0</v>
      </c>
      <c r="K508">
        <v>2</v>
      </c>
      <c r="L508">
        <v>1.5</v>
      </c>
      <c r="M508" s="5">
        <v>1.5</v>
      </c>
      <c r="N508" s="5">
        <v>10</v>
      </c>
      <c r="O508" s="5">
        <f t="shared" si="3225"/>
        <v>71007</v>
      </c>
      <c r="P508" s="5">
        <f t="shared" si="3226"/>
        <v>391248000</v>
      </c>
      <c r="Q508" s="5">
        <f t="shared" si="3227"/>
        <v>6520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70011</v>
      </c>
      <c r="X508" s="6" t="s">
        <v>179</v>
      </c>
      <c r="Y508" s="5">
        <v>300</v>
      </c>
      <c r="Z508" s="5">
        <v>1</v>
      </c>
      <c r="AA508" s="5">
        <v>133910300</v>
      </c>
      <c r="AB508" s="16" t="s">
        <v>111</v>
      </c>
      <c r="AC508" s="7" t="s">
        <v>112</v>
      </c>
      <c r="AD508" s="7" t="s">
        <v>112</v>
      </c>
      <c r="AE508" s="7" t="s">
        <v>112</v>
      </c>
      <c r="AF508" s="6" t="s">
        <v>113</v>
      </c>
      <c r="AG508" s="26" t="str">
        <f t="shared" ref="AG508" si="3628">CM$4</f>
        <v>4,33,28,33,6,4,33,28,33,6</v>
      </c>
      <c r="AH508" s="26" t="str">
        <f t="shared" ref="AH508" si="3629">CN$4</f>
        <v>0,8,0,8,1,0,8,0,8,1</v>
      </c>
      <c r="AI508" s="26" t="str">
        <f t="shared" ref="AI508" si="3630">CO$4</f>
        <v>0,0,0,0,1,0,0,0,0,1</v>
      </c>
      <c r="AJ508" s="26" t="str">
        <f t="shared" ref="AJ508" si="3631">CP$4</f>
        <v>0,0,0,0,5,0,0,0,0,5</v>
      </c>
      <c r="AK508" s="26" t="str">
        <f t="shared" ref="AK508" si="3632">CQ$4</f>
        <v>100,1,1000,2,5,200,1,1000,2,5</v>
      </c>
      <c r="AL508" s="26" t="str">
        <f t="shared" ref="AL508" si="3633">CR$4</f>
        <v>5,5,5,5,5,5,5,5,5,5</v>
      </c>
      <c r="AM508" s="7">
        <v>2001</v>
      </c>
      <c r="AO508">
        <f t="shared" ref="AO508" si="3634">AQ508*100+1</f>
        <v>5701</v>
      </c>
      <c r="AP508">
        <v>504</v>
      </c>
      <c r="AQ508">
        <f t="shared" si="3235"/>
        <v>57</v>
      </c>
      <c r="AR508">
        <v>10</v>
      </c>
      <c r="AS508" s="17">
        <f t="shared" si="3316"/>
        <v>320</v>
      </c>
      <c r="AT508">
        <v>9</v>
      </c>
      <c r="AU508">
        <f t="shared" si="3236"/>
        <v>30</v>
      </c>
      <c r="AV508">
        <v>150</v>
      </c>
      <c r="AW508">
        <f t="shared" si="3237"/>
        <v>71007.805439999982</v>
      </c>
      <c r="AX508">
        <f t="shared" si="3366"/>
        <v>391247999.99999994</v>
      </c>
      <c r="AY508">
        <f t="shared" si="3238"/>
        <v>6520.7999999999993</v>
      </c>
      <c r="AZ508">
        <f t="shared" si="3239"/>
        <v>13041.599999999999</v>
      </c>
      <c r="BA508">
        <f t="shared" si="3240"/>
        <v>82368</v>
      </c>
      <c r="BB508">
        <f t="shared" si="3241"/>
        <v>3260.3999999999996</v>
      </c>
      <c r="BC508">
        <f t="shared" si="3367"/>
        <v>391247999.99999994</v>
      </c>
      <c r="BD508">
        <f t="shared" si="3242"/>
        <v>0.29411764705882354</v>
      </c>
      <c r="BE508" s="27">
        <f t="shared" si="3368"/>
        <v>455398117.57439989</v>
      </c>
      <c r="BF508" s="30">
        <f t="shared" si="3243"/>
        <v>0.43679999999999997</v>
      </c>
      <c r="BG508" s="27"/>
      <c r="BH508" s="27"/>
      <c r="BI508" s="27"/>
      <c r="CA508" s="20">
        <f t="shared" si="3244"/>
        <v>380</v>
      </c>
      <c r="CB508" s="20">
        <f t="shared" si="3245"/>
        <v>38000</v>
      </c>
    </row>
    <row r="509" spans="1:80" x14ac:dyDescent="0.15">
      <c r="A509">
        <v>5702</v>
      </c>
      <c r="B509" s="3" t="s">
        <v>115</v>
      </c>
      <c r="C509" s="4" t="s">
        <v>109</v>
      </c>
      <c r="D509" s="6" t="s">
        <v>110</v>
      </c>
      <c r="E509" s="5">
        <v>3</v>
      </c>
      <c r="F509" s="7" t="s">
        <v>142</v>
      </c>
      <c r="G509" s="5">
        <v>3</v>
      </c>
      <c r="H509" s="7" t="s">
        <v>188</v>
      </c>
      <c r="I509" s="5">
        <v>0</v>
      </c>
      <c r="J509" s="5">
        <v>0</v>
      </c>
      <c r="K509">
        <v>2</v>
      </c>
      <c r="L509">
        <v>1.5</v>
      </c>
      <c r="M509" s="5">
        <v>1.5</v>
      </c>
      <c r="N509" s="5">
        <v>10</v>
      </c>
      <c r="O509" s="5">
        <f t="shared" si="3225"/>
        <v>72083</v>
      </c>
      <c r="P509" s="5">
        <f t="shared" si="3226"/>
        <v>397176000</v>
      </c>
      <c r="Q509" s="5">
        <f t="shared" si="3227"/>
        <v>6619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70021</v>
      </c>
      <c r="X509" s="6" t="s">
        <v>180</v>
      </c>
      <c r="Y509" s="5">
        <v>300</v>
      </c>
      <c r="Z509" s="5">
        <v>1</v>
      </c>
      <c r="AA509" s="5">
        <v>107759565</v>
      </c>
      <c r="AB509" s="16" t="s">
        <v>111</v>
      </c>
      <c r="AC509" s="7" t="s">
        <v>112</v>
      </c>
      <c r="AD509" s="7" t="s">
        <v>112</v>
      </c>
      <c r="AE509" s="7" t="s">
        <v>112</v>
      </c>
      <c r="AF509" s="6" t="s">
        <v>113</v>
      </c>
      <c r="AG509" s="26" t="str">
        <f t="shared" ref="AG509" si="3635">CM$5</f>
        <v>4,33,28,33,6,4,33,28,33,6</v>
      </c>
      <c r="AH509" s="26" t="str">
        <f t="shared" ref="AH509" si="3636">CN$5</f>
        <v>0,7,0,7,1,0,7,0,7,1</v>
      </c>
      <c r="AI509" s="26" t="str">
        <f t="shared" ref="AI509" si="3637">CO$5</f>
        <v>0,0,0,0,1,0,0,0,0,1</v>
      </c>
      <c r="AJ509" s="26" t="str">
        <f t="shared" ref="AJ509" si="3638">CP$5</f>
        <v>0,0,0,0,5,0,0,0,0,5</v>
      </c>
      <c r="AK509" s="26" t="str">
        <f t="shared" ref="AK509" si="3639">CQ$5</f>
        <v>100,1,1000,2,5,200,1,1000,2,5</v>
      </c>
      <c r="AL509" s="26" t="str">
        <f t="shared" ref="AL509" si="3640">CR$5</f>
        <v>5,5,5,5,5,5,5,5,5,5</v>
      </c>
      <c r="AM509" s="7">
        <v>2001</v>
      </c>
      <c r="AO509">
        <f t="shared" ref="AO509" si="3641">AQ509*100+2</f>
        <v>5702</v>
      </c>
      <c r="AP509">
        <v>505</v>
      </c>
      <c r="AQ509">
        <f t="shared" si="3235"/>
        <v>57</v>
      </c>
      <c r="AR509">
        <v>10</v>
      </c>
      <c r="AS509" s="17">
        <f t="shared" si="3316"/>
        <v>325</v>
      </c>
      <c r="AT509">
        <v>9</v>
      </c>
      <c r="AU509">
        <f t="shared" si="3236"/>
        <v>30</v>
      </c>
      <c r="AV509">
        <v>150</v>
      </c>
      <c r="AW509">
        <f t="shared" si="3237"/>
        <v>72083.681280000004</v>
      </c>
      <c r="AX509">
        <f t="shared" si="3366"/>
        <v>397176000</v>
      </c>
      <c r="AY509">
        <f t="shared" si="3238"/>
        <v>6619.5999999999995</v>
      </c>
      <c r="AZ509">
        <f t="shared" si="3239"/>
        <v>13239.199999999999</v>
      </c>
      <c r="BA509">
        <f t="shared" si="3240"/>
        <v>83616.000000000015</v>
      </c>
      <c r="BB509">
        <f t="shared" si="3241"/>
        <v>3309.7999999999997</v>
      </c>
      <c r="BC509">
        <f t="shared" si="3367"/>
        <v>397176000</v>
      </c>
      <c r="BD509">
        <f t="shared" si="3242"/>
        <v>0.29411764705882354</v>
      </c>
      <c r="BE509" s="27">
        <f t="shared" si="3368"/>
        <v>469302605.55360001</v>
      </c>
      <c r="BF509" s="30">
        <f t="shared" si="3243"/>
        <v>0.43679999999999997</v>
      </c>
      <c r="BG509" s="27"/>
      <c r="BH509" s="27"/>
      <c r="BI509" s="27"/>
      <c r="CA509" s="20">
        <f t="shared" si="3244"/>
        <v>380</v>
      </c>
      <c r="CB509" s="20">
        <f t="shared" si="3245"/>
        <v>38000</v>
      </c>
    </row>
    <row r="510" spans="1:80" x14ac:dyDescent="0.15">
      <c r="A510">
        <v>5703</v>
      </c>
      <c r="B510" s="3" t="s">
        <v>117</v>
      </c>
      <c r="C510" s="4" t="s">
        <v>109</v>
      </c>
      <c r="D510" s="4" t="s">
        <v>110</v>
      </c>
      <c r="E510" s="5">
        <v>1</v>
      </c>
      <c r="F510" s="7" t="s">
        <v>144</v>
      </c>
      <c r="G510" s="5">
        <v>3</v>
      </c>
      <c r="H510" s="7" t="s">
        <v>189</v>
      </c>
      <c r="I510" s="5">
        <v>0</v>
      </c>
      <c r="J510" s="2">
        <v>0</v>
      </c>
      <c r="K510">
        <v>6</v>
      </c>
      <c r="L510">
        <v>1.5</v>
      </c>
      <c r="M510" s="5">
        <v>1.5</v>
      </c>
      <c r="N510" s="5">
        <v>10</v>
      </c>
      <c r="O510" s="5">
        <f t="shared" si="3225"/>
        <v>73159</v>
      </c>
      <c r="P510" s="5">
        <f t="shared" si="3226"/>
        <v>403104000</v>
      </c>
      <c r="Q510" s="5">
        <f t="shared" si="3227"/>
        <v>6718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70031</v>
      </c>
      <c r="X510" s="6" t="s">
        <v>181</v>
      </c>
      <c r="Y510" s="5">
        <v>300</v>
      </c>
      <c r="Z510" s="5">
        <v>1</v>
      </c>
      <c r="AA510" s="5">
        <v>111321625</v>
      </c>
      <c r="AB510" s="16" t="s">
        <v>111</v>
      </c>
      <c r="AC510" s="7" t="s">
        <v>112</v>
      </c>
      <c r="AD510" s="7" t="s">
        <v>112</v>
      </c>
      <c r="AE510" s="7" t="s">
        <v>112</v>
      </c>
      <c r="AF510" s="6" t="s">
        <v>113</v>
      </c>
      <c r="AG510" s="26" t="str">
        <f t="shared" ref="AG510" si="3642">CM$6</f>
        <v>4,28,6,28,6,4,28,6,28,6</v>
      </c>
      <c r="AH510" s="26" t="str">
        <f t="shared" ref="AH510" si="3643">CN$6</f>
        <v>0,0,1,0,1,0,0,1,0,1</v>
      </c>
      <c r="AI510" s="26" t="str">
        <f t="shared" ref="AI510" si="3644">CO$6</f>
        <v>0,0,0,0,1,0,0,0,0,1</v>
      </c>
      <c r="AJ510" s="26" t="str">
        <f t="shared" ref="AJ510" si="3645">CP$6</f>
        <v>0,0,5,0,5,0,0,5,0,5</v>
      </c>
      <c r="AK510" s="26" t="str">
        <f t="shared" ref="AK510" si="3646">CQ$6</f>
        <v>100,1000,5,1500,5,200,1000,5,1500,5</v>
      </c>
      <c r="AL510" s="26" t="str">
        <f t="shared" ref="AL510" si="3647">CR$6</f>
        <v>5,5,5,5,5,5,5,5,5,5</v>
      </c>
      <c r="AM510" s="7">
        <v>2001</v>
      </c>
      <c r="AO510">
        <f t="shared" ref="AO510" si="3648">AQ510*100+3</f>
        <v>5703</v>
      </c>
      <c r="AP510">
        <v>506</v>
      </c>
      <c r="AQ510">
        <f t="shared" si="3235"/>
        <v>57</v>
      </c>
      <c r="AR510">
        <v>10</v>
      </c>
      <c r="AS510" s="17">
        <f t="shared" si="3316"/>
        <v>330</v>
      </c>
      <c r="AT510">
        <v>9</v>
      </c>
      <c r="AU510">
        <f t="shared" si="3236"/>
        <v>30</v>
      </c>
      <c r="AV510">
        <v>150</v>
      </c>
      <c r="AW510">
        <f t="shared" si="3237"/>
        <v>73159.557120000012</v>
      </c>
      <c r="AX510">
        <f t="shared" si="3366"/>
        <v>403104000</v>
      </c>
      <c r="AY510">
        <f t="shared" si="3238"/>
        <v>6718.4</v>
      </c>
      <c r="AZ510">
        <f t="shared" si="3239"/>
        <v>13436.8</v>
      </c>
      <c r="BA510">
        <f t="shared" si="3240"/>
        <v>84864.000000000015</v>
      </c>
      <c r="BB510">
        <f t="shared" si="3241"/>
        <v>3359.2</v>
      </c>
      <c r="BC510">
        <f t="shared" si="3367"/>
        <v>403104000</v>
      </c>
      <c r="BD510">
        <f t="shared" si="3242"/>
        <v>0.29411764705882359</v>
      </c>
      <c r="BE510" s="27">
        <f t="shared" si="3368"/>
        <v>483416183.57760006</v>
      </c>
      <c r="BF510" s="30">
        <f t="shared" si="3243"/>
        <v>0.43679999999999997</v>
      </c>
      <c r="BG510" s="27"/>
      <c r="BH510" s="27"/>
      <c r="BI510" s="27"/>
      <c r="CA510" s="20">
        <f t="shared" si="3244"/>
        <v>380</v>
      </c>
      <c r="CB510" s="20">
        <f t="shared" si="3245"/>
        <v>38000</v>
      </c>
    </row>
    <row r="511" spans="1:80" x14ac:dyDescent="0.15">
      <c r="A511">
        <v>5704</v>
      </c>
      <c r="B511" s="3" t="s">
        <v>119</v>
      </c>
      <c r="C511" s="4" t="s">
        <v>109</v>
      </c>
      <c r="D511" s="6" t="s">
        <v>120</v>
      </c>
      <c r="E511" s="5">
        <v>3</v>
      </c>
      <c r="F511" s="7" t="s">
        <v>145</v>
      </c>
      <c r="G511" s="5">
        <v>3</v>
      </c>
      <c r="H511" s="7" t="s">
        <v>190</v>
      </c>
      <c r="I511" s="5">
        <v>0</v>
      </c>
      <c r="J511" s="5">
        <v>0</v>
      </c>
      <c r="K511">
        <v>2</v>
      </c>
      <c r="L511">
        <v>1.5</v>
      </c>
      <c r="M511" s="5">
        <v>1.5</v>
      </c>
      <c r="N511" s="5">
        <v>10</v>
      </c>
      <c r="O511" s="5">
        <f t="shared" si="3225"/>
        <v>74235</v>
      </c>
      <c r="P511" s="5">
        <f t="shared" si="3226"/>
        <v>409032000</v>
      </c>
      <c r="Q511" s="5">
        <f t="shared" si="3227"/>
        <v>6817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70041</v>
      </c>
      <c r="X511" s="6" t="s">
        <v>182</v>
      </c>
      <c r="Y511" s="5">
        <v>300</v>
      </c>
      <c r="Z511" s="5">
        <v>1</v>
      </c>
      <c r="AA511" s="5">
        <v>114941605</v>
      </c>
      <c r="AB511" s="16" t="s">
        <v>111</v>
      </c>
      <c r="AC511" s="7" t="s">
        <v>112</v>
      </c>
      <c r="AD511" s="7" t="s">
        <v>112</v>
      </c>
      <c r="AE511" s="7" t="s">
        <v>112</v>
      </c>
      <c r="AF511" s="6" t="s">
        <v>113</v>
      </c>
      <c r="AG511" s="26" t="str">
        <f t="shared" ref="AG511" si="3649">CM$7</f>
        <v>4,14,28,14,6,4,14,28,14,6</v>
      </c>
      <c r="AH511" s="26" t="str">
        <f t="shared" ref="AH511" si="3650">CN$7</f>
        <v>0,0,0,0,1,0,0,0,0,1</v>
      </c>
      <c r="AI511" s="26" t="str">
        <f t="shared" ref="AI511" si="3651">CO$7</f>
        <v>0,0,0,0,1,0,0,0,0,1</v>
      </c>
      <c r="AJ511" s="26" t="str">
        <f t="shared" ref="AJ511" si="3652">CP$7</f>
        <v>0,0,0,0,5,0,0,0,0,5</v>
      </c>
      <c r="AK511" s="26" t="str">
        <f t="shared" ref="AK511" si="3653">CQ$7</f>
        <v>100,1,1000,2,5,200,1,1000,2,5</v>
      </c>
      <c r="AL511" s="26" t="str">
        <f t="shared" ref="AL511" si="3654">CR$7</f>
        <v>5,5,5,5,5,5,5,5,5,5</v>
      </c>
      <c r="AM511" s="7">
        <v>2001</v>
      </c>
      <c r="AO511">
        <f t="shared" ref="AO511" si="3655">AQ511*100+4</f>
        <v>5704</v>
      </c>
      <c r="AP511">
        <v>507</v>
      </c>
      <c r="AQ511">
        <f t="shared" si="3235"/>
        <v>57</v>
      </c>
      <c r="AR511">
        <v>10</v>
      </c>
      <c r="AS511" s="17">
        <f t="shared" si="3316"/>
        <v>335</v>
      </c>
      <c r="AT511">
        <v>9</v>
      </c>
      <c r="AU511">
        <f t="shared" si="3236"/>
        <v>30</v>
      </c>
      <c r="AV511">
        <v>150</v>
      </c>
      <c r="AW511">
        <f t="shared" si="3237"/>
        <v>74235.432960000006</v>
      </c>
      <c r="AX511">
        <f t="shared" si="3366"/>
        <v>409032000</v>
      </c>
      <c r="AY511">
        <f t="shared" si="3238"/>
        <v>6817.2</v>
      </c>
      <c r="AZ511">
        <f t="shared" si="3239"/>
        <v>13634.4</v>
      </c>
      <c r="BA511">
        <f t="shared" si="3240"/>
        <v>86112.000000000015</v>
      </c>
      <c r="BB511">
        <f t="shared" si="3241"/>
        <v>3408.6</v>
      </c>
      <c r="BC511">
        <f t="shared" si="3367"/>
        <v>409032000</v>
      </c>
      <c r="BD511">
        <f t="shared" si="3242"/>
        <v>0.29411764705882354</v>
      </c>
      <c r="BE511" s="27">
        <f t="shared" si="3368"/>
        <v>497738851.64640003</v>
      </c>
      <c r="BF511" s="30">
        <f t="shared" si="3243"/>
        <v>0.43679999999999997</v>
      </c>
      <c r="BG511" s="27"/>
      <c r="BH511" s="27"/>
      <c r="BI511" s="27"/>
      <c r="CA511" s="20">
        <f t="shared" si="3244"/>
        <v>380</v>
      </c>
      <c r="CB511" s="20">
        <f t="shared" si="3245"/>
        <v>38000</v>
      </c>
    </row>
    <row r="512" spans="1:80" x14ac:dyDescent="0.15">
      <c r="A512">
        <v>5705</v>
      </c>
      <c r="B512" s="3" t="s">
        <v>122</v>
      </c>
      <c r="C512" s="4" t="s">
        <v>109</v>
      </c>
      <c r="D512" s="4" t="s">
        <v>110</v>
      </c>
      <c r="E512" s="5">
        <v>2</v>
      </c>
      <c r="F512" s="7" t="s">
        <v>146</v>
      </c>
      <c r="G512" s="5">
        <v>3</v>
      </c>
      <c r="H512" s="7" t="s">
        <v>191</v>
      </c>
      <c r="I512" s="5">
        <v>0</v>
      </c>
      <c r="J512" s="7" t="s">
        <v>148</v>
      </c>
      <c r="K512">
        <v>6</v>
      </c>
      <c r="L512">
        <v>1.5</v>
      </c>
      <c r="M512" s="5">
        <v>1.5</v>
      </c>
      <c r="N512" s="5">
        <v>10</v>
      </c>
      <c r="O512" s="5">
        <f t="shared" si="3225"/>
        <v>75311</v>
      </c>
      <c r="P512" s="5">
        <f t="shared" si="3226"/>
        <v>414960000</v>
      </c>
      <c r="Q512" s="5">
        <f t="shared" si="3227"/>
        <v>6916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70051</v>
      </c>
      <c r="X512" s="6" t="s">
        <v>183</v>
      </c>
      <c r="Y512" s="5">
        <v>300</v>
      </c>
      <c r="Z512" s="5">
        <v>1</v>
      </c>
      <c r="AA512" s="5">
        <v>118619505</v>
      </c>
      <c r="AB512" s="16" t="s">
        <v>111</v>
      </c>
      <c r="AC512" s="7" t="s">
        <v>112</v>
      </c>
      <c r="AD512" s="7" t="s">
        <v>112</v>
      </c>
      <c r="AE512" s="7" t="s">
        <v>112</v>
      </c>
      <c r="AF512" s="6" t="s">
        <v>113</v>
      </c>
      <c r="AG512" s="26" t="str">
        <f t="shared" ref="AG512" si="3656">CM$8</f>
        <v>4,19,28,19,6,4,19,28,19,6</v>
      </c>
      <c r="AH512" s="26" t="str">
        <f t="shared" ref="AH512" si="3657">CN$8</f>
        <v>0,0,0,0,1,0,0,0,0,1</v>
      </c>
      <c r="AI512" s="26" t="str">
        <f t="shared" ref="AI512" si="3658">CO$8</f>
        <v>0,0,0,0,1,0,0,0,0,1</v>
      </c>
      <c r="AJ512" s="26" t="str">
        <f t="shared" ref="AJ512" si="3659">CP$8</f>
        <v>0,0,0,0,5,0,0,0,0,5</v>
      </c>
      <c r="AK512" s="26" t="str">
        <f t="shared" ref="AK512" si="3660">CQ$8</f>
        <v>200,100,1000,200,5,200,100,1000,200,5</v>
      </c>
      <c r="AL512" s="26" t="str">
        <f t="shared" ref="AL512" si="3661">CR$8</f>
        <v>5,5,5,5,5,5,5,5,5,5</v>
      </c>
      <c r="AM512" s="7">
        <v>2001</v>
      </c>
      <c r="AO512">
        <f t="shared" ref="AO512" si="3662">AQ512*100+5</f>
        <v>5705</v>
      </c>
      <c r="AP512">
        <v>508</v>
      </c>
      <c r="AQ512">
        <f t="shared" si="3235"/>
        <v>57</v>
      </c>
      <c r="AR512">
        <v>10</v>
      </c>
      <c r="AS512" s="17">
        <f t="shared" si="3316"/>
        <v>340</v>
      </c>
      <c r="AT512">
        <v>9</v>
      </c>
      <c r="AU512">
        <f t="shared" si="3236"/>
        <v>30</v>
      </c>
      <c r="AV512">
        <v>150</v>
      </c>
      <c r="AW512">
        <f t="shared" si="3237"/>
        <v>75311.308799999999</v>
      </c>
      <c r="AX512">
        <f t="shared" si="3366"/>
        <v>414960000</v>
      </c>
      <c r="AY512">
        <f t="shared" si="3238"/>
        <v>6916</v>
      </c>
      <c r="AZ512">
        <f t="shared" si="3239"/>
        <v>13832</v>
      </c>
      <c r="BA512">
        <f t="shared" si="3240"/>
        <v>87360.000000000015</v>
      </c>
      <c r="BB512">
        <f t="shared" si="3241"/>
        <v>3458</v>
      </c>
      <c r="BC512">
        <f t="shared" si="3367"/>
        <v>414960000</v>
      </c>
      <c r="BD512">
        <f t="shared" si="3242"/>
        <v>0.29411764705882354</v>
      </c>
      <c r="BE512" s="27">
        <f t="shared" si="3368"/>
        <v>512270609.76000011</v>
      </c>
      <c r="BF512" s="30">
        <f t="shared" si="3243"/>
        <v>0.43679999999999997</v>
      </c>
      <c r="BG512" s="27"/>
      <c r="BH512" s="27"/>
      <c r="BI512" s="27"/>
      <c r="CA512" s="20">
        <f t="shared" si="3244"/>
        <v>380</v>
      </c>
      <c r="CB512" s="20">
        <f t="shared" si="3245"/>
        <v>38000</v>
      </c>
    </row>
    <row r="513" spans="1:80" x14ac:dyDescent="0.15">
      <c r="A513">
        <v>5706</v>
      </c>
      <c r="B513" s="3" t="s">
        <v>124</v>
      </c>
      <c r="C513" s="4" t="s">
        <v>109</v>
      </c>
      <c r="D513" s="6" t="s">
        <v>120</v>
      </c>
      <c r="E513" s="5">
        <v>1</v>
      </c>
      <c r="F513" s="7" t="s">
        <v>147</v>
      </c>
      <c r="G513" s="5">
        <v>3</v>
      </c>
      <c r="H513" s="7" t="s">
        <v>192</v>
      </c>
      <c r="I513" s="5">
        <v>0</v>
      </c>
      <c r="J513" s="7" t="s">
        <v>149</v>
      </c>
      <c r="K513">
        <v>6</v>
      </c>
      <c r="L513">
        <v>1.5</v>
      </c>
      <c r="M513" s="5">
        <v>1.5</v>
      </c>
      <c r="N513" s="5">
        <v>10</v>
      </c>
      <c r="O513" s="5">
        <f t="shared" si="3225"/>
        <v>76387</v>
      </c>
      <c r="P513" s="5">
        <f t="shared" si="3226"/>
        <v>420888000</v>
      </c>
      <c r="Q513" s="5">
        <f t="shared" si="3227"/>
        <v>7014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70061</v>
      </c>
      <c r="X513" s="6" t="s">
        <v>184</v>
      </c>
      <c r="Y513" s="5">
        <v>300</v>
      </c>
      <c r="Z513" s="5">
        <v>1</v>
      </c>
      <c r="AA513" s="5">
        <v>122355324</v>
      </c>
      <c r="AB513" s="16" t="s">
        <v>111</v>
      </c>
      <c r="AC513" s="7" t="s">
        <v>112</v>
      </c>
      <c r="AD513" s="7" t="s">
        <v>112</v>
      </c>
      <c r="AE513" s="7" t="s">
        <v>112</v>
      </c>
      <c r="AF513" s="6" t="s">
        <v>113</v>
      </c>
      <c r="AG513" s="26" t="str">
        <f t="shared" ref="AG513" si="3663">CM$9</f>
        <v>4,33,28,33,6,4,33,28,33,6</v>
      </c>
      <c r="AH513" s="26" t="str">
        <f t="shared" ref="AH513" si="3664">CN$9</f>
        <v>0,6,0,6,1,0,6,0,6,1</v>
      </c>
      <c r="AI513" s="26" t="str">
        <f t="shared" ref="AI513" si="3665">CO$9</f>
        <v>0,0,0,0,1,0,0,0,0,1</v>
      </c>
      <c r="AJ513" s="26" t="str">
        <f t="shared" ref="AJ513" si="3666">CP$9</f>
        <v>0,0,0,0,5,0,0,0,0,5</v>
      </c>
      <c r="AK513" s="26" t="str">
        <f t="shared" ref="AK513" si="3667">CQ$9</f>
        <v>200,1,1000,2,5,200,1,1000,2,5</v>
      </c>
      <c r="AL513" s="26" t="str">
        <f t="shared" ref="AL513" si="3668">CR$9</f>
        <v>5,5,5,5,5,5,5,5,5,5</v>
      </c>
      <c r="AM513" s="7">
        <v>2001</v>
      </c>
      <c r="AO513">
        <f t="shared" ref="AO513" si="3669">AQ513*100+6</f>
        <v>5706</v>
      </c>
      <c r="AP513">
        <v>509</v>
      </c>
      <c r="AQ513">
        <f t="shared" si="3235"/>
        <v>57</v>
      </c>
      <c r="AR513">
        <v>10</v>
      </c>
      <c r="AS513" s="17">
        <f t="shared" si="3316"/>
        <v>345</v>
      </c>
      <c r="AT513">
        <v>9</v>
      </c>
      <c r="AU513">
        <f t="shared" si="3236"/>
        <v>30</v>
      </c>
      <c r="AV513">
        <v>150</v>
      </c>
      <c r="AW513">
        <f t="shared" si="3237"/>
        <v>76387.184640000007</v>
      </c>
      <c r="AX513">
        <f t="shared" si="3366"/>
        <v>420888000</v>
      </c>
      <c r="AY513">
        <f t="shared" si="3238"/>
        <v>7014.7999999999993</v>
      </c>
      <c r="AZ513">
        <f t="shared" si="3239"/>
        <v>14029.599999999999</v>
      </c>
      <c r="BA513">
        <f t="shared" si="3240"/>
        <v>88608.000000000015</v>
      </c>
      <c r="BB513">
        <f t="shared" si="3241"/>
        <v>3507.3999999999996</v>
      </c>
      <c r="BC513">
        <f t="shared" si="3367"/>
        <v>420888000</v>
      </c>
      <c r="BD513">
        <f t="shared" si="3242"/>
        <v>0.29411764705882354</v>
      </c>
      <c r="BE513" s="27">
        <f t="shared" si="3368"/>
        <v>527011457.91840011</v>
      </c>
      <c r="BF513" s="30">
        <f t="shared" si="3243"/>
        <v>0.43679999999999997</v>
      </c>
      <c r="BG513" s="27"/>
      <c r="BH513" s="27"/>
      <c r="BI513" s="27"/>
      <c r="CA513" s="20">
        <f t="shared" si="3244"/>
        <v>380</v>
      </c>
      <c r="CB513" s="20">
        <f t="shared" si="3245"/>
        <v>38000</v>
      </c>
    </row>
    <row r="514" spans="1:80" x14ac:dyDescent="0.15">
      <c r="A514">
        <v>5707</v>
      </c>
      <c r="B514" s="3" t="s">
        <v>126</v>
      </c>
      <c r="C514" s="4" t="s">
        <v>109</v>
      </c>
      <c r="D514" s="4" t="s">
        <v>110</v>
      </c>
      <c r="E514" s="5">
        <v>2</v>
      </c>
      <c r="F514" s="7" t="s">
        <v>143</v>
      </c>
      <c r="G514" s="5">
        <v>3</v>
      </c>
      <c r="H514" s="7" t="s">
        <v>193</v>
      </c>
      <c r="I514" s="5">
        <v>0</v>
      </c>
      <c r="J514" s="5">
        <v>0</v>
      </c>
      <c r="K514">
        <v>2</v>
      </c>
      <c r="L514">
        <v>1.5</v>
      </c>
      <c r="M514" s="5">
        <v>1.5</v>
      </c>
      <c r="N514" s="5">
        <v>10</v>
      </c>
      <c r="O514" s="5">
        <f t="shared" si="3225"/>
        <v>77463</v>
      </c>
      <c r="P514" s="5">
        <f t="shared" si="3226"/>
        <v>426816000</v>
      </c>
      <c r="Q514" s="5">
        <f t="shared" si="3227"/>
        <v>7113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70071</v>
      </c>
      <c r="X514" s="6" t="s">
        <v>185</v>
      </c>
      <c r="Y514" s="5">
        <v>300</v>
      </c>
      <c r="Z514" s="5">
        <v>1</v>
      </c>
      <c r="AA514" s="5">
        <v>126149063</v>
      </c>
      <c r="AB514" s="16" t="s">
        <v>111</v>
      </c>
      <c r="AC514" s="7" t="s">
        <v>112</v>
      </c>
      <c r="AD514" s="7" t="s">
        <v>112</v>
      </c>
      <c r="AE514" s="7" t="s">
        <v>112</v>
      </c>
      <c r="AF514" s="6" t="s">
        <v>113</v>
      </c>
      <c r="AG514" s="26" t="str">
        <f t="shared" ref="AG514" si="3670">CM$10</f>
        <v>4,14,28,14,6,4,14,28,14,6</v>
      </c>
      <c r="AH514" s="26" t="str">
        <f t="shared" ref="AH514" si="3671">CN$10</f>
        <v>0,0,0,0,1,0,0,0,0,1</v>
      </c>
      <c r="AI514" s="26" t="str">
        <f t="shared" ref="AI514" si="3672">CO$10</f>
        <v>0,0,0,0,1,0,0,0,0,1</v>
      </c>
      <c r="AJ514" s="26" t="str">
        <f t="shared" ref="AJ514" si="3673">CP$10</f>
        <v>0,0,0,0,5,0,0,0,0,5</v>
      </c>
      <c r="AK514" s="26" t="str">
        <f t="shared" ref="AK514" si="3674">CQ$10</f>
        <v>200,1,1000,2,5,200,1,1000,2,5</v>
      </c>
      <c r="AL514" s="26" t="str">
        <f t="shared" ref="AL514" si="3675">CR$10</f>
        <v>5,5,5,5,5,5,5,5,5,5</v>
      </c>
      <c r="AM514" s="7">
        <v>2001</v>
      </c>
      <c r="AO514">
        <f t="shared" ref="AO514" si="3676">AQ514*100+7</f>
        <v>5707</v>
      </c>
      <c r="AP514">
        <v>510</v>
      </c>
      <c r="AQ514">
        <f t="shared" si="3235"/>
        <v>57</v>
      </c>
      <c r="AR514">
        <v>10</v>
      </c>
      <c r="AS514" s="17">
        <f t="shared" si="3316"/>
        <v>350</v>
      </c>
      <c r="AT514">
        <v>9</v>
      </c>
      <c r="AU514">
        <f t="shared" si="3236"/>
        <v>30</v>
      </c>
      <c r="AV514">
        <v>150</v>
      </c>
      <c r="AW514">
        <f t="shared" si="3237"/>
        <v>77463.06048</v>
      </c>
      <c r="AX514">
        <f t="shared" si="3366"/>
        <v>426815999.99999994</v>
      </c>
      <c r="AY514">
        <f t="shared" si="3238"/>
        <v>7113.5999999999995</v>
      </c>
      <c r="AZ514">
        <f t="shared" si="3239"/>
        <v>14227.199999999999</v>
      </c>
      <c r="BA514">
        <f t="shared" si="3240"/>
        <v>89856.000000000015</v>
      </c>
      <c r="BB514">
        <f t="shared" si="3241"/>
        <v>3556.7999999999997</v>
      </c>
      <c r="BC514">
        <f t="shared" si="3367"/>
        <v>426815999.99999994</v>
      </c>
      <c r="BD514">
        <f t="shared" si="3242"/>
        <v>0.29411764705882354</v>
      </c>
      <c r="BE514" s="27">
        <f t="shared" si="3368"/>
        <v>541961396.12159991</v>
      </c>
      <c r="BF514" s="30">
        <f t="shared" si="3243"/>
        <v>0.43679999999999997</v>
      </c>
      <c r="BG514" s="27"/>
      <c r="BH514" s="27"/>
      <c r="BI514" s="27"/>
      <c r="CA514" s="20">
        <f t="shared" si="3244"/>
        <v>380</v>
      </c>
      <c r="CB514" s="20">
        <f t="shared" si="3245"/>
        <v>38000</v>
      </c>
    </row>
    <row r="515" spans="1:80" x14ac:dyDescent="0.15">
      <c r="A515">
        <v>5708</v>
      </c>
      <c r="B515" s="3" t="s">
        <v>128</v>
      </c>
      <c r="C515" s="4" t="s">
        <v>109</v>
      </c>
      <c r="D515" s="4" t="s">
        <v>110</v>
      </c>
      <c r="E515" s="5">
        <v>5</v>
      </c>
      <c r="F515" s="7" t="s">
        <v>129</v>
      </c>
      <c r="G515" s="5">
        <v>2</v>
      </c>
      <c r="H515" s="7" t="s">
        <v>130</v>
      </c>
      <c r="I515" s="5">
        <v>0</v>
      </c>
      <c r="J515" s="5">
        <v>0</v>
      </c>
      <c r="K515">
        <v>2</v>
      </c>
      <c r="L515">
        <v>1.5</v>
      </c>
      <c r="M515" s="5">
        <v>1.5</v>
      </c>
      <c r="N515" s="5">
        <v>10</v>
      </c>
      <c r="O515" s="5">
        <f t="shared" si="3225"/>
        <v>78538</v>
      </c>
      <c r="P515" s="5">
        <f t="shared" si="3226"/>
        <v>432744000</v>
      </c>
      <c r="Q515" s="5">
        <f t="shared" si="3227"/>
        <v>7212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70081</v>
      </c>
      <c r="X515" s="6" t="s">
        <v>186</v>
      </c>
      <c r="Y515" s="5">
        <v>300</v>
      </c>
      <c r="Z515" s="5">
        <v>1</v>
      </c>
      <c r="AA515" s="5">
        <v>130000722</v>
      </c>
      <c r="AB515" s="16" t="s">
        <v>111</v>
      </c>
      <c r="AC515" s="7" t="s">
        <v>112</v>
      </c>
      <c r="AD515" s="7" t="s">
        <v>112</v>
      </c>
      <c r="AE515" s="7" t="s">
        <v>112</v>
      </c>
      <c r="AF515" s="6" t="s">
        <v>113</v>
      </c>
      <c r="AG515" s="26" t="str">
        <f t="shared" ref="AG515" si="3677">CM$11</f>
        <v>4,28,6,28,6,4,28,6,28,6</v>
      </c>
      <c r="AH515" s="26" t="str">
        <f t="shared" ref="AH515" si="3678">CN$11</f>
        <v>0,0,1,0,1,0,0,1,0,1</v>
      </c>
      <c r="AI515" s="26" t="str">
        <f t="shared" ref="AI515" si="3679">CO$11</f>
        <v>0,0,1,0,1,0,0,1,0,1</v>
      </c>
      <c r="AJ515" s="26" t="str">
        <f t="shared" ref="AJ515" si="3680">CP$11</f>
        <v>0,0,5,0,5,0,0,5,0,5</v>
      </c>
      <c r="AK515" s="26" t="str">
        <f t="shared" ref="AK515" si="3681">CQ$11</f>
        <v>100,1000,5,1500,5,200,1000,5,1500,5</v>
      </c>
      <c r="AL515" s="26" t="str">
        <f t="shared" ref="AL515" si="3682">CR$11</f>
        <v>5,5,5,5,5,5,5,5,5,5</v>
      </c>
      <c r="AM515" s="7">
        <v>2001</v>
      </c>
      <c r="AO515">
        <f t="shared" ref="AO515" si="3683">AQ515*100+8</f>
        <v>5708</v>
      </c>
      <c r="AP515">
        <v>511</v>
      </c>
      <c r="AQ515">
        <f t="shared" si="3235"/>
        <v>57</v>
      </c>
      <c r="AR515">
        <v>10</v>
      </c>
      <c r="AS515" s="17">
        <f t="shared" si="3316"/>
        <v>355</v>
      </c>
      <c r="AT515">
        <v>9</v>
      </c>
      <c r="AU515">
        <f t="shared" si="3236"/>
        <v>30</v>
      </c>
      <c r="AV515">
        <v>150</v>
      </c>
      <c r="AW515">
        <f t="shared" si="3237"/>
        <v>78538.936320000008</v>
      </c>
      <c r="AX515">
        <f t="shared" si="3366"/>
        <v>432744000</v>
      </c>
      <c r="AY515">
        <f t="shared" si="3238"/>
        <v>7212.4</v>
      </c>
      <c r="AZ515">
        <f t="shared" si="3239"/>
        <v>14424.8</v>
      </c>
      <c r="BA515">
        <f t="shared" si="3240"/>
        <v>91104.000000000015</v>
      </c>
      <c r="BB515">
        <f t="shared" si="3241"/>
        <v>3606.2</v>
      </c>
      <c r="BC515">
        <f t="shared" si="3367"/>
        <v>432744000</v>
      </c>
      <c r="BD515">
        <f t="shared" si="3242"/>
        <v>0.29411764705882359</v>
      </c>
      <c r="BE515" s="27">
        <f t="shared" si="3368"/>
        <v>557120424.36960006</v>
      </c>
      <c r="BF515" s="30">
        <f t="shared" si="3243"/>
        <v>0.43679999999999997</v>
      </c>
      <c r="BG515" s="27"/>
      <c r="BH515" s="27"/>
      <c r="BI515" s="27"/>
      <c r="CA515" s="20">
        <f t="shared" si="3244"/>
        <v>380</v>
      </c>
      <c r="CB515" s="20">
        <f t="shared" si="3245"/>
        <v>38000</v>
      </c>
    </row>
    <row r="516" spans="1:80" x14ac:dyDescent="0.15">
      <c r="A516">
        <v>5709</v>
      </c>
      <c r="B516" s="3" t="s">
        <v>132</v>
      </c>
      <c r="C516" s="4" t="s">
        <v>109</v>
      </c>
      <c r="D516" s="4" t="s">
        <v>110</v>
      </c>
      <c r="E516" s="5">
        <v>5</v>
      </c>
      <c r="F516" s="7" t="s">
        <v>140</v>
      </c>
      <c r="G516" s="5">
        <v>3</v>
      </c>
      <c r="H516" s="7" t="s">
        <v>140</v>
      </c>
      <c r="I516" s="5">
        <v>0</v>
      </c>
      <c r="J516" s="7">
        <v>0</v>
      </c>
      <c r="K516">
        <v>6</v>
      </c>
      <c r="L516">
        <v>1.5</v>
      </c>
      <c r="M516" s="5">
        <v>1.5</v>
      </c>
      <c r="N516" s="5">
        <v>10</v>
      </c>
      <c r="O516" s="5">
        <f t="shared" si="3225"/>
        <v>79614</v>
      </c>
      <c r="P516" s="5">
        <f t="shared" si="3226"/>
        <v>438672000</v>
      </c>
      <c r="Q516" s="5">
        <f t="shared" si="3227"/>
        <v>7311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70091</v>
      </c>
      <c r="X516" s="6" t="s">
        <v>187</v>
      </c>
      <c r="Y516" s="5">
        <v>300</v>
      </c>
      <c r="Z516" s="5">
        <v>1</v>
      </c>
      <c r="AA516" s="5">
        <v>133910300</v>
      </c>
      <c r="AB516" s="16" t="s">
        <v>111</v>
      </c>
      <c r="AC516" s="7" t="s">
        <v>112</v>
      </c>
      <c r="AD516" s="7" t="s">
        <v>112</v>
      </c>
      <c r="AE516" s="7" t="s">
        <v>112</v>
      </c>
      <c r="AF516" s="6" t="s">
        <v>113</v>
      </c>
      <c r="AG516" s="26" t="str">
        <f t="shared" ref="AG516" si="3684">CM$12</f>
        <v>4,33,28,33,6,4,33,28,33,6</v>
      </c>
      <c r="AH516" s="26" t="str">
        <f t="shared" ref="AH516" si="3685">CN$12</f>
        <v>0,5,0,5,1,0,5,0,5,1</v>
      </c>
      <c r="AI516" s="26" t="str">
        <f t="shared" ref="AI516" si="3686">CO$12</f>
        <v>0,0,0,0,1,0,0,0,0,1</v>
      </c>
      <c r="AJ516" s="26" t="str">
        <f t="shared" ref="AJ516" si="3687">CP$12</f>
        <v>0,0,0,0,5,0,0,0,0,5</v>
      </c>
      <c r="AK516" s="26" t="str">
        <f t="shared" ref="AK516" si="3688">CQ$12</f>
        <v>100,1,1000,2,5,200,1,1000,2,5</v>
      </c>
      <c r="AL516" s="26" t="str">
        <f t="shared" ref="AL516" si="3689">CR$12</f>
        <v>5,5,5,5,5,5,5,5,5,5</v>
      </c>
      <c r="AM516" s="7">
        <v>2001</v>
      </c>
      <c r="AO516">
        <f t="shared" ref="AO516" si="3690">AQ516*100+9</f>
        <v>5709</v>
      </c>
      <c r="AP516">
        <v>512</v>
      </c>
      <c r="AQ516">
        <f t="shared" si="3235"/>
        <v>57</v>
      </c>
      <c r="AR516">
        <v>10</v>
      </c>
      <c r="AS516" s="17">
        <f t="shared" si="3316"/>
        <v>360</v>
      </c>
      <c r="AT516">
        <v>9</v>
      </c>
      <c r="AU516">
        <f t="shared" si="3236"/>
        <v>30</v>
      </c>
      <c r="AV516">
        <v>150</v>
      </c>
      <c r="AW516">
        <f t="shared" si="3237"/>
        <v>79614.812160000001</v>
      </c>
      <c r="AX516">
        <f t="shared" si="3366"/>
        <v>438672000</v>
      </c>
      <c r="AY516">
        <f t="shared" si="3238"/>
        <v>7311.2</v>
      </c>
      <c r="AZ516">
        <f t="shared" si="3239"/>
        <v>14622.4</v>
      </c>
      <c r="BA516">
        <f t="shared" si="3240"/>
        <v>92352.000000000015</v>
      </c>
      <c r="BB516">
        <f t="shared" si="3241"/>
        <v>3655.6</v>
      </c>
      <c r="BC516">
        <f t="shared" si="3367"/>
        <v>438672000</v>
      </c>
      <c r="BD516">
        <f t="shared" si="3242"/>
        <v>0.29411764705882354</v>
      </c>
      <c r="BE516" s="27">
        <f t="shared" si="3368"/>
        <v>572488542.66240001</v>
      </c>
      <c r="BF516" s="30">
        <f t="shared" si="3243"/>
        <v>0.43679999999999997</v>
      </c>
      <c r="BG516" s="27"/>
      <c r="BH516" s="27"/>
      <c r="BI516" s="27"/>
      <c r="CA516" s="20">
        <f t="shared" si="3244"/>
        <v>380</v>
      </c>
      <c r="CB516" s="20">
        <f t="shared" si="3245"/>
        <v>38000</v>
      </c>
    </row>
    <row r="517" spans="1:80" x14ac:dyDescent="0.15">
      <c r="A517">
        <v>5801</v>
      </c>
      <c r="B517" s="3" t="s">
        <v>108</v>
      </c>
      <c r="C517" s="4" t="s">
        <v>109</v>
      </c>
      <c r="D517" s="4" t="s">
        <v>110</v>
      </c>
      <c r="E517" s="5">
        <v>3</v>
      </c>
      <c r="F517" s="7" t="s">
        <v>141</v>
      </c>
      <c r="G517" s="5">
        <v>2.5</v>
      </c>
      <c r="H517" s="7" t="s">
        <v>194</v>
      </c>
      <c r="I517" s="5">
        <v>0</v>
      </c>
      <c r="J517" s="5">
        <v>0</v>
      </c>
      <c r="K517">
        <v>2</v>
      </c>
      <c r="L517">
        <v>1.5</v>
      </c>
      <c r="M517" s="5">
        <v>1.5</v>
      </c>
      <c r="N517" s="5">
        <v>10</v>
      </c>
      <c r="O517" s="5">
        <f t="shared" ref="O517:O580" si="3691">FLOOR(AW517,1)</f>
        <v>72204</v>
      </c>
      <c r="P517" s="5">
        <f t="shared" ref="P517:P580" si="3692">FLOOR(BC517,1)</f>
        <v>397176000</v>
      </c>
      <c r="Q517" s="5">
        <f t="shared" ref="Q517:Q580" si="3693">FLOOR(AY517,1)</f>
        <v>6619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70011</v>
      </c>
      <c r="X517" s="6" t="s">
        <v>179</v>
      </c>
      <c r="Y517" s="5">
        <v>300</v>
      </c>
      <c r="Z517" s="5">
        <v>1</v>
      </c>
      <c r="AA517" s="5">
        <v>137877798</v>
      </c>
      <c r="AB517" s="16" t="s">
        <v>111</v>
      </c>
      <c r="AC517" s="7" t="s">
        <v>112</v>
      </c>
      <c r="AD517" s="7" t="s">
        <v>112</v>
      </c>
      <c r="AE517" s="7" t="s">
        <v>112</v>
      </c>
      <c r="AF517" s="6" t="s">
        <v>113</v>
      </c>
      <c r="AG517" s="26" t="str">
        <f t="shared" ref="AG517" si="3694">CM$4</f>
        <v>4,33,28,33,6,4,33,28,33,6</v>
      </c>
      <c r="AH517" s="26" t="str">
        <f t="shared" ref="AH517" si="3695">CN$4</f>
        <v>0,8,0,8,1,0,8,0,8,1</v>
      </c>
      <c r="AI517" s="26" t="str">
        <f t="shared" ref="AI517" si="3696">CO$4</f>
        <v>0,0,0,0,1,0,0,0,0,1</v>
      </c>
      <c r="AJ517" s="26" t="str">
        <f t="shared" ref="AJ517" si="3697">CP$4</f>
        <v>0,0,0,0,5,0,0,0,0,5</v>
      </c>
      <c r="AK517" s="26" t="str">
        <f t="shared" ref="AK517" si="3698">CQ$4</f>
        <v>100,1,1000,2,5,200,1,1000,2,5</v>
      </c>
      <c r="AL517" s="26" t="str">
        <f t="shared" ref="AL517" si="3699">CR$4</f>
        <v>5,5,5,5,5,5,5,5,5,5</v>
      </c>
      <c r="AM517" s="7">
        <v>2001</v>
      </c>
      <c r="AO517">
        <f t="shared" ref="AO517" si="3700">AQ517*100+1</f>
        <v>5801</v>
      </c>
      <c r="AP517">
        <v>513</v>
      </c>
      <c r="AQ517">
        <f t="shared" ref="AQ517:AQ580" si="3701">FLOOR(AP517/9+1,1)</f>
        <v>58</v>
      </c>
      <c r="AR517">
        <v>10</v>
      </c>
      <c r="AS517" s="17">
        <f t="shared" si="3316"/>
        <v>325</v>
      </c>
      <c r="AT517">
        <v>9</v>
      </c>
      <c r="AU517">
        <f t="shared" ref="AU517:AU580" si="3702">20+FLOOR(AQ517/10,1)*2</f>
        <v>30</v>
      </c>
      <c r="AV517">
        <v>150</v>
      </c>
      <c r="AW517">
        <f t="shared" ref="AW517:AW580" si="3703">BA517*0.6*(1+BF517)</f>
        <v>72204.08832000001</v>
      </c>
      <c r="AX517">
        <f t="shared" si="3366"/>
        <v>397176000</v>
      </c>
      <c r="AY517">
        <f t="shared" ref="AY517:AY580" si="3704">BB517*2</f>
        <v>6619.5999999999995</v>
      </c>
      <c r="AZ517">
        <f t="shared" ref="AZ517:AZ580" si="3705">(INDEX($BO$2:$BO$15,MATCH($AR517,$BK$2:$BK$15,0))+INDEX($BP$2:$BP$15,MATCH($AR517,$BK$2:$BK$15,0))*$AS517)*(1+INDEX($BZ$2:$BZ$15,MATCH($AT517,$BX$2:$BX$15,0)))</f>
        <v>13239.199999999999</v>
      </c>
      <c r="BA517">
        <f t="shared" ref="BA517:BA580" si="3706">INDEX($BQ$2:$BQ$15,MATCH($AR517,$BK$2:$BK$15,0))+INDEX($BR$2:$BR$15,MATCH($AR517,$BK$2:$BK$15,0))*$AS517</f>
        <v>83616.000000000015</v>
      </c>
      <c r="BB517">
        <f t="shared" ref="BB517:BB580" si="3707">(INDEX($BS$2:$BS$15,MATCH($AR517,$BK$2:$BK$15,0))+INDEX($BT$2:$BT$15,MATCH($AR517,$BK$2:$BK$15,0))*$AS517)*(1+INDEX($BZ$2:$BZ$15,MATCH($AT517,$BX$2:$BX$15,0)))</f>
        <v>3309.7999999999997</v>
      </c>
      <c r="BC517">
        <f t="shared" si="3367"/>
        <v>397176000</v>
      </c>
      <c r="BD517">
        <f t="shared" ref="BD517:BD580" si="3708">1/(1+AZ517*3/(5*BB517))</f>
        <v>0.29411764705882354</v>
      </c>
      <c r="BE517" s="27">
        <f t="shared" si="3368"/>
        <v>469302605.55360001</v>
      </c>
      <c r="BF517" s="30">
        <f t="shared" ref="BF517:BF580" si="3709">0.3+AQ517*0.0024</f>
        <v>0.43919999999999998</v>
      </c>
      <c r="BG517" s="27"/>
      <c r="BH517" s="27"/>
      <c r="BI517" s="27"/>
      <c r="CA517" s="20">
        <f t="shared" ref="CA517:CA580" si="3710">$CA$2+(AQ517-1)*5</f>
        <v>385</v>
      </c>
      <c r="CB517" s="20">
        <f t="shared" ref="CB517:CB580" si="3711">$CB$2+(AQ517-1)*500</f>
        <v>38500</v>
      </c>
    </row>
    <row r="518" spans="1:80" x14ac:dyDescent="0.15">
      <c r="A518">
        <v>5802</v>
      </c>
      <c r="B518" s="3" t="s">
        <v>115</v>
      </c>
      <c r="C518" s="4" t="s">
        <v>109</v>
      </c>
      <c r="D518" s="6" t="s">
        <v>110</v>
      </c>
      <c r="E518" s="5">
        <v>3</v>
      </c>
      <c r="F518" s="7" t="s">
        <v>142</v>
      </c>
      <c r="G518" s="5">
        <v>3</v>
      </c>
      <c r="H518" s="7" t="s">
        <v>188</v>
      </c>
      <c r="I518" s="5">
        <v>0</v>
      </c>
      <c r="J518" s="5">
        <v>0</v>
      </c>
      <c r="K518">
        <v>2</v>
      </c>
      <c r="L518">
        <v>1.5</v>
      </c>
      <c r="M518" s="5">
        <v>1.5</v>
      </c>
      <c r="N518" s="5">
        <v>10</v>
      </c>
      <c r="O518" s="5">
        <f t="shared" si="3691"/>
        <v>73281</v>
      </c>
      <c r="P518" s="5">
        <f t="shared" si="3692"/>
        <v>403104000</v>
      </c>
      <c r="Q518" s="5">
        <f t="shared" si="3693"/>
        <v>6718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70021</v>
      </c>
      <c r="X518" s="6" t="s">
        <v>180</v>
      </c>
      <c r="Y518" s="5">
        <v>300</v>
      </c>
      <c r="Z518" s="5">
        <v>1</v>
      </c>
      <c r="AA518" s="5">
        <v>111321625</v>
      </c>
      <c r="AB518" s="16" t="s">
        <v>111</v>
      </c>
      <c r="AC518" s="7" t="s">
        <v>112</v>
      </c>
      <c r="AD518" s="7" t="s">
        <v>112</v>
      </c>
      <c r="AE518" s="7" t="s">
        <v>112</v>
      </c>
      <c r="AF518" s="6" t="s">
        <v>113</v>
      </c>
      <c r="AG518" s="26" t="str">
        <f t="shared" ref="AG518" si="3712">CM$5</f>
        <v>4,33,28,33,6,4,33,28,33,6</v>
      </c>
      <c r="AH518" s="26" t="str">
        <f t="shared" ref="AH518" si="3713">CN$5</f>
        <v>0,7,0,7,1,0,7,0,7,1</v>
      </c>
      <c r="AI518" s="26" t="str">
        <f t="shared" ref="AI518" si="3714">CO$5</f>
        <v>0,0,0,0,1,0,0,0,0,1</v>
      </c>
      <c r="AJ518" s="26" t="str">
        <f t="shared" ref="AJ518" si="3715">CP$5</f>
        <v>0,0,0,0,5,0,0,0,0,5</v>
      </c>
      <c r="AK518" s="26" t="str">
        <f t="shared" ref="AK518" si="3716">CQ$5</f>
        <v>100,1,1000,2,5,200,1,1000,2,5</v>
      </c>
      <c r="AL518" s="26" t="str">
        <f t="shared" ref="AL518" si="3717">CR$5</f>
        <v>5,5,5,5,5,5,5,5,5,5</v>
      </c>
      <c r="AM518" s="7">
        <v>2001</v>
      </c>
      <c r="AO518">
        <f t="shared" ref="AO518" si="3718">AQ518*100+2</f>
        <v>5802</v>
      </c>
      <c r="AP518">
        <v>514</v>
      </c>
      <c r="AQ518">
        <f t="shared" si="3701"/>
        <v>58</v>
      </c>
      <c r="AR518">
        <v>10</v>
      </c>
      <c r="AS518" s="17">
        <f t="shared" si="3316"/>
        <v>330</v>
      </c>
      <c r="AT518">
        <v>9</v>
      </c>
      <c r="AU518">
        <f t="shared" si="3702"/>
        <v>30</v>
      </c>
      <c r="AV518">
        <v>150</v>
      </c>
      <c r="AW518">
        <f t="shared" si="3703"/>
        <v>73281.761280000021</v>
      </c>
      <c r="AX518">
        <f t="shared" si="3366"/>
        <v>403104000</v>
      </c>
      <c r="AY518">
        <f t="shared" si="3704"/>
        <v>6718.4</v>
      </c>
      <c r="AZ518">
        <f t="shared" si="3705"/>
        <v>13436.8</v>
      </c>
      <c r="BA518">
        <f t="shared" si="3706"/>
        <v>84864.000000000015</v>
      </c>
      <c r="BB518">
        <f t="shared" si="3707"/>
        <v>3359.2</v>
      </c>
      <c r="BC518">
        <f t="shared" si="3367"/>
        <v>403104000</v>
      </c>
      <c r="BD518">
        <f t="shared" si="3708"/>
        <v>0.29411764705882359</v>
      </c>
      <c r="BE518" s="27">
        <f t="shared" si="3368"/>
        <v>483416183.57760006</v>
      </c>
      <c r="BF518" s="30">
        <f t="shared" si="3709"/>
        <v>0.43919999999999998</v>
      </c>
      <c r="BG518" s="27"/>
      <c r="BH518" s="27"/>
      <c r="BI518" s="27"/>
      <c r="CA518" s="20">
        <f t="shared" si="3710"/>
        <v>385</v>
      </c>
      <c r="CB518" s="20">
        <f t="shared" si="3711"/>
        <v>38500</v>
      </c>
    </row>
    <row r="519" spans="1:80" x14ac:dyDescent="0.15">
      <c r="A519">
        <v>5803</v>
      </c>
      <c r="B519" s="3" t="s">
        <v>117</v>
      </c>
      <c r="C519" s="4" t="s">
        <v>109</v>
      </c>
      <c r="D519" s="4" t="s">
        <v>110</v>
      </c>
      <c r="E519" s="5">
        <v>1</v>
      </c>
      <c r="F519" s="7" t="s">
        <v>144</v>
      </c>
      <c r="G519" s="5">
        <v>3</v>
      </c>
      <c r="H519" s="7" t="s">
        <v>189</v>
      </c>
      <c r="I519" s="5">
        <v>0</v>
      </c>
      <c r="J519" s="2">
        <v>0</v>
      </c>
      <c r="K519">
        <v>6</v>
      </c>
      <c r="L519">
        <v>1.5</v>
      </c>
      <c r="M519" s="5">
        <v>1.5</v>
      </c>
      <c r="N519" s="5">
        <v>10</v>
      </c>
      <c r="O519" s="5">
        <f t="shared" si="3691"/>
        <v>74359</v>
      </c>
      <c r="P519" s="5">
        <f t="shared" si="3692"/>
        <v>409032000</v>
      </c>
      <c r="Q519" s="5">
        <f t="shared" si="3693"/>
        <v>6817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70031</v>
      </c>
      <c r="X519" s="6" t="s">
        <v>181</v>
      </c>
      <c r="Y519" s="5">
        <v>300</v>
      </c>
      <c r="Z519" s="5">
        <v>1</v>
      </c>
      <c r="AA519" s="5">
        <v>114941605</v>
      </c>
      <c r="AB519" s="16" t="s">
        <v>111</v>
      </c>
      <c r="AC519" s="7" t="s">
        <v>112</v>
      </c>
      <c r="AD519" s="7" t="s">
        <v>112</v>
      </c>
      <c r="AE519" s="7" t="s">
        <v>112</v>
      </c>
      <c r="AF519" s="6" t="s">
        <v>113</v>
      </c>
      <c r="AG519" s="26" t="str">
        <f t="shared" ref="AG519" si="3719">CM$6</f>
        <v>4,28,6,28,6,4,28,6,28,6</v>
      </c>
      <c r="AH519" s="26" t="str">
        <f t="shared" ref="AH519" si="3720">CN$6</f>
        <v>0,0,1,0,1,0,0,1,0,1</v>
      </c>
      <c r="AI519" s="26" t="str">
        <f t="shared" ref="AI519" si="3721">CO$6</f>
        <v>0,0,0,0,1,0,0,0,0,1</v>
      </c>
      <c r="AJ519" s="26" t="str">
        <f t="shared" ref="AJ519" si="3722">CP$6</f>
        <v>0,0,5,0,5,0,0,5,0,5</v>
      </c>
      <c r="AK519" s="26" t="str">
        <f t="shared" ref="AK519" si="3723">CQ$6</f>
        <v>100,1000,5,1500,5,200,1000,5,1500,5</v>
      </c>
      <c r="AL519" s="26" t="str">
        <f t="shared" ref="AL519" si="3724">CR$6</f>
        <v>5,5,5,5,5,5,5,5,5,5</v>
      </c>
      <c r="AM519" s="7">
        <v>2001</v>
      </c>
      <c r="AO519">
        <f t="shared" ref="AO519" si="3725">AQ519*100+3</f>
        <v>5803</v>
      </c>
      <c r="AP519">
        <v>515</v>
      </c>
      <c r="AQ519">
        <f t="shared" si="3701"/>
        <v>58</v>
      </c>
      <c r="AR519">
        <v>10</v>
      </c>
      <c r="AS519" s="17">
        <f t="shared" si="3316"/>
        <v>335</v>
      </c>
      <c r="AT519">
        <v>9</v>
      </c>
      <c r="AU519">
        <f t="shared" si="3702"/>
        <v>30</v>
      </c>
      <c r="AV519">
        <v>150</v>
      </c>
      <c r="AW519">
        <f t="shared" si="3703"/>
        <v>74359.434240000002</v>
      </c>
      <c r="AX519">
        <f t="shared" si="3366"/>
        <v>409032000</v>
      </c>
      <c r="AY519">
        <f t="shared" si="3704"/>
        <v>6817.2</v>
      </c>
      <c r="AZ519">
        <f t="shared" si="3705"/>
        <v>13634.4</v>
      </c>
      <c r="BA519">
        <f t="shared" si="3706"/>
        <v>86112.000000000015</v>
      </c>
      <c r="BB519">
        <f t="shared" si="3707"/>
        <v>3408.6</v>
      </c>
      <c r="BC519">
        <f t="shared" si="3367"/>
        <v>409032000</v>
      </c>
      <c r="BD519">
        <f t="shared" si="3708"/>
        <v>0.29411764705882354</v>
      </c>
      <c r="BE519" s="27">
        <f t="shared" si="3368"/>
        <v>497738851.64640003</v>
      </c>
      <c r="BF519" s="30">
        <f t="shared" si="3709"/>
        <v>0.43919999999999998</v>
      </c>
      <c r="BG519" s="27"/>
      <c r="BH519" s="27"/>
      <c r="BI519" s="27"/>
      <c r="CA519" s="20">
        <f t="shared" si="3710"/>
        <v>385</v>
      </c>
      <c r="CB519" s="20">
        <f t="shared" si="3711"/>
        <v>38500</v>
      </c>
    </row>
    <row r="520" spans="1:80" x14ac:dyDescent="0.15">
      <c r="A520">
        <v>5804</v>
      </c>
      <c r="B520" s="3" t="s">
        <v>119</v>
      </c>
      <c r="C520" s="4" t="s">
        <v>109</v>
      </c>
      <c r="D520" s="6" t="s">
        <v>120</v>
      </c>
      <c r="E520" s="5">
        <v>3</v>
      </c>
      <c r="F520" s="7" t="s">
        <v>145</v>
      </c>
      <c r="G520" s="5">
        <v>3</v>
      </c>
      <c r="H520" s="7" t="s">
        <v>190</v>
      </c>
      <c r="I520" s="5">
        <v>0</v>
      </c>
      <c r="J520" s="5">
        <v>0</v>
      </c>
      <c r="K520">
        <v>2</v>
      </c>
      <c r="L520">
        <v>1.5</v>
      </c>
      <c r="M520" s="5">
        <v>1.5</v>
      </c>
      <c r="N520" s="5">
        <v>10</v>
      </c>
      <c r="O520" s="5">
        <f t="shared" si="3691"/>
        <v>75437</v>
      </c>
      <c r="P520" s="5">
        <f t="shared" si="3692"/>
        <v>414960000</v>
      </c>
      <c r="Q520" s="5">
        <f t="shared" si="3693"/>
        <v>6916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70041</v>
      </c>
      <c r="X520" s="6" t="s">
        <v>182</v>
      </c>
      <c r="Y520" s="5">
        <v>300</v>
      </c>
      <c r="Z520" s="5">
        <v>1</v>
      </c>
      <c r="AA520" s="5">
        <v>118619505</v>
      </c>
      <c r="AB520" s="16" t="s">
        <v>111</v>
      </c>
      <c r="AC520" s="7" t="s">
        <v>112</v>
      </c>
      <c r="AD520" s="7" t="s">
        <v>112</v>
      </c>
      <c r="AE520" s="7" t="s">
        <v>112</v>
      </c>
      <c r="AF520" s="6" t="s">
        <v>113</v>
      </c>
      <c r="AG520" s="26" t="str">
        <f t="shared" ref="AG520" si="3726">CM$7</f>
        <v>4,14,28,14,6,4,14,28,14,6</v>
      </c>
      <c r="AH520" s="26" t="str">
        <f t="shared" ref="AH520" si="3727">CN$7</f>
        <v>0,0,0,0,1,0,0,0,0,1</v>
      </c>
      <c r="AI520" s="26" t="str">
        <f t="shared" ref="AI520" si="3728">CO$7</f>
        <v>0,0,0,0,1,0,0,0,0,1</v>
      </c>
      <c r="AJ520" s="26" t="str">
        <f t="shared" ref="AJ520" si="3729">CP$7</f>
        <v>0,0,0,0,5,0,0,0,0,5</v>
      </c>
      <c r="AK520" s="26" t="str">
        <f t="shared" ref="AK520" si="3730">CQ$7</f>
        <v>100,1,1000,2,5,200,1,1000,2,5</v>
      </c>
      <c r="AL520" s="26" t="str">
        <f t="shared" ref="AL520" si="3731">CR$7</f>
        <v>5,5,5,5,5,5,5,5,5,5</v>
      </c>
      <c r="AM520" s="7">
        <v>2001</v>
      </c>
      <c r="AO520">
        <f t="shared" ref="AO520" si="3732">AQ520*100+4</f>
        <v>5804</v>
      </c>
      <c r="AP520">
        <v>516</v>
      </c>
      <c r="AQ520">
        <f t="shared" si="3701"/>
        <v>58</v>
      </c>
      <c r="AR520">
        <v>10</v>
      </c>
      <c r="AS520" s="17">
        <f t="shared" si="3316"/>
        <v>340</v>
      </c>
      <c r="AT520">
        <v>9</v>
      </c>
      <c r="AU520">
        <f t="shared" si="3702"/>
        <v>30</v>
      </c>
      <c r="AV520">
        <v>150</v>
      </c>
      <c r="AW520">
        <f t="shared" si="3703"/>
        <v>75437.107200000013</v>
      </c>
      <c r="AX520">
        <f t="shared" si="3366"/>
        <v>414960000</v>
      </c>
      <c r="AY520">
        <f t="shared" si="3704"/>
        <v>6916</v>
      </c>
      <c r="AZ520">
        <f t="shared" si="3705"/>
        <v>13832</v>
      </c>
      <c r="BA520">
        <f t="shared" si="3706"/>
        <v>87360.000000000015</v>
      </c>
      <c r="BB520">
        <f t="shared" si="3707"/>
        <v>3458</v>
      </c>
      <c r="BC520">
        <f t="shared" si="3367"/>
        <v>414960000</v>
      </c>
      <c r="BD520">
        <f t="shared" si="3708"/>
        <v>0.29411764705882354</v>
      </c>
      <c r="BE520" s="27">
        <f t="shared" si="3368"/>
        <v>512270609.76000011</v>
      </c>
      <c r="BF520" s="30">
        <f t="shared" si="3709"/>
        <v>0.43919999999999998</v>
      </c>
      <c r="BG520" s="27"/>
      <c r="BH520" s="27"/>
      <c r="BI520" s="27"/>
      <c r="CA520" s="20">
        <f t="shared" si="3710"/>
        <v>385</v>
      </c>
      <c r="CB520" s="20">
        <f t="shared" si="3711"/>
        <v>38500</v>
      </c>
    </row>
    <row r="521" spans="1:80" x14ac:dyDescent="0.15">
      <c r="A521">
        <v>5805</v>
      </c>
      <c r="B521" s="3" t="s">
        <v>122</v>
      </c>
      <c r="C521" s="4" t="s">
        <v>109</v>
      </c>
      <c r="D521" s="4" t="s">
        <v>110</v>
      </c>
      <c r="E521" s="5">
        <v>2</v>
      </c>
      <c r="F521" s="7" t="s">
        <v>146</v>
      </c>
      <c r="G521" s="5">
        <v>3</v>
      </c>
      <c r="H521" s="7" t="s">
        <v>191</v>
      </c>
      <c r="I521" s="5">
        <v>0</v>
      </c>
      <c r="J521" s="7" t="s">
        <v>148</v>
      </c>
      <c r="K521">
        <v>6</v>
      </c>
      <c r="L521">
        <v>1.5</v>
      </c>
      <c r="M521" s="5">
        <v>1.5</v>
      </c>
      <c r="N521" s="5">
        <v>10</v>
      </c>
      <c r="O521" s="5">
        <f t="shared" si="3691"/>
        <v>76514</v>
      </c>
      <c r="P521" s="5">
        <f t="shared" si="3692"/>
        <v>420888000</v>
      </c>
      <c r="Q521" s="5">
        <f t="shared" si="3693"/>
        <v>7014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70051</v>
      </c>
      <c r="X521" s="6" t="s">
        <v>183</v>
      </c>
      <c r="Y521" s="5">
        <v>300</v>
      </c>
      <c r="Z521" s="5">
        <v>1</v>
      </c>
      <c r="AA521" s="5">
        <v>122355324</v>
      </c>
      <c r="AB521" s="16" t="s">
        <v>111</v>
      </c>
      <c r="AC521" s="7" t="s">
        <v>112</v>
      </c>
      <c r="AD521" s="7" t="s">
        <v>112</v>
      </c>
      <c r="AE521" s="7" t="s">
        <v>112</v>
      </c>
      <c r="AF521" s="6" t="s">
        <v>113</v>
      </c>
      <c r="AG521" s="26" t="str">
        <f t="shared" ref="AG521" si="3733">CM$8</f>
        <v>4,19,28,19,6,4,19,28,19,6</v>
      </c>
      <c r="AH521" s="26" t="str">
        <f t="shared" ref="AH521" si="3734">CN$8</f>
        <v>0,0,0,0,1,0,0,0,0,1</v>
      </c>
      <c r="AI521" s="26" t="str">
        <f t="shared" ref="AI521" si="3735">CO$8</f>
        <v>0,0,0,0,1,0,0,0,0,1</v>
      </c>
      <c r="AJ521" s="26" t="str">
        <f t="shared" ref="AJ521" si="3736">CP$8</f>
        <v>0,0,0,0,5,0,0,0,0,5</v>
      </c>
      <c r="AK521" s="26" t="str">
        <f t="shared" ref="AK521" si="3737">CQ$8</f>
        <v>200,100,1000,200,5,200,100,1000,200,5</v>
      </c>
      <c r="AL521" s="26" t="str">
        <f t="shared" ref="AL521" si="3738">CR$8</f>
        <v>5,5,5,5,5,5,5,5,5,5</v>
      </c>
      <c r="AM521" s="7">
        <v>2001</v>
      </c>
      <c r="AO521">
        <f t="shared" ref="AO521" si="3739">AQ521*100+5</f>
        <v>5805</v>
      </c>
      <c r="AP521">
        <v>517</v>
      </c>
      <c r="AQ521">
        <f t="shared" si="3701"/>
        <v>58</v>
      </c>
      <c r="AR521">
        <v>10</v>
      </c>
      <c r="AS521" s="17">
        <f t="shared" si="3316"/>
        <v>345</v>
      </c>
      <c r="AT521">
        <v>9</v>
      </c>
      <c r="AU521">
        <f t="shared" si="3702"/>
        <v>30</v>
      </c>
      <c r="AV521">
        <v>150</v>
      </c>
      <c r="AW521">
        <f t="shared" si="3703"/>
        <v>76514.780160000009</v>
      </c>
      <c r="AX521">
        <f t="shared" si="3366"/>
        <v>420888000</v>
      </c>
      <c r="AY521">
        <f t="shared" si="3704"/>
        <v>7014.7999999999993</v>
      </c>
      <c r="AZ521">
        <f t="shared" si="3705"/>
        <v>14029.599999999999</v>
      </c>
      <c r="BA521">
        <f t="shared" si="3706"/>
        <v>88608.000000000015</v>
      </c>
      <c r="BB521">
        <f t="shared" si="3707"/>
        <v>3507.3999999999996</v>
      </c>
      <c r="BC521">
        <f t="shared" si="3367"/>
        <v>420888000</v>
      </c>
      <c r="BD521">
        <f t="shared" si="3708"/>
        <v>0.29411764705882354</v>
      </c>
      <c r="BE521" s="27">
        <f t="shared" si="3368"/>
        <v>527011457.91840011</v>
      </c>
      <c r="BF521" s="30">
        <f t="shared" si="3709"/>
        <v>0.43919999999999998</v>
      </c>
      <c r="BG521" s="27"/>
      <c r="BH521" s="27"/>
      <c r="BI521" s="27"/>
      <c r="CA521" s="20">
        <f t="shared" si="3710"/>
        <v>385</v>
      </c>
      <c r="CB521" s="20">
        <f t="shared" si="3711"/>
        <v>38500</v>
      </c>
    </row>
    <row r="522" spans="1:80" x14ac:dyDescent="0.15">
      <c r="A522">
        <v>5806</v>
      </c>
      <c r="B522" s="3" t="s">
        <v>124</v>
      </c>
      <c r="C522" s="4" t="s">
        <v>109</v>
      </c>
      <c r="D522" s="6" t="s">
        <v>120</v>
      </c>
      <c r="E522" s="5">
        <v>1</v>
      </c>
      <c r="F522" s="7" t="s">
        <v>147</v>
      </c>
      <c r="G522" s="5">
        <v>3</v>
      </c>
      <c r="H522" s="7" t="s">
        <v>192</v>
      </c>
      <c r="I522" s="5">
        <v>0</v>
      </c>
      <c r="J522" s="7" t="s">
        <v>149</v>
      </c>
      <c r="K522">
        <v>6</v>
      </c>
      <c r="L522">
        <v>1.5</v>
      </c>
      <c r="M522" s="5">
        <v>1.5</v>
      </c>
      <c r="N522" s="5">
        <v>10</v>
      </c>
      <c r="O522" s="5">
        <f t="shared" si="3691"/>
        <v>77592</v>
      </c>
      <c r="P522" s="5">
        <f t="shared" si="3692"/>
        <v>426816000</v>
      </c>
      <c r="Q522" s="5">
        <f t="shared" si="3693"/>
        <v>7113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70061</v>
      </c>
      <c r="X522" s="6" t="s">
        <v>184</v>
      </c>
      <c r="Y522" s="5">
        <v>300</v>
      </c>
      <c r="Z522" s="5">
        <v>1</v>
      </c>
      <c r="AA522" s="5">
        <v>126149063</v>
      </c>
      <c r="AB522" s="16" t="s">
        <v>111</v>
      </c>
      <c r="AC522" s="7" t="s">
        <v>112</v>
      </c>
      <c r="AD522" s="7" t="s">
        <v>112</v>
      </c>
      <c r="AE522" s="7" t="s">
        <v>112</v>
      </c>
      <c r="AF522" s="6" t="s">
        <v>113</v>
      </c>
      <c r="AG522" s="26" t="str">
        <f t="shared" ref="AG522" si="3740">CM$9</f>
        <v>4,33,28,33,6,4,33,28,33,6</v>
      </c>
      <c r="AH522" s="26" t="str">
        <f t="shared" ref="AH522" si="3741">CN$9</f>
        <v>0,6,0,6,1,0,6,0,6,1</v>
      </c>
      <c r="AI522" s="26" t="str">
        <f t="shared" ref="AI522" si="3742">CO$9</f>
        <v>0,0,0,0,1,0,0,0,0,1</v>
      </c>
      <c r="AJ522" s="26" t="str">
        <f t="shared" ref="AJ522" si="3743">CP$9</f>
        <v>0,0,0,0,5,0,0,0,0,5</v>
      </c>
      <c r="AK522" s="26" t="str">
        <f t="shared" ref="AK522" si="3744">CQ$9</f>
        <v>200,1,1000,2,5,200,1,1000,2,5</v>
      </c>
      <c r="AL522" s="26" t="str">
        <f t="shared" ref="AL522" si="3745">CR$9</f>
        <v>5,5,5,5,5,5,5,5,5,5</v>
      </c>
      <c r="AM522" s="7">
        <v>2001</v>
      </c>
      <c r="AO522">
        <f t="shared" ref="AO522" si="3746">AQ522*100+6</f>
        <v>5806</v>
      </c>
      <c r="AP522">
        <v>518</v>
      </c>
      <c r="AQ522">
        <f t="shared" si="3701"/>
        <v>58</v>
      </c>
      <c r="AR522">
        <v>10</v>
      </c>
      <c r="AS522" s="17">
        <f t="shared" si="3316"/>
        <v>350</v>
      </c>
      <c r="AT522">
        <v>9</v>
      </c>
      <c r="AU522">
        <f t="shared" si="3702"/>
        <v>30</v>
      </c>
      <c r="AV522">
        <v>150</v>
      </c>
      <c r="AW522">
        <f t="shared" si="3703"/>
        <v>77592.453120000006</v>
      </c>
      <c r="AX522">
        <f t="shared" si="3366"/>
        <v>426815999.99999994</v>
      </c>
      <c r="AY522">
        <f t="shared" si="3704"/>
        <v>7113.5999999999995</v>
      </c>
      <c r="AZ522">
        <f t="shared" si="3705"/>
        <v>14227.199999999999</v>
      </c>
      <c r="BA522">
        <f t="shared" si="3706"/>
        <v>89856.000000000015</v>
      </c>
      <c r="BB522">
        <f t="shared" si="3707"/>
        <v>3556.7999999999997</v>
      </c>
      <c r="BC522">
        <f t="shared" si="3367"/>
        <v>426815999.99999994</v>
      </c>
      <c r="BD522">
        <f t="shared" si="3708"/>
        <v>0.29411764705882354</v>
      </c>
      <c r="BE522" s="27">
        <f t="shared" si="3368"/>
        <v>541961396.12159991</v>
      </c>
      <c r="BF522" s="30">
        <f t="shared" si="3709"/>
        <v>0.43919999999999998</v>
      </c>
      <c r="BG522" s="27"/>
      <c r="BH522" s="27"/>
      <c r="BI522" s="27"/>
      <c r="CA522" s="20">
        <f t="shared" si="3710"/>
        <v>385</v>
      </c>
      <c r="CB522" s="20">
        <f t="shared" si="3711"/>
        <v>38500</v>
      </c>
    </row>
    <row r="523" spans="1:80" x14ac:dyDescent="0.15">
      <c r="A523">
        <v>5807</v>
      </c>
      <c r="B523" s="3" t="s">
        <v>126</v>
      </c>
      <c r="C523" s="4" t="s">
        <v>109</v>
      </c>
      <c r="D523" s="4" t="s">
        <v>110</v>
      </c>
      <c r="E523" s="5">
        <v>2</v>
      </c>
      <c r="F523" s="7" t="s">
        <v>143</v>
      </c>
      <c r="G523" s="5">
        <v>3</v>
      </c>
      <c r="H523" s="7" t="s">
        <v>193</v>
      </c>
      <c r="I523" s="5">
        <v>0</v>
      </c>
      <c r="J523" s="5">
        <v>0</v>
      </c>
      <c r="K523">
        <v>2</v>
      </c>
      <c r="L523">
        <v>1.5</v>
      </c>
      <c r="M523" s="5">
        <v>1.5</v>
      </c>
      <c r="N523" s="5">
        <v>10</v>
      </c>
      <c r="O523" s="5">
        <f t="shared" si="3691"/>
        <v>78670</v>
      </c>
      <c r="P523" s="5">
        <f t="shared" si="3692"/>
        <v>432744000</v>
      </c>
      <c r="Q523" s="5">
        <f t="shared" si="3693"/>
        <v>7212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70071</v>
      </c>
      <c r="X523" s="6" t="s">
        <v>185</v>
      </c>
      <c r="Y523" s="5">
        <v>300</v>
      </c>
      <c r="Z523" s="5">
        <v>1</v>
      </c>
      <c r="AA523" s="5">
        <v>130000722</v>
      </c>
      <c r="AB523" s="16" t="s">
        <v>111</v>
      </c>
      <c r="AC523" s="7" t="s">
        <v>112</v>
      </c>
      <c r="AD523" s="7" t="s">
        <v>112</v>
      </c>
      <c r="AE523" s="7" t="s">
        <v>112</v>
      </c>
      <c r="AF523" s="6" t="s">
        <v>113</v>
      </c>
      <c r="AG523" s="26" t="str">
        <f t="shared" ref="AG523" si="3747">CM$10</f>
        <v>4,14,28,14,6,4,14,28,14,6</v>
      </c>
      <c r="AH523" s="26" t="str">
        <f t="shared" ref="AH523" si="3748">CN$10</f>
        <v>0,0,0,0,1,0,0,0,0,1</v>
      </c>
      <c r="AI523" s="26" t="str">
        <f t="shared" ref="AI523" si="3749">CO$10</f>
        <v>0,0,0,0,1,0,0,0,0,1</v>
      </c>
      <c r="AJ523" s="26" t="str">
        <f t="shared" ref="AJ523" si="3750">CP$10</f>
        <v>0,0,0,0,5,0,0,0,0,5</v>
      </c>
      <c r="AK523" s="26" t="str">
        <f t="shared" ref="AK523" si="3751">CQ$10</f>
        <v>200,1,1000,2,5,200,1,1000,2,5</v>
      </c>
      <c r="AL523" s="26" t="str">
        <f t="shared" ref="AL523" si="3752">CR$10</f>
        <v>5,5,5,5,5,5,5,5,5,5</v>
      </c>
      <c r="AM523" s="7">
        <v>2001</v>
      </c>
      <c r="AO523">
        <f t="shared" ref="AO523" si="3753">AQ523*100+7</f>
        <v>5807</v>
      </c>
      <c r="AP523">
        <v>519</v>
      </c>
      <c r="AQ523">
        <f t="shared" si="3701"/>
        <v>58</v>
      </c>
      <c r="AR523">
        <v>10</v>
      </c>
      <c r="AS523" s="17">
        <f t="shared" si="3316"/>
        <v>355</v>
      </c>
      <c r="AT523">
        <v>9</v>
      </c>
      <c r="AU523">
        <f t="shared" si="3702"/>
        <v>30</v>
      </c>
      <c r="AV523">
        <v>150</v>
      </c>
      <c r="AW523">
        <f t="shared" si="3703"/>
        <v>78670.126080000016</v>
      </c>
      <c r="AX523">
        <f t="shared" si="3366"/>
        <v>432744000</v>
      </c>
      <c r="AY523">
        <f t="shared" si="3704"/>
        <v>7212.4</v>
      </c>
      <c r="AZ523">
        <f t="shared" si="3705"/>
        <v>14424.8</v>
      </c>
      <c r="BA523">
        <f t="shared" si="3706"/>
        <v>91104.000000000015</v>
      </c>
      <c r="BB523">
        <f t="shared" si="3707"/>
        <v>3606.2</v>
      </c>
      <c r="BC523">
        <f t="shared" si="3367"/>
        <v>432744000</v>
      </c>
      <c r="BD523">
        <f t="shared" si="3708"/>
        <v>0.29411764705882359</v>
      </c>
      <c r="BE523" s="27">
        <f t="shared" si="3368"/>
        <v>557120424.36960006</v>
      </c>
      <c r="BF523" s="30">
        <f t="shared" si="3709"/>
        <v>0.43919999999999998</v>
      </c>
      <c r="BG523" s="27"/>
      <c r="BH523" s="27"/>
      <c r="BI523" s="27"/>
      <c r="CA523" s="20">
        <f t="shared" si="3710"/>
        <v>385</v>
      </c>
      <c r="CB523" s="20">
        <f t="shared" si="3711"/>
        <v>38500</v>
      </c>
    </row>
    <row r="524" spans="1:80" x14ac:dyDescent="0.15">
      <c r="A524">
        <v>5808</v>
      </c>
      <c r="B524" s="3" t="s">
        <v>128</v>
      </c>
      <c r="C524" s="4" t="s">
        <v>109</v>
      </c>
      <c r="D524" s="4" t="s">
        <v>110</v>
      </c>
      <c r="E524" s="5">
        <v>5</v>
      </c>
      <c r="F524" s="7" t="s">
        <v>129</v>
      </c>
      <c r="G524" s="5">
        <v>2</v>
      </c>
      <c r="H524" s="7" t="s">
        <v>130</v>
      </c>
      <c r="I524" s="5">
        <v>0</v>
      </c>
      <c r="J524" s="5">
        <v>0</v>
      </c>
      <c r="K524">
        <v>2</v>
      </c>
      <c r="L524">
        <v>1.5</v>
      </c>
      <c r="M524" s="5">
        <v>1.5</v>
      </c>
      <c r="N524" s="5">
        <v>10</v>
      </c>
      <c r="O524" s="5">
        <f t="shared" si="3691"/>
        <v>79747</v>
      </c>
      <c r="P524" s="5">
        <f t="shared" si="3692"/>
        <v>438672000</v>
      </c>
      <c r="Q524" s="5">
        <f t="shared" si="3693"/>
        <v>7311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70081</v>
      </c>
      <c r="X524" s="6" t="s">
        <v>186</v>
      </c>
      <c r="Y524" s="5">
        <v>300</v>
      </c>
      <c r="Z524" s="5">
        <v>1</v>
      </c>
      <c r="AA524" s="5">
        <v>133910300</v>
      </c>
      <c r="AB524" s="16" t="s">
        <v>111</v>
      </c>
      <c r="AC524" s="7" t="s">
        <v>112</v>
      </c>
      <c r="AD524" s="7" t="s">
        <v>112</v>
      </c>
      <c r="AE524" s="7" t="s">
        <v>112</v>
      </c>
      <c r="AF524" s="6" t="s">
        <v>113</v>
      </c>
      <c r="AG524" s="26" t="str">
        <f t="shared" ref="AG524" si="3754">CM$11</f>
        <v>4,28,6,28,6,4,28,6,28,6</v>
      </c>
      <c r="AH524" s="26" t="str">
        <f t="shared" ref="AH524" si="3755">CN$11</f>
        <v>0,0,1,0,1,0,0,1,0,1</v>
      </c>
      <c r="AI524" s="26" t="str">
        <f t="shared" ref="AI524" si="3756">CO$11</f>
        <v>0,0,1,0,1,0,0,1,0,1</v>
      </c>
      <c r="AJ524" s="26" t="str">
        <f t="shared" ref="AJ524" si="3757">CP$11</f>
        <v>0,0,5,0,5,0,0,5,0,5</v>
      </c>
      <c r="AK524" s="26" t="str">
        <f t="shared" ref="AK524" si="3758">CQ$11</f>
        <v>100,1000,5,1500,5,200,1000,5,1500,5</v>
      </c>
      <c r="AL524" s="26" t="str">
        <f t="shared" ref="AL524" si="3759">CR$11</f>
        <v>5,5,5,5,5,5,5,5,5,5</v>
      </c>
      <c r="AM524" s="7">
        <v>2001</v>
      </c>
      <c r="AO524">
        <f t="shared" ref="AO524" si="3760">AQ524*100+8</f>
        <v>5808</v>
      </c>
      <c r="AP524">
        <v>520</v>
      </c>
      <c r="AQ524">
        <f t="shared" si="3701"/>
        <v>58</v>
      </c>
      <c r="AR524">
        <v>10</v>
      </c>
      <c r="AS524" s="17">
        <f t="shared" si="3316"/>
        <v>360</v>
      </c>
      <c r="AT524">
        <v>9</v>
      </c>
      <c r="AU524">
        <f t="shared" si="3702"/>
        <v>30</v>
      </c>
      <c r="AV524">
        <v>150</v>
      </c>
      <c r="AW524">
        <f t="shared" si="3703"/>
        <v>79747.799040000013</v>
      </c>
      <c r="AX524">
        <f t="shared" si="3366"/>
        <v>438672000</v>
      </c>
      <c r="AY524">
        <f t="shared" si="3704"/>
        <v>7311.2</v>
      </c>
      <c r="AZ524">
        <f t="shared" si="3705"/>
        <v>14622.4</v>
      </c>
      <c r="BA524">
        <f t="shared" si="3706"/>
        <v>92352.000000000015</v>
      </c>
      <c r="BB524">
        <f t="shared" si="3707"/>
        <v>3655.6</v>
      </c>
      <c r="BC524">
        <f t="shared" si="3367"/>
        <v>438672000</v>
      </c>
      <c r="BD524">
        <f t="shared" si="3708"/>
        <v>0.29411764705882354</v>
      </c>
      <c r="BE524" s="27">
        <f t="shared" si="3368"/>
        <v>572488542.66240001</v>
      </c>
      <c r="BF524" s="30">
        <f t="shared" si="3709"/>
        <v>0.43919999999999998</v>
      </c>
      <c r="BG524" s="27"/>
      <c r="BH524" s="27"/>
      <c r="BI524" s="27"/>
      <c r="CA524" s="20">
        <f t="shared" si="3710"/>
        <v>385</v>
      </c>
      <c r="CB524" s="20">
        <f t="shared" si="3711"/>
        <v>38500</v>
      </c>
    </row>
    <row r="525" spans="1:80" x14ac:dyDescent="0.15">
      <c r="A525">
        <v>5809</v>
      </c>
      <c r="B525" s="3" t="s">
        <v>132</v>
      </c>
      <c r="C525" s="4" t="s">
        <v>109</v>
      </c>
      <c r="D525" s="4" t="s">
        <v>110</v>
      </c>
      <c r="E525" s="5">
        <v>5</v>
      </c>
      <c r="F525" s="7" t="s">
        <v>140</v>
      </c>
      <c r="G525" s="5">
        <v>3</v>
      </c>
      <c r="H525" s="7" t="s">
        <v>140</v>
      </c>
      <c r="I525" s="5">
        <v>0</v>
      </c>
      <c r="J525" s="7">
        <v>0</v>
      </c>
      <c r="K525">
        <v>6</v>
      </c>
      <c r="L525">
        <v>1.5</v>
      </c>
      <c r="M525" s="5">
        <v>1.5</v>
      </c>
      <c r="N525" s="5">
        <v>10</v>
      </c>
      <c r="O525" s="5">
        <f t="shared" si="3691"/>
        <v>80825</v>
      </c>
      <c r="P525" s="5">
        <f t="shared" si="3692"/>
        <v>444600000</v>
      </c>
      <c r="Q525" s="5">
        <f t="shared" si="3693"/>
        <v>7410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70091</v>
      </c>
      <c r="X525" s="6" t="s">
        <v>187</v>
      </c>
      <c r="Y525" s="5">
        <v>300</v>
      </c>
      <c r="Z525" s="5">
        <v>1</v>
      </c>
      <c r="AA525" s="5">
        <v>137877798</v>
      </c>
      <c r="AB525" s="16" t="s">
        <v>111</v>
      </c>
      <c r="AC525" s="7" t="s">
        <v>112</v>
      </c>
      <c r="AD525" s="7" t="s">
        <v>112</v>
      </c>
      <c r="AE525" s="7" t="s">
        <v>112</v>
      </c>
      <c r="AF525" s="6" t="s">
        <v>113</v>
      </c>
      <c r="AG525" s="26" t="str">
        <f t="shared" ref="AG525" si="3761">CM$12</f>
        <v>4,33,28,33,6,4,33,28,33,6</v>
      </c>
      <c r="AH525" s="26" t="str">
        <f t="shared" ref="AH525" si="3762">CN$12</f>
        <v>0,5,0,5,1,0,5,0,5,1</v>
      </c>
      <c r="AI525" s="26" t="str">
        <f t="shared" ref="AI525" si="3763">CO$12</f>
        <v>0,0,0,0,1,0,0,0,0,1</v>
      </c>
      <c r="AJ525" s="26" t="str">
        <f t="shared" ref="AJ525" si="3764">CP$12</f>
        <v>0,0,0,0,5,0,0,0,0,5</v>
      </c>
      <c r="AK525" s="26" t="str">
        <f t="shared" ref="AK525" si="3765">CQ$12</f>
        <v>100,1,1000,2,5,200,1,1000,2,5</v>
      </c>
      <c r="AL525" s="26" t="str">
        <f t="shared" ref="AL525" si="3766">CR$12</f>
        <v>5,5,5,5,5,5,5,5,5,5</v>
      </c>
      <c r="AM525" s="7">
        <v>2001</v>
      </c>
      <c r="AO525">
        <f t="shared" ref="AO525" si="3767">AQ525*100+9</f>
        <v>5809</v>
      </c>
      <c r="AP525">
        <v>521</v>
      </c>
      <c r="AQ525">
        <f t="shared" si="3701"/>
        <v>58</v>
      </c>
      <c r="AR525">
        <v>10</v>
      </c>
      <c r="AS525" s="17">
        <f t="shared" si="3316"/>
        <v>365</v>
      </c>
      <c r="AT525">
        <v>9</v>
      </c>
      <c r="AU525">
        <f t="shared" si="3702"/>
        <v>30</v>
      </c>
      <c r="AV525">
        <v>150</v>
      </c>
      <c r="AW525">
        <f t="shared" si="3703"/>
        <v>80825.472000000009</v>
      </c>
      <c r="AX525">
        <f t="shared" si="3366"/>
        <v>444600000</v>
      </c>
      <c r="AY525">
        <f t="shared" si="3704"/>
        <v>7410</v>
      </c>
      <c r="AZ525">
        <f t="shared" si="3705"/>
        <v>14820</v>
      </c>
      <c r="BA525">
        <f t="shared" si="3706"/>
        <v>93600.000000000015</v>
      </c>
      <c r="BB525">
        <f t="shared" si="3707"/>
        <v>3705</v>
      </c>
      <c r="BC525">
        <f t="shared" si="3367"/>
        <v>444600000</v>
      </c>
      <c r="BD525">
        <f t="shared" si="3708"/>
        <v>0.29411764705882354</v>
      </c>
      <c r="BE525" s="27">
        <f t="shared" si="3368"/>
        <v>588065751.00000012</v>
      </c>
      <c r="BF525" s="30">
        <f t="shared" si="3709"/>
        <v>0.43919999999999998</v>
      </c>
      <c r="BG525" s="27"/>
      <c r="BH525" s="27"/>
      <c r="BI525" s="27"/>
      <c r="CA525" s="20">
        <f t="shared" si="3710"/>
        <v>385</v>
      </c>
      <c r="CB525" s="20">
        <f t="shared" si="3711"/>
        <v>38500</v>
      </c>
    </row>
    <row r="526" spans="1:80" x14ac:dyDescent="0.15">
      <c r="A526">
        <v>5901</v>
      </c>
      <c r="B526" s="3" t="s">
        <v>108</v>
      </c>
      <c r="C526" s="4" t="s">
        <v>109</v>
      </c>
      <c r="D526" s="4" t="s">
        <v>110</v>
      </c>
      <c r="E526" s="5">
        <v>3</v>
      </c>
      <c r="F526" s="7" t="s">
        <v>141</v>
      </c>
      <c r="G526" s="5">
        <v>2.5</v>
      </c>
      <c r="H526" s="7" t="s">
        <v>194</v>
      </c>
      <c r="I526" s="5">
        <v>0</v>
      </c>
      <c r="J526" s="5">
        <v>0</v>
      </c>
      <c r="K526">
        <v>2</v>
      </c>
      <c r="L526">
        <v>1.5</v>
      </c>
      <c r="M526" s="5">
        <v>1.5</v>
      </c>
      <c r="N526" s="5">
        <v>10</v>
      </c>
      <c r="O526" s="5">
        <f t="shared" si="3691"/>
        <v>73403</v>
      </c>
      <c r="P526" s="5">
        <f t="shared" si="3692"/>
        <v>403104000</v>
      </c>
      <c r="Q526" s="5">
        <f t="shared" si="3693"/>
        <v>6718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70011</v>
      </c>
      <c r="X526" s="6" t="s">
        <v>179</v>
      </c>
      <c r="Y526" s="5">
        <v>300</v>
      </c>
      <c r="Z526" s="5">
        <v>1</v>
      </c>
      <c r="AA526" s="5">
        <v>141903216</v>
      </c>
      <c r="AB526" s="16" t="s">
        <v>111</v>
      </c>
      <c r="AC526" s="7" t="s">
        <v>112</v>
      </c>
      <c r="AD526" s="7" t="s">
        <v>112</v>
      </c>
      <c r="AE526" s="7" t="s">
        <v>112</v>
      </c>
      <c r="AF526" s="6" t="s">
        <v>113</v>
      </c>
      <c r="AG526" s="26" t="str">
        <f t="shared" ref="AG526" si="3768">CM$4</f>
        <v>4,33,28,33,6,4,33,28,33,6</v>
      </c>
      <c r="AH526" s="26" t="str">
        <f t="shared" ref="AH526" si="3769">CN$4</f>
        <v>0,8,0,8,1,0,8,0,8,1</v>
      </c>
      <c r="AI526" s="26" t="str">
        <f t="shared" ref="AI526" si="3770">CO$4</f>
        <v>0,0,0,0,1,0,0,0,0,1</v>
      </c>
      <c r="AJ526" s="26" t="str">
        <f t="shared" ref="AJ526" si="3771">CP$4</f>
        <v>0,0,0,0,5,0,0,0,0,5</v>
      </c>
      <c r="AK526" s="26" t="str">
        <f t="shared" ref="AK526" si="3772">CQ$4</f>
        <v>100,1,1000,2,5,200,1,1000,2,5</v>
      </c>
      <c r="AL526" s="26" t="str">
        <f t="shared" ref="AL526" si="3773">CR$4</f>
        <v>5,5,5,5,5,5,5,5,5,5</v>
      </c>
      <c r="AM526" s="7">
        <v>2001</v>
      </c>
      <c r="AO526">
        <f t="shared" ref="AO526" si="3774">AQ526*100+1</f>
        <v>5901</v>
      </c>
      <c r="AP526">
        <v>522</v>
      </c>
      <c r="AQ526">
        <f t="shared" si="3701"/>
        <v>59</v>
      </c>
      <c r="AR526">
        <v>10</v>
      </c>
      <c r="AS526" s="17">
        <f t="shared" si="3316"/>
        <v>330</v>
      </c>
      <c r="AT526">
        <v>9</v>
      </c>
      <c r="AU526">
        <f t="shared" si="3702"/>
        <v>30</v>
      </c>
      <c r="AV526">
        <v>150</v>
      </c>
      <c r="AW526">
        <f t="shared" si="3703"/>
        <v>73403.965440000014</v>
      </c>
      <c r="AX526">
        <f t="shared" si="3366"/>
        <v>403104000</v>
      </c>
      <c r="AY526">
        <f t="shared" si="3704"/>
        <v>6718.4</v>
      </c>
      <c r="AZ526">
        <f t="shared" si="3705"/>
        <v>13436.8</v>
      </c>
      <c r="BA526">
        <f t="shared" si="3706"/>
        <v>84864.000000000015</v>
      </c>
      <c r="BB526">
        <f t="shared" si="3707"/>
        <v>3359.2</v>
      </c>
      <c r="BC526">
        <f t="shared" si="3367"/>
        <v>403104000</v>
      </c>
      <c r="BD526">
        <f t="shared" si="3708"/>
        <v>0.29411764705882359</v>
      </c>
      <c r="BE526" s="27">
        <f t="shared" si="3368"/>
        <v>483416183.57760006</v>
      </c>
      <c r="BF526" s="30">
        <f t="shared" si="3709"/>
        <v>0.44159999999999999</v>
      </c>
      <c r="BG526" s="27"/>
      <c r="BH526" s="27"/>
      <c r="BI526" s="27"/>
      <c r="CA526" s="20">
        <f t="shared" si="3710"/>
        <v>390</v>
      </c>
      <c r="CB526" s="20">
        <f t="shared" si="3711"/>
        <v>39000</v>
      </c>
    </row>
    <row r="527" spans="1:80" x14ac:dyDescent="0.15">
      <c r="A527">
        <v>5902</v>
      </c>
      <c r="B527" s="3" t="s">
        <v>115</v>
      </c>
      <c r="C527" s="4" t="s">
        <v>109</v>
      </c>
      <c r="D527" s="6" t="s">
        <v>110</v>
      </c>
      <c r="E527" s="5">
        <v>3</v>
      </c>
      <c r="F527" s="7" t="s">
        <v>142</v>
      </c>
      <c r="G527" s="5">
        <v>3</v>
      </c>
      <c r="H527" s="7" t="s">
        <v>188</v>
      </c>
      <c r="I527" s="5">
        <v>0</v>
      </c>
      <c r="J527" s="5">
        <v>0</v>
      </c>
      <c r="K527">
        <v>2</v>
      </c>
      <c r="L527">
        <v>1.5</v>
      </c>
      <c r="M527" s="5">
        <v>1.5</v>
      </c>
      <c r="N527" s="5">
        <v>10</v>
      </c>
      <c r="O527" s="5">
        <f t="shared" si="3691"/>
        <v>74483</v>
      </c>
      <c r="P527" s="5">
        <f t="shared" si="3692"/>
        <v>409032000</v>
      </c>
      <c r="Q527" s="5">
        <f t="shared" si="3693"/>
        <v>6817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70021</v>
      </c>
      <c r="X527" s="6" t="s">
        <v>180</v>
      </c>
      <c r="Y527" s="5">
        <v>300</v>
      </c>
      <c r="Z527" s="5">
        <v>1</v>
      </c>
      <c r="AA527" s="5">
        <v>114941605</v>
      </c>
      <c r="AB527" s="16" t="s">
        <v>111</v>
      </c>
      <c r="AC527" s="7" t="s">
        <v>112</v>
      </c>
      <c r="AD527" s="7" t="s">
        <v>112</v>
      </c>
      <c r="AE527" s="7" t="s">
        <v>112</v>
      </c>
      <c r="AF527" s="6" t="s">
        <v>113</v>
      </c>
      <c r="AG527" s="26" t="str">
        <f t="shared" ref="AG527" si="3775">CM$5</f>
        <v>4,33,28,33,6,4,33,28,33,6</v>
      </c>
      <c r="AH527" s="26" t="str">
        <f t="shared" ref="AH527" si="3776">CN$5</f>
        <v>0,7,0,7,1,0,7,0,7,1</v>
      </c>
      <c r="AI527" s="26" t="str">
        <f t="shared" ref="AI527" si="3777">CO$5</f>
        <v>0,0,0,0,1,0,0,0,0,1</v>
      </c>
      <c r="AJ527" s="26" t="str">
        <f t="shared" ref="AJ527" si="3778">CP$5</f>
        <v>0,0,0,0,5,0,0,0,0,5</v>
      </c>
      <c r="AK527" s="26" t="str">
        <f t="shared" ref="AK527" si="3779">CQ$5</f>
        <v>100,1,1000,2,5,200,1,1000,2,5</v>
      </c>
      <c r="AL527" s="26" t="str">
        <f t="shared" ref="AL527" si="3780">CR$5</f>
        <v>5,5,5,5,5,5,5,5,5,5</v>
      </c>
      <c r="AM527" s="7">
        <v>2001</v>
      </c>
      <c r="AO527">
        <f t="shared" ref="AO527" si="3781">AQ527*100+2</f>
        <v>5902</v>
      </c>
      <c r="AP527">
        <v>523</v>
      </c>
      <c r="AQ527">
        <f t="shared" si="3701"/>
        <v>59</v>
      </c>
      <c r="AR527">
        <v>10</v>
      </c>
      <c r="AS527" s="17">
        <f t="shared" ref="AS527:AS590" si="3782">AS518+5</f>
        <v>335</v>
      </c>
      <c r="AT527">
        <v>9</v>
      </c>
      <c r="AU527">
        <f t="shared" si="3702"/>
        <v>30</v>
      </c>
      <c r="AV527">
        <v>150</v>
      </c>
      <c r="AW527">
        <f t="shared" si="3703"/>
        <v>74483.435519999999</v>
      </c>
      <c r="AX527">
        <f t="shared" si="3366"/>
        <v>409032000</v>
      </c>
      <c r="AY527">
        <f t="shared" si="3704"/>
        <v>6817.2</v>
      </c>
      <c r="AZ527">
        <f t="shared" si="3705"/>
        <v>13634.4</v>
      </c>
      <c r="BA527">
        <f t="shared" si="3706"/>
        <v>86112.000000000015</v>
      </c>
      <c r="BB527">
        <f t="shared" si="3707"/>
        <v>3408.6</v>
      </c>
      <c r="BC527">
        <f t="shared" si="3367"/>
        <v>409032000</v>
      </c>
      <c r="BD527">
        <f t="shared" si="3708"/>
        <v>0.29411764705882354</v>
      </c>
      <c r="BE527" s="27">
        <f t="shared" si="3368"/>
        <v>497738851.64640003</v>
      </c>
      <c r="BF527" s="30">
        <f t="shared" si="3709"/>
        <v>0.44159999999999999</v>
      </c>
      <c r="BG527" s="27"/>
      <c r="BH527" s="27"/>
      <c r="BI527" s="27"/>
      <c r="CA527" s="20">
        <f t="shared" si="3710"/>
        <v>390</v>
      </c>
      <c r="CB527" s="20">
        <f t="shared" si="3711"/>
        <v>39000</v>
      </c>
    </row>
    <row r="528" spans="1:80" x14ac:dyDescent="0.15">
      <c r="A528">
        <v>5903</v>
      </c>
      <c r="B528" s="3" t="s">
        <v>117</v>
      </c>
      <c r="C528" s="4" t="s">
        <v>109</v>
      </c>
      <c r="D528" s="4" t="s">
        <v>110</v>
      </c>
      <c r="E528" s="5">
        <v>1</v>
      </c>
      <c r="F528" s="7" t="s">
        <v>144</v>
      </c>
      <c r="G528" s="5">
        <v>3</v>
      </c>
      <c r="H528" s="7" t="s">
        <v>189</v>
      </c>
      <c r="I528" s="5">
        <v>0</v>
      </c>
      <c r="J528" s="2">
        <v>0</v>
      </c>
      <c r="K528">
        <v>6</v>
      </c>
      <c r="L528">
        <v>1.5</v>
      </c>
      <c r="M528" s="5">
        <v>1.5</v>
      </c>
      <c r="N528" s="5">
        <v>10</v>
      </c>
      <c r="O528" s="5">
        <f t="shared" si="3691"/>
        <v>75562</v>
      </c>
      <c r="P528" s="5">
        <f t="shared" si="3692"/>
        <v>414960000</v>
      </c>
      <c r="Q528" s="5">
        <f t="shared" si="3693"/>
        <v>6916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70031</v>
      </c>
      <c r="X528" s="6" t="s">
        <v>181</v>
      </c>
      <c r="Y528" s="5">
        <v>300</v>
      </c>
      <c r="Z528" s="5">
        <v>1</v>
      </c>
      <c r="AA528" s="5">
        <v>118619505</v>
      </c>
      <c r="AB528" s="16" t="s">
        <v>111</v>
      </c>
      <c r="AC528" s="7" t="s">
        <v>112</v>
      </c>
      <c r="AD528" s="7" t="s">
        <v>112</v>
      </c>
      <c r="AE528" s="7" t="s">
        <v>112</v>
      </c>
      <c r="AF528" s="6" t="s">
        <v>113</v>
      </c>
      <c r="AG528" s="26" t="str">
        <f t="shared" ref="AG528" si="3783">CM$6</f>
        <v>4,28,6,28,6,4,28,6,28,6</v>
      </c>
      <c r="AH528" s="26" t="str">
        <f t="shared" ref="AH528" si="3784">CN$6</f>
        <v>0,0,1,0,1,0,0,1,0,1</v>
      </c>
      <c r="AI528" s="26" t="str">
        <f t="shared" ref="AI528" si="3785">CO$6</f>
        <v>0,0,0,0,1,0,0,0,0,1</v>
      </c>
      <c r="AJ528" s="26" t="str">
        <f t="shared" ref="AJ528" si="3786">CP$6</f>
        <v>0,0,5,0,5,0,0,5,0,5</v>
      </c>
      <c r="AK528" s="26" t="str">
        <f t="shared" ref="AK528" si="3787">CQ$6</f>
        <v>100,1000,5,1500,5,200,1000,5,1500,5</v>
      </c>
      <c r="AL528" s="26" t="str">
        <f t="shared" ref="AL528" si="3788">CR$6</f>
        <v>5,5,5,5,5,5,5,5,5,5</v>
      </c>
      <c r="AM528" s="7">
        <v>2001</v>
      </c>
      <c r="AO528">
        <f t="shared" ref="AO528" si="3789">AQ528*100+3</f>
        <v>5903</v>
      </c>
      <c r="AP528">
        <v>524</v>
      </c>
      <c r="AQ528">
        <f t="shared" si="3701"/>
        <v>59</v>
      </c>
      <c r="AR528">
        <v>10</v>
      </c>
      <c r="AS528" s="17">
        <f t="shared" si="3782"/>
        <v>340</v>
      </c>
      <c r="AT528">
        <v>9</v>
      </c>
      <c r="AU528">
        <f t="shared" si="3702"/>
        <v>30</v>
      </c>
      <c r="AV528">
        <v>150</v>
      </c>
      <c r="AW528">
        <f t="shared" si="3703"/>
        <v>75562.905600000013</v>
      </c>
      <c r="AX528">
        <f t="shared" si="3366"/>
        <v>414960000</v>
      </c>
      <c r="AY528">
        <f t="shared" si="3704"/>
        <v>6916</v>
      </c>
      <c r="AZ528">
        <f t="shared" si="3705"/>
        <v>13832</v>
      </c>
      <c r="BA528">
        <f t="shared" si="3706"/>
        <v>87360.000000000015</v>
      </c>
      <c r="BB528">
        <f t="shared" si="3707"/>
        <v>3458</v>
      </c>
      <c r="BC528">
        <f t="shared" si="3367"/>
        <v>414960000</v>
      </c>
      <c r="BD528">
        <f t="shared" si="3708"/>
        <v>0.29411764705882354</v>
      </c>
      <c r="BE528" s="27">
        <f t="shared" si="3368"/>
        <v>512270609.76000011</v>
      </c>
      <c r="BF528" s="30">
        <f t="shared" si="3709"/>
        <v>0.44159999999999999</v>
      </c>
      <c r="BG528" s="27"/>
      <c r="BH528" s="27"/>
      <c r="BI528" s="27"/>
      <c r="CA528" s="20">
        <f t="shared" si="3710"/>
        <v>390</v>
      </c>
      <c r="CB528" s="20">
        <f t="shared" si="3711"/>
        <v>39000</v>
      </c>
    </row>
    <row r="529" spans="1:80" x14ac:dyDescent="0.15">
      <c r="A529">
        <v>5904</v>
      </c>
      <c r="B529" s="3" t="s">
        <v>119</v>
      </c>
      <c r="C529" s="4" t="s">
        <v>109</v>
      </c>
      <c r="D529" s="6" t="s">
        <v>120</v>
      </c>
      <c r="E529" s="5">
        <v>3</v>
      </c>
      <c r="F529" s="7" t="s">
        <v>145</v>
      </c>
      <c r="G529" s="5">
        <v>3</v>
      </c>
      <c r="H529" s="7" t="s">
        <v>190</v>
      </c>
      <c r="I529" s="5">
        <v>0</v>
      </c>
      <c r="J529" s="5">
        <v>0</v>
      </c>
      <c r="K529">
        <v>2</v>
      </c>
      <c r="L529">
        <v>1.5</v>
      </c>
      <c r="M529" s="5">
        <v>1.5</v>
      </c>
      <c r="N529" s="5">
        <v>10</v>
      </c>
      <c r="O529" s="5">
        <f t="shared" si="3691"/>
        <v>76642</v>
      </c>
      <c r="P529" s="5">
        <f t="shared" si="3692"/>
        <v>420888000</v>
      </c>
      <c r="Q529" s="5">
        <f t="shared" si="3693"/>
        <v>7014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70041</v>
      </c>
      <c r="X529" s="6" t="s">
        <v>182</v>
      </c>
      <c r="Y529" s="5">
        <v>300</v>
      </c>
      <c r="Z529" s="5">
        <v>1</v>
      </c>
      <c r="AA529" s="5">
        <v>122355324</v>
      </c>
      <c r="AB529" s="16" t="s">
        <v>111</v>
      </c>
      <c r="AC529" s="7" t="s">
        <v>112</v>
      </c>
      <c r="AD529" s="7" t="s">
        <v>112</v>
      </c>
      <c r="AE529" s="7" t="s">
        <v>112</v>
      </c>
      <c r="AF529" s="6" t="s">
        <v>113</v>
      </c>
      <c r="AG529" s="26" t="str">
        <f t="shared" ref="AG529" si="3790">CM$7</f>
        <v>4,14,28,14,6,4,14,28,14,6</v>
      </c>
      <c r="AH529" s="26" t="str">
        <f t="shared" ref="AH529" si="3791">CN$7</f>
        <v>0,0,0,0,1,0,0,0,0,1</v>
      </c>
      <c r="AI529" s="26" t="str">
        <f t="shared" ref="AI529" si="3792">CO$7</f>
        <v>0,0,0,0,1,0,0,0,0,1</v>
      </c>
      <c r="AJ529" s="26" t="str">
        <f t="shared" ref="AJ529" si="3793">CP$7</f>
        <v>0,0,0,0,5,0,0,0,0,5</v>
      </c>
      <c r="AK529" s="26" t="str">
        <f t="shared" ref="AK529" si="3794">CQ$7</f>
        <v>100,1,1000,2,5,200,1,1000,2,5</v>
      </c>
      <c r="AL529" s="26" t="str">
        <f t="shared" ref="AL529" si="3795">CR$7</f>
        <v>5,5,5,5,5,5,5,5,5,5</v>
      </c>
      <c r="AM529" s="7">
        <v>2001</v>
      </c>
      <c r="AO529">
        <f t="shared" ref="AO529" si="3796">AQ529*100+4</f>
        <v>5904</v>
      </c>
      <c r="AP529">
        <v>525</v>
      </c>
      <c r="AQ529">
        <f t="shared" si="3701"/>
        <v>59</v>
      </c>
      <c r="AR529">
        <v>10</v>
      </c>
      <c r="AS529" s="17">
        <f t="shared" si="3782"/>
        <v>345</v>
      </c>
      <c r="AT529">
        <v>9</v>
      </c>
      <c r="AU529">
        <f t="shared" si="3702"/>
        <v>30</v>
      </c>
      <c r="AV529">
        <v>150</v>
      </c>
      <c r="AW529">
        <f t="shared" si="3703"/>
        <v>76642.375680000012</v>
      </c>
      <c r="AX529">
        <f t="shared" si="3366"/>
        <v>420888000</v>
      </c>
      <c r="AY529">
        <f t="shared" si="3704"/>
        <v>7014.7999999999993</v>
      </c>
      <c r="AZ529">
        <f t="shared" si="3705"/>
        <v>14029.599999999999</v>
      </c>
      <c r="BA529">
        <f t="shared" si="3706"/>
        <v>88608.000000000015</v>
      </c>
      <c r="BB529">
        <f t="shared" si="3707"/>
        <v>3507.3999999999996</v>
      </c>
      <c r="BC529">
        <f t="shared" si="3367"/>
        <v>420888000</v>
      </c>
      <c r="BD529">
        <f t="shared" si="3708"/>
        <v>0.29411764705882354</v>
      </c>
      <c r="BE529" s="27">
        <f t="shared" si="3368"/>
        <v>527011457.91840011</v>
      </c>
      <c r="BF529" s="30">
        <f t="shared" si="3709"/>
        <v>0.44159999999999999</v>
      </c>
      <c r="BG529" s="27"/>
      <c r="BH529" s="27"/>
      <c r="BI529" s="27"/>
      <c r="CA529" s="20">
        <f t="shared" si="3710"/>
        <v>390</v>
      </c>
      <c r="CB529" s="20">
        <f t="shared" si="3711"/>
        <v>39000</v>
      </c>
    </row>
    <row r="530" spans="1:80" x14ac:dyDescent="0.15">
      <c r="A530">
        <v>5905</v>
      </c>
      <c r="B530" s="3" t="s">
        <v>122</v>
      </c>
      <c r="C530" s="4" t="s">
        <v>109</v>
      </c>
      <c r="D530" s="4" t="s">
        <v>110</v>
      </c>
      <c r="E530" s="5">
        <v>2</v>
      </c>
      <c r="F530" s="7" t="s">
        <v>146</v>
      </c>
      <c r="G530" s="5">
        <v>3</v>
      </c>
      <c r="H530" s="7" t="s">
        <v>191</v>
      </c>
      <c r="I530" s="5">
        <v>0</v>
      </c>
      <c r="J530" s="7" t="s">
        <v>148</v>
      </c>
      <c r="K530">
        <v>6</v>
      </c>
      <c r="L530">
        <v>1.5</v>
      </c>
      <c r="M530" s="5">
        <v>1.5</v>
      </c>
      <c r="N530" s="5">
        <v>10</v>
      </c>
      <c r="O530" s="5">
        <f t="shared" si="3691"/>
        <v>77721</v>
      </c>
      <c r="P530" s="5">
        <f t="shared" si="3692"/>
        <v>426816000</v>
      </c>
      <c r="Q530" s="5">
        <f t="shared" si="3693"/>
        <v>7113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70051</v>
      </c>
      <c r="X530" s="6" t="s">
        <v>183</v>
      </c>
      <c r="Y530" s="5">
        <v>300</v>
      </c>
      <c r="Z530" s="5">
        <v>1</v>
      </c>
      <c r="AA530" s="5">
        <v>126149063</v>
      </c>
      <c r="AB530" s="16" t="s">
        <v>111</v>
      </c>
      <c r="AC530" s="7" t="s">
        <v>112</v>
      </c>
      <c r="AD530" s="7" t="s">
        <v>112</v>
      </c>
      <c r="AE530" s="7" t="s">
        <v>112</v>
      </c>
      <c r="AF530" s="6" t="s">
        <v>113</v>
      </c>
      <c r="AG530" s="26" t="str">
        <f t="shared" ref="AG530" si="3797">CM$8</f>
        <v>4,19,28,19,6,4,19,28,19,6</v>
      </c>
      <c r="AH530" s="26" t="str">
        <f t="shared" ref="AH530" si="3798">CN$8</f>
        <v>0,0,0,0,1,0,0,0,0,1</v>
      </c>
      <c r="AI530" s="26" t="str">
        <f t="shared" ref="AI530" si="3799">CO$8</f>
        <v>0,0,0,0,1,0,0,0,0,1</v>
      </c>
      <c r="AJ530" s="26" t="str">
        <f t="shared" ref="AJ530" si="3800">CP$8</f>
        <v>0,0,0,0,5,0,0,0,0,5</v>
      </c>
      <c r="AK530" s="26" t="str">
        <f t="shared" ref="AK530" si="3801">CQ$8</f>
        <v>200,100,1000,200,5,200,100,1000,200,5</v>
      </c>
      <c r="AL530" s="26" t="str">
        <f t="shared" ref="AL530" si="3802">CR$8</f>
        <v>5,5,5,5,5,5,5,5,5,5</v>
      </c>
      <c r="AM530" s="7">
        <v>2001</v>
      </c>
      <c r="AO530">
        <f t="shared" ref="AO530" si="3803">AQ530*100+5</f>
        <v>5905</v>
      </c>
      <c r="AP530">
        <v>526</v>
      </c>
      <c r="AQ530">
        <f t="shared" si="3701"/>
        <v>59</v>
      </c>
      <c r="AR530">
        <v>10</v>
      </c>
      <c r="AS530" s="17">
        <f t="shared" si="3782"/>
        <v>350</v>
      </c>
      <c r="AT530">
        <v>9</v>
      </c>
      <c r="AU530">
        <f t="shared" si="3702"/>
        <v>30</v>
      </c>
      <c r="AV530">
        <v>150</v>
      </c>
      <c r="AW530">
        <f t="shared" si="3703"/>
        <v>77721.845760000011</v>
      </c>
      <c r="AX530">
        <f t="shared" si="3366"/>
        <v>426815999.99999994</v>
      </c>
      <c r="AY530">
        <f t="shared" si="3704"/>
        <v>7113.5999999999995</v>
      </c>
      <c r="AZ530">
        <f t="shared" si="3705"/>
        <v>14227.199999999999</v>
      </c>
      <c r="BA530">
        <f t="shared" si="3706"/>
        <v>89856.000000000015</v>
      </c>
      <c r="BB530">
        <f t="shared" si="3707"/>
        <v>3556.7999999999997</v>
      </c>
      <c r="BC530">
        <f t="shared" si="3367"/>
        <v>426815999.99999994</v>
      </c>
      <c r="BD530">
        <f t="shared" si="3708"/>
        <v>0.29411764705882354</v>
      </c>
      <c r="BE530" s="27">
        <f t="shared" si="3368"/>
        <v>541961396.12159991</v>
      </c>
      <c r="BF530" s="30">
        <f t="shared" si="3709"/>
        <v>0.44159999999999999</v>
      </c>
      <c r="BG530" s="27"/>
      <c r="BH530" s="27"/>
      <c r="BI530" s="27"/>
      <c r="CA530" s="20">
        <f t="shared" si="3710"/>
        <v>390</v>
      </c>
      <c r="CB530" s="20">
        <f t="shared" si="3711"/>
        <v>39000</v>
      </c>
    </row>
    <row r="531" spans="1:80" x14ac:dyDescent="0.15">
      <c r="A531">
        <v>5906</v>
      </c>
      <c r="B531" s="3" t="s">
        <v>124</v>
      </c>
      <c r="C531" s="4" t="s">
        <v>109</v>
      </c>
      <c r="D531" s="6" t="s">
        <v>120</v>
      </c>
      <c r="E531" s="5">
        <v>1</v>
      </c>
      <c r="F531" s="7" t="s">
        <v>147</v>
      </c>
      <c r="G531" s="5">
        <v>3</v>
      </c>
      <c r="H531" s="7" t="s">
        <v>192</v>
      </c>
      <c r="I531" s="5">
        <v>0</v>
      </c>
      <c r="J531" s="7" t="s">
        <v>149</v>
      </c>
      <c r="K531">
        <v>6</v>
      </c>
      <c r="L531">
        <v>1.5</v>
      </c>
      <c r="M531" s="5">
        <v>1.5</v>
      </c>
      <c r="N531" s="5">
        <v>10</v>
      </c>
      <c r="O531" s="5">
        <f t="shared" si="3691"/>
        <v>78801</v>
      </c>
      <c r="P531" s="5">
        <f t="shared" si="3692"/>
        <v>432744000</v>
      </c>
      <c r="Q531" s="5">
        <f t="shared" si="3693"/>
        <v>7212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70061</v>
      </c>
      <c r="X531" s="6" t="s">
        <v>184</v>
      </c>
      <c r="Y531" s="5">
        <v>300</v>
      </c>
      <c r="Z531" s="5">
        <v>1</v>
      </c>
      <c r="AA531" s="5">
        <v>130000722</v>
      </c>
      <c r="AB531" s="16" t="s">
        <v>111</v>
      </c>
      <c r="AC531" s="7" t="s">
        <v>112</v>
      </c>
      <c r="AD531" s="7" t="s">
        <v>112</v>
      </c>
      <c r="AE531" s="7" t="s">
        <v>112</v>
      </c>
      <c r="AF531" s="6" t="s">
        <v>113</v>
      </c>
      <c r="AG531" s="26" t="str">
        <f t="shared" ref="AG531" si="3804">CM$9</f>
        <v>4,33,28,33,6,4,33,28,33,6</v>
      </c>
      <c r="AH531" s="26" t="str">
        <f t="shared" ref="AH531" si="3805">CN$9</f>
        <v>0,6,0,6,1,0,6,0,6,1</v>
      </c>
      <c r="AI531" s="26" t="str">
        <f t="shared" ref="AI531" si="3806">CO$9</f>
        <v>0,0,0,0,1,0,0,0,0,1</v>
      </c>
      <c r="AJ531" s="26" t="str">
        <f t="shared" ref="AJ531" si="3807">CP$9</f>
        <v>0,0,0,0,5,0,0,0,0,5</v>
      </c>
      <c r="AK531" s="26" t="str">
        <f t="shared" ref="AK531" si="3808">CQ$9</f>
        <v>200,1,1000,2,5,200,1,1000,2,5</v>
      </c>
      <c r="AL531" s="26" t="str">
        <f t="shared" ref="AL531" si="3809">CR$9</f>
        <v>5,5,5,5,5,5,5,5,5,5</v>
      </c>
      <c r="AM531" s="7">
        <v>2001</v>
      </c>
      <c r="AO531">
        <f t="shared" ref="AO531" si="3810">AQ531*100+6</f>
        <v>5906</v>
      </c>
      <c r="AP531">
        <v>527</v>
      </c>
      <c r="AQ531">
        <f t="shared" si="3701"/>
        <v>59</v>
      </c>
      <c r="AR531">
        <v>10</v>
      </c>
      <c r="AS531" s="17">
        <f t="shared" si="3782"/>
        <v>355</v>
      </c>
      <c r="AT531">
        <v>9</v>
      </c>
      <c r="AU531">
        <f t="shared" si="3702"/>
        <v>30</v>
      </c>
      <c r="AV531">
        <v>150</v>
      </c>
      <c r="AW531">
        <f t="shared" si="3703"/>
        <v>78801.31584000001</v>
      </c>
      <c r="AX531">
        <f t="shared" si="3366"/>
        <v>432744000</v>
      </c>
      <c r="AY531">
        <f t="shared" si="3704"/>
        <v>7212.4</v>
      </c>
      <c r="AZ531">
        <f t="shared" si="3705"/>
        <v>14424.8</v>
      </c>
      <c r="BA531">
        <f t="shared" si="3706"/>
        <v>91104.000000000015</v>
      </c>
      <c r="BB531">
        <f t="shared" si="3707"/>
        <v>3606.2</v>
      </c>
      <c r="BC531">
        <f t="shared" si="3367"/>
        <v>432744000</v>
      </c>
      <c r="BD531">
        <f t="shared" si="3708"/>
        <v>0.29411764705882359</v>
      </c>
      <c r="BE531" s="27">
        <f t="shared" si="3368"/>
        <v>557120424.36960006</v>
      </c>
      <c r="BF531" s="30">
        <f t="shared" si="3709"/>
        <v>0.44159999999999999</v>
      </c>
      <c r="BG531" s="27"/>
      <c r="BH531" s="27"/>
      <c r="BI531" s="27"/>
      <c r="CA531" s="20">
        <f t="shared" si="3710"/>
        <v>390</v>
      </c>
      <c r="CB531" s="20">
        <f t="shared" si="3711"/>
        <v>39000</v>
      </c>
    </row>
    <row r="532" spans="1:80" x14ac:dyDescent="0.15">
      <c r="A532">
        <v>5907</v>
      </c>
      <c r="B532" s="3" t="s">
        <v>126</v>
      </c>
      <c r="C532" s="4" t="s">
        <v>109</v>
      </c>
      <c r="D532" s="4" t="s">
        <v>110</v>
      </c>
      <c r="E532" s="5">
        <v>2</v>
      </c>
      <c r="F532" s="7" t="s">
        <v>143</v>
      </c>
      <c r="G532" s="5">
        <v>3</v>
      </c>
      <c r="H532" s="7" t="s">
        <v>193</v>
      </c>
      <c r="I532" s="5">
        <v>0</v>
      </c>
      <c r="J532" s="5">
        <v>0</v>
      </c>
      <c r="K532">
        <v>2</v>
      </c>
      <c r="L532">
        <v>1.5</v>
      </c>
      <c r="M532" s="5">
        <v>1.5</v>
      </c>
      <c r="N532" s="5">
        <v>10</v>
      </c>
      <c r="O532" s="5">
        <f t="shared" si="3691"/>
        <v>79880</v>
      </c>
      <c r="P532" s="5">
        <f t="shared" si="3692"/>
        <v>438672000</v>
      </c>
      <c r="Q532" s="5">
        <f t="shared" si="3693"/>
        <v>7311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70071</v>
      </c>
      <c r="X532" s="6" t="s">
        <v>185</v>
      </c>
      <c r="Y532" s="5">
        <v>300</v>
      </c>
      <c r="Z532" s="5">
        <v>1</v>
      </c>
      <c r="AA532" s="5">
        <v>133910300</v>
      </c>
      <c r="AB532" s="16" t="s">
        <v>111</v>
      </c>
      <c r="AC532" s="7" t="s">
        <v>112</v>
      </c>
      <c r="AD532" s="7" t="s">
        <v>112</v>
      </c>
      <c r="AE532" s="7" t="s">
        <v>112</v>
      </c>
      <c r="AF532" s="6" t="s">
        <v>113</v>
      </c>
      <c r="AG532" s="26" t="str">
        <f t="shared" ref="AG532" si="3811">CM$10</f>
        <v>4,14,28,14,6,4,14,28,14,6</v>
      </c>
      <c r="AH532" s="26" t="str">
        <f t="shared" ref="AH532" si="3812">CN$10</f>
        <v>0,0,0,0,1,0,0,0,0,1</v>
      </c>
      <c r="AI532" s="26" t="str">
        <f t="shared" ref="AI532" si="3813">CO$10</f>
        <v>0,0,0,0,1,0,0,0,0,1</v>
      </c>
      <c r="AJ532" s="26" t="str">
        <f t="shared" ref="AJ532" si="3814">CP$10</f>
        <v>0,0,0,0,5,0,0,0,0,5</v>
      </c>
      <c r="AK532" s="26" t="str">
        <f t="shared" ref="AK532" si="3815">CQ$10</f>
        <v>200,1,1000,2,5,200,1,1000,2,5</v>
      </c>
      <c r="AL532" s="26" t="str">
        <f t="shared" ref="AL532" si="3816">CR$10</f>
        <v>5,5,5,5,5,5,5,5,5,5</v>
      </c>
      <c r="AM532" s="7">
        <v>2001</v>
      </c>
      <c r="AO532">
        <f t="shared" ref="AO532" si="3817">AQ532*100+7</f>
        <v>5907</v>
      </c>
      <c r="AP532">
        <v>528</v>
      </c>
      <c r="AQ532">
        <f t="shared" si="3701"/>
        <v>59</v>
      </c>
      <c r="AR532">
        <v>10</v>
      </c>
      <c r="AS532" s="17">
        <f t="shared" si="3782"/>
        <v>360</v>
      </c>
      <c r="AT532">
        <v>9</v>
      </c>
      <c r="AU532">
        <f t="shared" si="3702"/>
        <v>30</v>
      </c>
      <c r="AV532">
        <v>150</v>
      </c>
      <c r="AW532">
        <f t="shared" si="3703"/>
        <v>79880.785920000009</v>
      </c>
      <c r="AX532">
        <f t="shared" si="3366"/>
        <v>438672000</v>
      </c>
      <c r="AY532">
        <f t="shared" si="3704"/>
        <v>7311.2</v>
      </c>
      <c r="AZ532">
        <f t="shared" si="3705"/>
        <v>14622.4</v>
      </c>
      <c r="BA532">
        <f t="shared" si="3706"/>
        <v>92352.000000000015</v>
      </c>
      <c r="BB532">
        <f t="shared" si="3707"/>
        <v>3655.6</v>
      </c>
      <c r="BC532">
        <f t="shared" si="3367"/>
        <v>438672000</v>
      </c>
      <c r="BD532">
        <f t="shared" si="3708"/>
        <v>0.29411764705882354</v>
      </c>
      <c r="BE532" s="27">
        <f t="shared" si="3368"/>
        <v>572488542.66240001</v>
      </c>
      <c r="BF532" s="30">
        <f t="shared" si="3709"/>
        <v>0.44159999999999999</v>
      </c>
      <c r="BG532" s="27"/>
      <c r="BH532" s="27"/>
      <c r="BI532" s="27"/>
      <c r="CA532" s="20">
        <f t="shared" si="3710"/>
        <v>390</v>
      </c>
      <c r="CB532" s="20">
        <f t="shared" si="3711"/>
        <v>39000</v>
      </c>
    </row>
    <row r="533" spans="1:80" x14ac:dyDescent="0.15">
      <c r="A533">
        <v>5908</v>
      </c>
      <c r="B533" s="3" t="s">
        <v>128</v>
      </c>
      <c r="C533" s="4" t="s">
        <v>109</v>
      </c>
      <c r="D533" s="4" t="s">
        <v>110</v>
      </c>
      <c r="E533" s="5">
        <v>5</v>
      </c>
      <c r="F533" s="7" t="s">
        <v>129</v>
      </c>
      <c r="G533" s="5">
        <v>2</v>
      </c>
      <c r="H533" s="7" t="s">
        <v>130</v>
      </c>
      <c r="I533" s="5">
        <v>0</v>
      </c>
      <c r="J533" s="5">
        <v>0</v>
      </c>
      <c r="K533">
        <v>2</v>
      </c>
      <c r="L533">
        <v>1.5</v>
      </c>
      <c r="M533" s="5">
        <v>1.5</v>
      </c>
      <c r="N533" s="5">
        <v>10</v>
      </c>
      <c r="O533" s="5">
        <f t="shared" si="3691"/>
        <v>80960</v>
      </c>
      <c r="P533" s="5">
        <f t="shared" si="3692"/>
        <v>444600000</v>
      </c>
      <c r="Q533" s="5">
        <f t="shared" si="3693"/>
        <v>7410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70081</v>
      </c>
      <c r="X533" s="6" t="s">
        <v>186</v>
      </c>
      <c r="Y533" s="5">
        <v>300</v>
      </c>
      <c r="Z533" s="5">
        <v>1</v>
      </c>
      <c r="AA533" s="5">
        <v>137877798</v>
      </c>
      <c r="AB533" s="16" t="s">
        <v>111</v>
      </c>
      <c r="AC533" s="7" t="s">
        <v>112</v>
      </c>
      <c r="AD533" s="7" t="s">
        <v>112</v>
      </c>
      <c r="AE533" s="7" t="s">
        <v>112</v>
      </c>
      <c r="AF533" s="6" t="s">
        <v>113</v>
      </c>
      <c r="AG533" s="26" t="str">
        <f t="shared" ref="AG533" si="3818">CM$11</f>
        <v>4,28,6,28,6,4,28,6,28,6</v>
      </c>
      <c r="AH533" s="26" t="str">
        <f t="shared" ref="AH533" si="3819">CN$11</f>
        <v>0,0,1,0,1,0,0,1,0,1</v>
      </c>
      <c r="AI533" s="26" t="str">
        <f t="shared" ref="AI533" si="3820">CO$11</f>
        <v>0,0,1,0,1,0,0,1,0,1</v>
      </c>
      <c r="AJ533" s="26" t="str">
        <f t="shared" ref="AJ533" si="3821">CP$11</f>
        <v>0,0,5,0,5,0,0,5,0,5</v>
      </c>
      <c r="AK533" s="26" t="str">
        <f t="shared" ref="AK533" si="3822">CQ$11</f>
        <v>100,1000,5,1500,5,200,1000,5,1500,5</v>
      </c>
      <c r="AL533" s="26" t="str">
        <f t="shared" ref="AL533" si="3823">CR$11</f>
        <v>5,5,5,5,5,5,5,5,5,5</v>
      </c>
      <c r="AM533" s="7">
        <v>2001</v>
      </c>
      <c r="AO533">
        <f t="shared" ref="AO533" si="3824">AQ533*100+8</f>
        <v>5908</v>
      </c>
      <c r="AP533">
        <v>529</v>
      </c>
      <c r="AQ533">
        <f t="shared" si="3701"/>
        <v>59</v>
      </c>
      <c r="AR533">
        <v>10</v>
      </c>
      <c r="AS533" s="17">
        <f t="shared" si="3782"/>
        <v>365</v>
      </c>
      <c r="AT533">
        <v>9</v>
      </c>
      <c r="AU533">
        <f t="shared" si="3702"/>
        <v>30</v>
      </c>
      <c r="AV533">
        <v>150</v>
      </c>
      <c r="AW533">
        <f t="shared" si="3703"/>
        <v>80960.256000000008</v>
      </c>
      <c r="AX533">
        <f t="shared" si="3366"/>
        <v>444600000</v>
      </c>
      <c r="AY533">
        <f t="shared" si="3704"/>
        <v>7410</v>
      </c>
      <c r="AZ533">
        <f t="shared" si="3705"/>
        <v>14820</v>
      </c>
      <c r="BA533">
        <f t="shared" si="3706"/>
        <v>93600.000000000015</v>
      </c>
      <c r="BB533">
        <f t="shared" si="3707"/>
        <v>3705</v>
      </c>
      <c r="BC533">
        <f t="shared" si="3367"/>
        <v>444600000</v>
      </c>
      <c r="BD533">
        <f t="shared" si="3708"/>
        <v>0.29411764705882354</v>
      </c>
      <c r="BE533" s="27">
        <f t="shared" si="3368"/>
        <v>588065751.00000012</v>
      </c>
      <c r="BF533" s="30">
        <f t="shared" si="3709"/>
        <v>0.44159999999999999</v>
      </c>
      <c r="BG533" s="27"/>
      <c r="BH533" s="27"/>
      <c r="BI533" s="27"/>
      <c r="CA533" s="20">
        <f t="shared" si="3710"/>
        <v>390</v>
      </c>
      <c r="CB533" s="20">
        <f t="shared" si="3711"/>
        <v>39000</v>
      </c>
    </row>
    <row r="534" spans="1:80" x14ac:dyDescent="0.15">
      <c r="A534">
        <v>5909</v>
      </c>
      <c r="B534" s="3" t="s">
        <v>132</v>
      </c>
      <c r="C534" s="4" t="s">
        <v>109</v>
      </c>
      <c r="D534" s="4" t="s">
        <v>110</v>
      </c>
      <c r="E534" s="5">
        <v>5</v>
      </c>
      <c r="F534" s="7" t="s">
        <v>140</v>
      </c>
      <c r="G534" s="5">
        <v>3</v>
      </c>
      <c r="H534" s="7" t="s">
        <v>140</v>
      </c>
      <c r="I534" s="5">
        <v>0</v>
      </c>
      <c r="J534" s="7">
        <v>0</v>
      </c>
      <c r="K534">
        <v>6</v>
      </c>
      <c r="L534">
        <v>1.5</v>
      </c>
      <c r="M534" s="5">
        <v>1.5</v>
      </c>
      <c r="N534" s="5">
        <v>10</v>
      </c>
      <c r="O534" s="5">
        <f t="shared" si="3691"/>
        <v>82039</v>
      </c>
      <c r="P534" s="5">
        <f t="shared" si="3692"/>
        <v>450528000</v>
      </c>
      <c r="Q534" s="5">
        <f t="shared" si="3693"/>
        <v>7508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70091</v>
      </c>
      <c r="X534" s="6" t="s">
        <v>187</v>
      </c>
      <c r="Y534" s="5">
        <v>300</v>
      </c>
      <c r="Z534" s="5">
        <v>1</v>
      </c>
      <c r="AA534" s="5">
        <v>141903216</v>
      </c>
      <c r="AB534" s="16" t="s">
        <v>111</v>
      </c>
      <c r="AC534" s="7" t="s">
        <v>112</v>
      </c>
      <c r="AD534" s="7" t="s">
        <v>112</v>
      </c>
      <c r="AE534" s="7" t="s">
        <v>112</v>
      </c>
      <c r="AF534" s="6" t="s">
        <v>113</v>
      </c>
      <c r="AG534" s="26" t="str">
        <f t="shared" ref="AG534" si="3825">CM$12</f>
        <v>4,33,28,33,6,4,33,28,33,6</v>
      </c>
      <c r="AH534" s="26" t="str">
        <f t="shared" ref="AH534" si="3826">CN$12</f>
        <v>0,5,0,5,1,0,5,0,5,1</v>
      </c>
      <c r="AI534" s="26" t="str">
        <f t="shared" ref="AI534" si="3827">CO$12</f>
        <v>0,0,0,0,1,0,0,0,0,1</v>
      </c>
      <c r="AJ534" s="26" t="str">
        <f t="shared" ref="AJ534" si="3828">CP$12</f>
        <v>0,0,0,0,5,0,0,0,0,5</v>
      </c>
      <c r="AK534" s="26" t="str">
        <f t="shared" ref="AK534" si="3829">CQ$12</f>
        <v>100,1,1000,2,5,200,1,1000,2,5</v>
      </c>
      <c r="AL534" s="26" t="str">
        <f t="shared" ref="AL534" si="3830">CR$12</f>
        <v>5,5,5,5,5,5,5,5,5,5</v>
      </c>
      <c r="AM534" s="7">
        <v>2001</v>
      </c>
      <c r="AO534">
        <f t="shared" ref="AO534" si="3831">AQ534*100+9</f>
        <v>5909</v>
      </c>
      <c r="AP534">
        <v>530</v>
      </c>
      <c r="AQ534">
        <f t="shared" si="3701"/>
        <v>59</v>
      </c>
      <c r="AR534">
        <v>10</v>
      </c>
      <c r="AS534" s="17">
        <f t="shared" si="3782"/>
        <v>370</v>
      </c>
      <c r="AT534">
        <v>9</v>
      </c>
      <c r="AU534">
        <f t="shared" si="3702"/>
        <v>30</v>
      </c>
      <c r="AV534">
        <v>150</v>
      </c>
      <c r="AW534">
        <f t="shared" si="3703"/>
        <v>82039.726080000008</v>
      </c>
      <c r="AX534">
        <f t="shared" ref="AX534:AX597" si="3832">BC534</f>
        <v>450528000</v>
      </c>
      <c r="AY534">
        <f t="shared" si="3704"/>
        <v>7508.7999999999993</v>
      </c>
      <c r="AZ534">
        <f t="shared" si="3705"/>
        <v>15017.599999999999</v>
      </c>
      <c r="BA534">
        <f t="shared" si="3706"/>
        <v>94848.000000000015</v>
      </c>
      <c r="BB534">
        <f t="shared" si="3707"/>
        <v>3754.3999999999996</v>
      </c>
      <c r="BC534">
        <f t="shared" ref="BC534:BC597" si="3833">90/1.5*AZ534*(1/(1+AZ534/(5*BB534)))*6*AV534</f>
        <v>450528000</v>
      </c>
      <c r="BD534">
        <f t="shared" si="3708"/>
        <v>0.29411764705882354</v>
      </c>
      <c r="BE534" s="27">
        <f t="shared" ref="BE534:BE597" si="3834">BC534/10000/(1-BD534)/1*AZ534/L534*(1+0.1*0.5)*0.9*1</f>
        <v>603852049.38240004</v>
      </c>
      <c r="BF534" s="30">
        <f t="shared" si="3709"/>
        <v>0.44159999999999999</v>
      </c>
      <c r="BG534" s="27"/>
      <c r="BH534" s="27"/>
      <c r="BI534" s="27"/>
      <c r="CA534" s="20">
        <f t="shared" si="3710"/>
        <v>390</v>
      </c>
      <c r="CB534" s="20">
        <f t="shared" si="3711"/>
        <v>39000</v>
      </c>
    </row>
    <row r="535" spans="1:80" x14ac:dyDescent="0.15">
      <c r="A535">
        <v>6001</v>
      </c>
      <c r="B535" s="3" t="s">
        <v>108</v>
      </c>
      <c r="C535" s="4" t="s">
        <v>109</v>
      </c>
      <c r="D535" s="4" t="s">
        <v>110</v>
      </c>
      <c r="E535" s="5">
        <v>3</v>
      </c>
      <c r="F535" s="7" t="s">
        <v>141</v>
      </c>
      <c r="G535" s="5">
        <v>2.5</v>
      </c>
      <c r="H535" s="7" t="s">
        <v>194</v>
      </c>
      <c r="I535" s="5">
        <v>0</v>
      </c>
      <c r="J535" s="5">
        <v>0</v>
      </c>
      <c r="K535">
        <v>2</v>
      </c>
      <c r="L535">
        <v>1.5</v>
      </c>
      <c r="M535" s="5">
        <v>1.5</v>
      </c>
      <c r="N535" s="5">
        <v>10</v>
      </c>
      <c r="O535" s="5">
        <f t="shared" si="3691"/>
        <v>74607</v>
      </c>
      <c r="P535" s="5">
        <f t="shared" si="3692"/>
        <v>409032000</v>
      </c>
      <c r="Q535" s="5">
        <f t="shared" si="3693"/>
        <v>6817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70011</v>
      </c>
      <c r="X535" s="6" t="s">
        <v>179</v>
      </c>
      <c r="Y535" s="5">
        <v>300</v>
      </c>
      <c r="Z535" s="5">
        <v>1</v>
      </c>
      <c r="AA535" s="5">
        <v>145986553</v>
      </c>
      <c r="AB535" s="16" t="s">
        <v>111</v>
      </c>
      <c r="AC535" s="7" t="s">
        <v>112</v>
      </c>
      <c r="AD535" s="7" t="s">
        <v>112</v>
      </c>
      <c r="AE535" s="7" t="s">
        <v>112</v>
      </c>
      <c r="AF535" s="6" t="s">
        <v>113</v>
      </c>
      <c r="AG535" s="26" t="str">
        <f t="shared" ref="AG535" si="3835">CM$4</f>
        <v>4,33,28,33,6,4,33,28,33,6</v>
      </c>
      <c r="AH535" s="26" t="str">
        <f t="shared" ref="AH535" si="3836">CN$4</f>
        <v>0,8,0,8,1,0,8,0,8,1</v>
      </c>
      <c r="AI535" s="26" t="str">
        <f t="shared" ref="AI535" si="3837">CO$4</f>
        <v>0,0,0,0,1,0,0,0,0,1</v>
      </c>
      <c r="AJ535" s="26" t="str">
        <f t="shared" ref="AJ535" si="3838">CP$4</f>
        <v>0,0,0,0,5,0,0,0,0,5</v>
      </c>
      <c r="AK535" s="26" t="str">
        <f t="shared" ref="AK535" si="3839">CQ$4</f>
        <v>100,1,1000,2,5,200,1,1000,2,5</v>
      </c>
      <c r="AL535" s="26" t="str">
        <f t="shared" ref="AL535" si="3840">CR$4</f>
        <v>5,5,5,5,5,5,5,5,5,5</v>
      </c>
      <c r="AM535" s="7">
        <v>2001</v>
      </c>
      <c r="AO535">
        <f t="shared" ref="AO535" si="3841">AQ535*100+1</f>
        <v>6001</v>
      </c>
      <c r="AP535">
        <v>531</v>
      </c>
      <c r="AQ535">
        <f t="shared" si="3701"/>
        <v>60</v>
      </c>
      <c r="AR535">
        <v>10</v>
      </c>
      <c r="AS535" s="17">
        <f t="shared" si="3782"/>
        <v>335</v>
      </c>
      <c r="AT535">
        <v>9</v>
      </c>
      <c r="AU535">
        <f t="shared" si="3702"/>
        <v>32</v>
      </c>
      <c r="AV535">
        <v>150</v>
      </c>
      <c r="AW535">
        <f t="shared" si="3703"/>
        <v>74607.43680000001</v>
      </c>
      <c r="AX535">
        <f t="shared" si="3832"/>
        <v>409032000</v>
      </c>
      <c r="AY535">
        <f t="shared" si="3704"/>
        <v>6817.2</v>
      </c>
      <c r="AZ535">
        <f t="shared" si="3705"/>
        <v>13634.4</v>
      </c>
      <c r="BA535">
        <f t="shared" si="3706"/>
        <v>86112.000000000015</v>
      </c>
      <c r="BB535">
        <f t="shared" si="3707"/>
        <v>3408.6</v>
      </c>
      <c r="BC535">
        <f t="shared" si="3833"/>
        <v>409032000</v>
      </c>
      <c r="BD535">
        <f t="shared" si="3708"/>
        <v>0.29411764705882354</v>
      </c>
      <c r="BE535" s="27">
        <f t="shared" si="3834"/>
        <v>497738851.64640003</v>
      </c>
      <c r="BF535" s="30">
        <f t="shared" si="3709"/>
        <v>0.44399999999999995</v>
      </c>
      <c r="BG535" s="27"/>
      <c r="BH535" s="27"/>
      <c r="BI535" s="27"/>
      <c r="CA535" s="20">
        <f t="shared" si="3710"/>
        <v>395</v>
      </c>
      <c r="CB535" s="20">
        <f t="shared" si="3711"/>
        <v>39500</v>
      </c>
    </row>
    <row r="536" spans="1:80" x14ac:dyDescent="0.15">
      <c r="A536">
        <v>6002</v>
      </c>
      <c r="B536" s="3" t="s">
        <v>115</v>
      </c>
      <c r="C536" s="4" t="s">
        <v>109</v>
      </c>
      <c r="D536" s="6" t="s">
        <v>110</v>
      </c>
      <c r="E536" s="5">
        <v>3</v>
      </c>
      <c r="F536" s="7" t="s">
        <v>142</v>
      </c>
      <c r="G536" s="5">
        <v>3</v>
      </c>
      <c r="H536" s="7" t="s">
        <v>188</v>
      </c>
      <c r="I536" s="5">
        <v>0</v>
      </c>
      <c r="J536" s="5">
        <v>0</v>
      </c>
      <c r="K536">
        <v>2</v>
      </c>
      <c r="L536">
        <v>1.5</v>
      </c>
      <c r="M536" s="5">
        <v>1.5</v>
      </c>
      <c r="N536" s="5">
        <v>10</v>
      </c>
      <c r="O536" s="5">
        <f t="shared" si="3691"/>
        <v>75688</v>
      </c>
      <c r="P536" s="5">
        <f t="shared" si="3692"/>
        <v>414960000</v>
      </c>
      <c r="Q536" s="5">
        <f t="shared" si="3693"/>
        <v>6916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70021</v>
      </c>
      <c r="X536" s="6" t="s">
        <v>180</v>
      </c>
      <c r="Y536" s="5">
        <v>300</v>
      </c>
      <c r="Z536" s="5">
        <v>1</v>
      </c>
      <c r="AA536" s="5">
        <v>118619505</v>
      </c>
      <c r="AB536" s="16" t="s">
        <v>111</v>
      </c>
      <c r="AC536" s="7" t="s">
        <v>112</v>
      </c>
      <c r="AD536" s="7" t="s">
        <v>112</v>
      </c>
      <c r="AE536" s="7" t="s">
        <v>112</v>
      </c>
      <c r="AF536" s="6" t="s">
        <v>113</v>
      </c>
      <c r="AG536" s="26" t="str">
        <f t="shared" ref="AG536" si="3842">CM$5</f>
        <v>4,33,28,33,6,4,33,28,33,6</v>
      </c>
      <c r="AH536" s="26" t="str">
        <f t="shared" ref="AH536" si="3843">CN$5</f>
        <v>0,7,0,7,1,0,7,0,7,1</v>
      </c>
      <c r="AI536" s="26" t="str">
        <f t="shared" ref="AI536" si="3844">CO$5</f>
        <v>0,0,0,0,1,0,0,0,0,1</v>
      </c>
      <c r="AJ536" s="26" t="str">
        <f t="shared" ref="AJ536" si="3845">CP$5</f>
        <v>0,0,0,0,5,0,0,0,0,5</v>
      </c>
      <c r="AK536" s="26" t="str">
        <f t="shared" ref="AK536" si="3846">CQ$5</f>
        <v>100,1,1000,2,5,200,1,1000,2,5</v>
      </c>
      <c r="AL536" s="26" t="str">
        <f t="shared" ref="AL536" si="3847">CR$5</f>
        <v>5,5,5,5,5,5,5,5,5,5</v>
      </c>
      <c r="AM536" s="7">
        <v>2001</v>
      </c>
      <c r="AO536">
        <f t="shared" ref="AO536" si="3848">AQ536*100+2</f>
        <v>6002</v>
      </c>
      <c r="AP536">
        <v>532</v>
      </c>
      <c r="AQ536">
        <f t="shared" si="3701"/>
        <v>60</v>
      </c>
      <c r="AR536">
        <v>10</v>
      </c>
      <c r="AS536" s="17">
        <f t="shared" si="3782"/>
        <v>340</v>
      </c>
      <c r="AT536">
        <v>9</v>
      </c>
      <c r="AU536">
        <f t="shared" si="3702"/>
        <v>32</v>
      </c>
      <c r="AV536">
        <v>150</v>
      </c>
      <c r="AW536">
        <f t="shared" si="3703"/>
        <v>75688.704000000012</v>
      </c>
      <c r="AX536">
        <f t="shared" si="3832"/>
        <v>414960000</v>
      </c>
      <c r="AY536">
        <f t="shared" si="3704"/>
        <v>6916</v>
      </c>
      <c r="AZ536">
        <f t="shared" si="3705"/>
        <v>13832</v>
      </c>
      <c r="BA536">
        <f t="shared" si="3706"/>
        <v>87360.000000000015</v>
      </c>
      <c r="BB536">
        <f t="shared" si="3707"/>
        <v>3458</v>
      </c>
      <c r="BC536">
        <f t="shared" si="3833"/>
        <v>414960000</v>
      </c>
      <c r="BD536">
        <f t="shared" si="3708"/>
        <v>0.29411764705882354</v>
      </c>
      <c r="BE536" s="27">
        <f t="shared" si="3834"/>
        <v>512270609.76000011</v>
      </c>
      <c r="BF536" s="30">
        <f t="shared" si="3709"/>
        <v>0.44399999999999995</v>
      </c>
      <c r="BG536" s="27"/>
      <c r="BH536" s="27"/>
      <c r="BI536" s="27"/>
      <c r="CA536" s="20">
        <f t="shared" si="3710"/>
        <v>395</v>
      </c>
      <c r="CB536" s="20">
        <f t="shared" si="3711"/>
        <v>39500</v>
      </c>
    </row>
    <row r="537" spans="1:80" x14ac:dyDescent="0.15">
      <c r="A537">
        <v>6003</v>
      </c>
      <c r="B537" s="3" t="s">
        <v>117</v>
      </c>
      <c r="C537" s="4" t="s">
        <v>109</v>
      </c>
      <c r="D537" s="4" t="s">
        <v>110</v>
      </c>
      <c r="E537" s="5">
        <v>1</v>
      </c>
      <c r="F537" s="7" t="s">
        <v>144</v>
      </c>
      <c r="G537" s="5">
        <v>3</v>
      </c>
      <c r="H537" s="7" t="s">
        <v>189</v>
      </c>
      <c r="I537" s="5">
        <v>0</v>
      </c>
      <c r="J537" s="2">
        <v>0</v>
      </c>
      <c r="K537">
        <v>6</v>
      </c>
      <c r="L537">
        <v>1.5</v>
      </c>
      <c r="M537" s="5">
        <v>1.5</v>
      </c>
      <c r="N537" s="5">
        <v>10</v>
      </c>
      <c r="O537" s="5">
        <f t="shared" si="3691"/>
        <v>76769</v>
      </c>
      <c r="P537" s="5">
        <f t="shared" si="3692"/>
        <v>420888000</v>
      </c>
      <c r="Q537" s="5">
        <f t="shared" si="3693"/>
        <v>7014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70031</v>
      </c>
      <c r="X537" s="6" t="s">
        <v>181</v>
      </c>
      <c r="Y537" s="5">
        <v>300</v>
      </c>
      <c r="Z537" s="5">
        <v>1</v>
      </c>
      <c r="AA537" s="5">
        <v>122355324</v>
      </c>
      <c r="AB537" s="16" t="s">
        <v>111</v>
      </c>
      <c r="AC537" s="7" t="s">
        <v>112</v>
      </c>
      <c r="AD537" s="7" t="s">
        <v>112</v>
      </c>
      <c r="AE537" s="7" t="s">
        <v>112</v>
      </c>
      <c r="AF537" s="6" t="s">
        <v>113</v>
      </c>
      <c r="AG537" s="26" t="str">
        <f t="shared" ref="AG537" si="3849">CM$6</f>
        <v>4,28,6,28,6,4,28,6,28,6</v>
      </c>
      <c r="AH537" s="26" t="str">
        <f t="shared" ref="AH537" si="3850">CN$6</f>
        <v>0,0,1,0,1,0,0,1,0,1</v>
      </c>
      <c r="AI537" s="26" t="str">
        <f t="shared" ref="AI537" si="3851">CO$6</f>
        <v>0,0,0,0,1,0,0,0,0,1</v>
      </c>
      <c r="AJ537" s="26" t="str">
        <f t="shared" ref="AJ537" si="3852">CP$6</f>
        <v>0,0,5,0,5,0,0,5,0,5</v>
      </c>
      <c r="AK537" s="26" t="str">
        <f t="shared" ref="AK537" si="3853">CQ$6</f>
        <v>100,1000,5,1500,5,200,1000,5,1500,5</v>
      </c>
      <c r="AL537" s="26" t="str">
        <f t="shared" ref="AL537" si="3854">CR$6</f>
        <v>5,5,5,5,5,5,5,5,5,5</v>
      </c>
      <c r="AM537" s="7">
        <v>2001</v>
      </c>
      <c r="AO537">
        <f t="shared" ref="AO537" si="3855">AQ537*100+3</f>
        <v>6003</v>
      </c>
      <c r="AP537">
        <v>533</v>
      </c>
      <c r="AQ537">
        <f t="shared" si="3701"/>
        <v>60</v>
      </c>
      <c r="AR537">
        <v>10</v>
      </c>
      <c r="AS537" s="17">
        <f t="shared" si="3782"/>
        <v>345</v>
      </c>
      <c r="AT537">
        <v>9</v>
      </c>
      <c r="AU537">
        <f t="shared" si="3702"/>
        <v>32</v>
      </c>
      <c r="AV537">
        <v>150</v>
      </c>
      <c r="AW537">
        <f t="shared" si="3703"/>
        <v>76769.971200000015</v>
      </c>
      <c r="AX537">
        <f t="shared" si="3832"/>
        <v>420888000</v>
      </c>
      <c r="AY537">
        <f t="shared" si="3704"/>
        <v>7014.7999999999993</v>
      </c>
      <c r="AZ537">
        <f t="shared" si="3705"/>
        <v>14029.599999999999</v>
      </c>
      <c r="BA537">
        <f t="shared" si="3706"/>
        <v>88608.000000000015</v>
      </c>
      <c r="BB537">
        <f t="shared" si="3707"/>
        <v>3507.3999999999996</v>
      </c>
      <c r="BC537">
        <f t="shared" si="3833"/>
        <v>420888000</v>
      </c>
      <c r="BD537">
        <f t="shared" si="3708"/>
        <v>0.29411764705882354</v>
      </c>
      <c r="BE537" s="27">
        <f t="shared" si="3834"/>
        <v>527011457.91840011</v>
      </c>
      <c r="BF537" s="30">
        <f t="shared" si="3709"/>
        <v>0.44399999999999995</v>
      </c>
      <c r="BG537" s="27"/>
      <c r="BH537" s="27"/>
      <c r="BI537" s="27"/>
      <c r="CA537" s="20">
        <f t="shared" si="3710"/>
        <v>395</v>
      </c>
      <c r="CB537" s="20">
        <f t="shared" si="3711"/>
        <v>39500</v>
      </c>
    </row>
    <row r="538" spans="1:80" x14ac:dyDescent="0.15">
      <c r="A538">
        <v>6004</v>
      </c>
      <c r="B538" s="3" t="s">
        <v>119</v>
      </c>
      <c r="C538" s="4" t="s">
        <v>109</v>
      </c>
      <c r="D538" s="6" t="s">
        <v>120</v>
      </c>
      <c r="E538" s="5">
        <v>3</v>
      </c>
      <c r="F538" s="7" t="s">
        <v>145</v>
      </c>
      <c r="G538" s="5">
        <v>3</v>
      </c>
      <c r="H538" s="7" t="s">
        <v>190</v>
      </c>
      <c r="I538" s="5">
        <v>0</v>
      </c>
      <c r="J538" s="5">
        <v>0</v>
      </c>
      <c r="K538">
        <v>2</v>
      </c>
      <c r="L538">
        <v>1.5</v>
      </c>
      <c r="M538" s="5">
        <v>1.5</v>
      </c>
      <c r="N538" s="5">
        <v>10</v>
      </c>
      <c r="O538" s="5">
        <f t="shared" si="3691"/>
        <v>77851</v>
      </c>
      <c r="P538" s="5">
        <f t="shared" si="3692"/>
        <v>426816000</v>
      </c>
      <c r="Q538" s="5">
        <f t="shared" si="3693"/>
        <v>7113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70041</v>
      </c>
      <c r="X538" s="6" t="s">
        <v>182</v>
      </c>
      <c r="Y538" s="5">
        <v>300</v>
      </c>
      <c r="Z538" s="5">
        <v>1</v>
      </c>
      <c r="AA538" s="5">
        <v>126149063</v>
      </c>
      <c r="AB538" s="16" t="s">
        <v>111</v>
      </c>
      <c r="AC538" s="7" t="s">
        <v>112</v>
      </c>
      <c r="AD538" s="7" t="s">
        <v>112</v>
      </c>
      <c r="AE538" s="7" t="s">
        <v>112</v>
      </c>
      <c r="AF538" s="6" t="s">
        <v>113</v>
      </c>
      <c r="AG538" s="26" t="str">
        <f t="shared" ref="AG538" si="3856">CM$7</f>
        <v>4,14,28,14,6,4,14,28,14,6</v>
      </c>
      <c r="AH538" s="26" t="str">
        <f t="shared" ref="AH538" si="3857">CN$7</f>
        <v>0,0,0,0,1,0,0,0,0,1</v>
      </c>
      <c r="AI538" s="26" t="str">
        <f t="shared" ref="AI538" si="3858">CO$7</f>
        <v>0,0,0,0,1,0,0,0,0,1</v>
      </c>
      <c r="AJ538" s="26" t="str">
        <f t="shared" ref="AJ538" si="3859">CP$7</f>
        <v>0,0,0,0,5,0,0,0,0,5</v>
      </c>
      <c r="AK538" s="26" t="str">
        <f t="shared" ref="AK538" si="3860">CQ$7</f>
        <v>100,1,1000,2,5,200,1,1000,2,5</v>
      </c>
      <c r="AL538" s="26" t="str">
        <f t="shared" ref="AL538" si="3861">CR$7</f>
        <v>5,5,5,5,5,5,5,5,5,5</v>
      </c>
      <c r="AM538" s="7">
        <v>2001</v>
      </c>
      <c r="AO538">
        <f t="shared" ref="AO538" si="3862">AQ538*100+4</f>
        <v>6004</v>
      </c>
      <c r="AP538">
        <v>534</v>
      </c>
      <c r="AQ538">
        <f t="shared" si="3701"/>
        <v>60</v>
      </c>
      <c r="AR538">
        <v>10</v>
      </c>
      <c r="AS538" s="17">
        <f t="shared" si="3782"/>
        <v>350</v>
      </c>
      <c r="AT538">
        <v>9</v>
      </c>
      <c r="AU538">
        <f t="shared" si="3702"/>
        <v>32</v>
      </c>
      <c r="AV538">
        <v>150</v>
      </c>
      <c r="AW538">
        <f t="shared" si="3703"/>
        <v>77851.238400000002</v>
      </c>
      <c r="AX538">
        <f t="shared" si="3832"/>
        <v>426815999.99999994</v>
      </c>
      <c r="AY538">
        <f t="shared" si="3704"/>
        <v>7113.5999999999995</v>
      </c>
      <c r="AZ538">
        <f t="shared" si="3705"/>
        <v>14227.199999999999</v>
      </c>
      <c r="BA538">
        <f t="shared" si="3706"/>
        <v>89856.000000000015</v>
      </c>
      <c r="BB538">
        <f t="shared" si="3707"/>
        <v>3556.7999999999997</v>
      </c>
      <c r="BC538">
        <f t="shared" si="3833"/>
        <v>426815999.99999994</v>
      </c>
      <c r="BD538">
        <f t="shared" si="3708"/>
        <v>0.29411764705882354</v>
      </c>
      <c r="BE538" s="27">
        <f t="shared" si="3834"/>
        <v>541961396.12159991</v>
      </c>
      <c r="BF538" s="30">
        <f t="shared" si="3709"/>
        <v>0.44399999999999995</v>
      </c>
      <c r="BG538" s="27"/>
      <c r="BH538" s="27"/>
      <c r="BI538" s="27"/>
      <c r="CA538" s="20">
        <f t="shared" si="3710"/>
        <v>395</v>
      </c>
      <c r="CB538" s="20">
        <f t="shared" si="3711"/>
        <v>39500</v>
      </c>
    </row>
    <row r="539" spans="1:80" x14ac:dyDescent="0.15">
      <c r="A539">
        <v>6005</v>
      </c>
      <c r="B539" s="3" t="s">
        <v>122</v>
      </c>
      <c r="C539" s="4" t="s">
        <v>109</v>
      </c>
      <c r="D539" s="4" t="s">
        <v>110</v>
      </c>
      <c r="E539" s="5">
        <v>2</v>
      </c>
      <c r="F539" s="7" t="s">
        <v>146</v>
      </c>
      <c r="G539" s="5">
        <v>3</v>
      </c>
      <c r="H539" s="7" t="s">
        <v>191</v>
      </c>
      <c r="I539" s="5">
        <v>0</v>
      </c>
      <c r="J539" s="7" t="s">
        <v>148</v>
      </c>
      <c r="K539">
        <v>6</v>
      </c>
      <c r="L539">
        <v>1.5</v>
      </c>
      <c r="M539" s="5">
        <v>1.5</v>
      </c>
      <c r="N539" s="5">
        <v>10</v>
      </c>
      <c r="O539" s="5">
        <f t="shared" si="3691"/>
        <v>78932</v>
      </c>
      <c r="P539" s="5">
        <f t="shared" si="3692"/>
        <v>432744000</v>
      </c>
      <c r="Q539" s="5">
        <f t="shared" si="3693"/>
        <v>7212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70051</v>
      </c>
      <c r="X539" s="6" t="s">
        <v>183</v>
      </c>
      <c r="Y539" s="5">
        <v>300</v>
      </c>
      <c r="Z539" s="5">
        <v>1</v>
      </c>
      <c r="AA539" s="5">
        <v>130000722</v>
      </c>
      <c r="AB539" s="16" t="s">
        <v>111</v>
      </c>
      <c r="AC539" s="7" t="s">
        <v>112</v>
      </c>
      <c r="AD539" s="7" t="s">
        <v>112</v>
      </c>
      <c r="AE539" s="7" t="s">
        <v>112</v>
      </c>
      <c r="AF539" s="6" t="s">
        <v>113</v>
      </c>
      <c r="AG539" s="26" t="str">
        <f t="shared" ref="AG539" si="3863">CM$8</f>
        <v>4,19,28,19,6,4,19,28,19,6</v>
      </c>
      <c r="AH539" s="26" t="str">
        <f t="shared" ref="AH539" si="3864">CN$8</f>
        <v>0,0,0,0,1,0,0,0,0,1</v>
      </c>
      <c r="AI539" s="26" t="str">
        <f t="shared" ref="AI539" si="3865">CO$8</f>
        <v>0,0,0,0,1,0,0,0,0,1</v>
      </c>
      <c r="AJ539" s="26" t="str">
        <f t="shared" ref="AJ539" si="3866">CP$8</f>
        <v>0,0,0,0,5,0,0,0,0,5</v>
      </c>
      <c r="AK539" s="26" t="str">
        <f t="shared" ref="AK539" si="3867">CQ$8</f>
        <v>200,100,1000,200,5,200,100,1000,200,5</v>
      </c>
      <c r="AL539" s="26" t="str">
        <f t="shared" ref="AL539" si="3868">CR$8</f>
        <v>5,5,5,5,5,5,5,5,5,5</v>
      </c>
      <c r="AM539" s="7">
        <v>2001</v>
      </c>
      <c r="AO539">
        <f t="shared" ref="AO539" si="3869">AQ539*100+5</f>
        <v>6005</v>
      </c>
      <c r="AP539">
        <v>535</v>
      </c>
      <c r="AQ539">
        <f t="shared" si="3701"/>
        <v>60</v>
      </c>
      <c r="AR539">
        <v>10</v>
      </c>
      <c r="AS539" s="17">
        <f t="shared" si="3782"/>
        <v>355</v>
      </c>
      <c r="AT539">
        <v>9</v>
      </c>
      <c r="AU539">
        <f t="shared" si="3702"/>
        <v>32</v>
      </c>
      <c r="AV539">
        <v>150</v>
      </c>
      <c r="AW539">
        <f t="shared" si="3703"/>
        <v>78932.505600000004</v>
      </c>
      <c r="AX539">
        <f t="shared" si="3832"/>
        <v>432744000</v>
      </c>
      <c r="AY539">
        <f t="shared" si="3704"/>
        <v>7212.4</v>
      </c>
      <c r="AZ539">
        <f t="shared" si="3705"/>
        <v>14424.8</v>
      </c>
      <c r="BA539">
        <f t="shared" si="3706"/>
        <v>91104.000000000015</v>
      </c>
      <c r="BB539">
        <f t="shared" si="3707"/>
        <v>3606.2</v>
      </c>
      <c r="BC539">
        <f t="shared" si="3833"/>
        <v>432744000</v>
      </c>
      <c r="BD539">
        <f t="shared" si="3708"/>
        <v>0.29411764705882359</v>
      </c>
      <c r="BE539" s="27">
        <f t="shared" si="3834"/>
        <v>557120424.36960006</v>
      </c>
      <c r="BF539" s="30">
        <f t="shared" si="3709"/>
        <v>0.44399999999999995</v>
      </c>
      <c r="BG539" s="27"/>
      <c r="BH539" s="27"/>
      <c r="BI539" s="27"/>
      <c r="CA539" s="20">
        <f t="shared" si="3710"/>
        <v>395</v>
      </c>
      <c r="CB539" s="20">
        <f t="shared" si="3711"/>
        <v>39500</v>
      </c>
    </row>
    <row r="540" spans="1:80" x14ac:dyDescent="0.15">
      <c r="A540">
        <v>6006</v>
      </c>
      <c r="B540" s="3" t="s">
        <v>124</v>
      </c>
      <c r="C540" s="4" t="s">
        <v>109</v>
      </c>
      <c r="D540" s="6" t="s">
        <v>120</v>
      </c>
      <c r="E540" s="5">
        <v>1</v>
      </c>
      <c r="F540" s="7" t="s">
        <v>147</v>
      </c>
      <c r="G540" s="5">
        <v>3</v>
      </c>
      <c r="H540" s="7" t="s">
        <v>192</v>
      </c>
      <c r="I540" s="5">
        <v>0</v>
      </c>
      <c r="J540" s="7" t="s">
        <v>149</v>
      </c>
      <c r="K540">
        <v>6</v>
      </c>
      <c r="L540">
        <v>1.5</v>
      </c>
      <c r="M540" s="5">
        <v>1.5</v>
      </c>
      <c r="N540" s="5">
        <v>10</v>
      </c>
      <c r="O540" s="5">
        <f t="shared" si="3691"/>
        <v>80013</v>
      </c>
      <c r="P540" s="5">
        <f t="shared" si="3692"/>
        <v>438672000</v>
      </c>
      <c r="Q540" s="5">
        <f t="shared" si="3693"/>
        <v>7311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70061</v>
      </c>
      <c r="X540" s="6" t="s">
        <v>184</v>
      </c>
      <c r="Y540" s="5">
        <v>300</v>
      </c>
      <c r="Z540" s="5">
        <v>1</v>
      </c>
      <c r="AA540" s="5">
        <v>133910300</v>
      </c>
      <c r="AB540" s="16" t="s">
        <v>111</v>
      </c>
      <c r="AC540" s="7" t="s">
        <v>112</v>
      </c>
      <c r="AD540" s="7" t="s">
        <v>112</v>
      </c>
      <c r="AE540" s="7" t="s">
        <v>112</v>
      </c>
      <c r="AF540" s="6" t="s">
        <v>113</v>
      </c>
      <c r="AG540" s="26" t="str">
        <f t="shared" ref="AG540" si="3870">CM$9</f>
        <v>4,33,28,33,6,4,33,28,33,6</v>
      </c>
      <c r="AH540" s="26" t="str">
        <f t="shared" ref="AH540" si="3871">CN$9</f>
        <v>0,6,0,6,1,0,6,0,6,1</v>
      </c>
      <c r="AI540" s="26" t="str">
        <f t="shared" ref="AI540" si="3872">CO$9</f>
        <v>0,0,0,0,1,0,0,0,0,1</v>
      </c>
      <c r="AJ540" s="26" t="str">
        <f t="shared" ref="AJ540" si="3873">CP$9</f>
        <v>0,0,0,0,5,0,0,0,0,5</v>
      </c>
      <c r="AK540" s="26" t="str">
        <f t="shared" ref="AK540" si="3874">CQ$9</f>
        <v>200,1,1000,2,5,200,1,1000,2,5</v>
      </c>
      <c r="AL540" s="26" t="str">
        <f t="shared" ref="AL540" si="3875">CR$9</f>
        <v>5,5,5,5,5,5,5,5,5,5</v>
      </c>
      <c r="AM540" s="7">
        <v>2001</v>
      </c>
      <c r="AO540">
        <f t="shared" ref="AO540" si="3876">AQ540*100+6</f>
        <v>6006</v>
      </c>
      <c r="AP540">
        <v>536</v>
      </c>
      <c r="AQ540">
        <f t="shared" si="3701"/>
        <v>60</v>
      </c>
      <c r="AR540">
        <v>10</v>
      </c>
      <c r="AS540" s="17">
        <f t="shared" si="3782"/>
        <v>360</v>
      </c>
      <c r="AT540">
        <v>9</v>
      </c>
      <c r="AU540">
        <f t="shared" si="3702"/>
        <v>32</v>
      </c>
      <c r="AV540">
        <v>150</v>
      </c>
      <c r="AW540">
        <f t="shared" si="3703"/>
        <v>80013.772800000006</v>
      </c>
      <c r="AX540">
        <f t="shared" si="3832"/>
        <v>438672000</v>
      </c>
      <c r="AY540">
        <f t="shared" si="3704"/>
        <v>7311.2</v>
      </c>
      <c r="AZ540">
        <f t="shared" si="3705"/>
        <v>14622.4</v>
      </c>
      <c r="BA540">
        <f t="shared" si="3706"/>
        <v>92352.000000000015</v>
      </c>
      <c r="BB540">
        <f t="shared" si="3707"/>
        <v>3655.6</v>
      </c>
      <c r="BC540">
        <f t="shared" si="3833"/>
        <v>438672000</v>
      </c>
      <c r="BD540">
        <f t="shared" si="3708"/>
        <v>0.29411764705882354</v>
      </c>
      <c r="BE540" s="27">
        <f t="shared" si="3834"/>
        <v>572488542.66240001</v>
      </c>
      <c r="BF540" s="30">
        <f t="shared" si="3709"/>
        <v>0.44399999999999995</v>
      </c>
      <c r="BG540" s="27"/>
      <c r="BH540" s="27"/>
      <c r="BI540" s="27"/>
      <c r="CA540" s="20">
        <f t="shared" si="3710"/>
        <v>395</v>
      </c>
      <c r="CB540" s="20">
        <f t="shared" si="3711"/>
        <v>39500</v>
      </c>
    </row>
    <row r="541" spans="1:80" x14ac:dyDescent="0.15">
      <c r="A541">
        <v>6007</v>
      </c>
      <c r="B541" s="3" t="s">
        <v>126</v>
      </c>
      <c r="C541" s="4" t="s">
        <v>109</v>
      </c>
      <c r="D541" s="4" t="s">
        <v>110</v>
      </c>
      <c r="E541" s="5">
        <v>2</v>
      </c>
      <c r="F541" s="7" t="s">
        <v>143</v>
      </c>
      <c r="G541" s="5">
        <v>3</v>
      </c>
      <c r="H541" s="7" t="s">
        <v>193</v>
      </c>
      <c r="I541" s="5">
        <v>0</v>
      </c>
      <c r="J541" s="5">
        <v>0</v>
      </c>
      <c r="K541">
        <v>2</v>
      </c>
      <c r="L541">
        <v>1.5</v>
      </c>
      <c r="M541" s="5">
        <v>1.5</v>
      </c>
      <c r="N541" s="5">
        <v>10</v>
      </c>
      <c r="O541" s="5">
        <f t="shared" si="3691"/>
        <v>81095</v>
      </c>
      <c r="P541" s="5">
        <f t="shared" si="3692"/>
        <v>444600000</v>
      </c>
      <c r="Q541" s="5">
        <f t="shared" si="3693"/>
        <v>7410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70071</v>
      </c>
      <c r="X541" s="6" t="s">
        <v>185</v>
      </c>
      <c r="Y541" s="5">
        <v>300</v>
      </c>
      <c r="Z541" s="5">
        <v>1</v>
      </c>
      <c r="AA541" s="5">
        <v>137877798</v>
      </c>
      <c r="AB541" s="16" t="s">
        <v>111</v>
      </c>
      <c r="AC541" s="7" t="s">
        <v>112</v>
      </c>
      <c r="AD541" s="7" t="s">
        <v>112</v>
      </c>
      <c r="AE541" s="7" t="s">
        <v>112</v>
      </c>
      <c r="AF541" s="6" t="s">
        <v>113</v>
      </c>
      <c r="AG541" s="26" t="str">
        <f t="shared" ref="AG541" si="3877">CM$10</f>
        <v>4,14,28,14,6,4,14,28,14,6</v>
      </c>
      <c r="AH541" s="26" t="str">
        <f t="shared" ref="AH541" si="3878">CN$10</f>
        <v>0,0,0,0,1,0,0,0,0,1</v>
      </c>
      <c r="AI541" s="26" t="str">
        <f t="shared" ref="AI541" si="3879">CO$10</f>
        <v>0,0,0,0,1,0,0,0,0,1</v>
      </c>
      <c r="AJ541" s="26" t="str">
        <f t="shared" ref="AJ541" si="3880">CP$10</f>
        <v>0,0,0,0,5,0,0,0,0,5</v>
      </c>
      <c r="AK541" s="26" t="str">
        <f t="shared" ref="AK541" si="3881">CQ$10</f>
        <v>200,1,1000,2,5,200,1,1000,2,5</v>
      </c>
      <c r="AL541" s="26" t="str">
        <f t="shared" ref="AL541" si="3882">CR$10</f>
        <v>5,5,5,5,5,5,5,5,5,5</v>
      </c>
      <c r="AM541" s="7">
        <v>2001</v>
      </c>
      <c r="AO541">
        <f t="shared" ref="AO541" si="3883">AQ541*100+7</f>
        <v>6007</v>
      </c>
      <c r="AP541">
        <v>537</v>
      </c>
      <c r="AQ541">
        <f t="shared" si="3701"/>
        <v>60</v>
      </c>
      <c r="AR541">
        <v>10</v>
      </c>
      <c r="AS541" s="17">
        <f t="shared" si="3782"/>
        <v>365</v>
      </c>
      <c r="AT541">
        <v>9</v>
      </c>
      <c r="AU541">
        <f t="shared" si="3702"/>
        <v>32</v>
      </c>
      <c r="AV541">
        <v>150</v>
      </c>
      <c r="AW541">
        <f t="shared" si="3703"/>
        <v>81095.040000000008</v>
      </c>
      <c r="AX541">
        <f t="shared" si="3832"/>
        <v>444600000</v>
      </c>
      <c r="AY541">
        <f t="shared" si="3704"/>
        <v>7410</v>
      </c>
      <c r="AZ541">
        <f t="shared" si="3705"/>
        <v>14820</v>
      </c>
      <c r="BA541">
        <f t="shared" si="3706"/>
        <v>93600.000000000015</v>
      </c>
      <c r="BB541">
        <f t="shared" si="3707"/>
        <v>3705</v>
      </c>
      <c r="BC541">
        <f t="shared" si="3833"/>
        <v>444600000</v>
      </c>
      <c r="BD541">
        <f t="shared" si="3708"/>
        <v>0.29411764705882354</v>
      </c>
      <c r="BE541" s="27">
        <f t="shared" si="3834"/>
        <v>588065751.00000012</v>
      </c>
      <c r="BF541" s="30">
        <f t="shared" si="3709"/>
        <v>0.44399999999999995</v>
      </c>
      <c r="BG541" s="27"/>
      <c r="BH541" s="27"/>
      <c r="BI541" s="27"/>
      <c r="CA541" s="20">
        <f t="shared" si="3710"/>
        <v>395</v>
      </c>
      <c r="CB541" s="20">
        <f t="shared" si="3711"/>
        <v>39500</v>
      </c>
    </row>
    <row r="542" spans="1:80" x14ac:dyDescent="0.15">
      <c r="A542">
        <v>6008</v>
      </c>
      <c r="B542" s="3" t="s">
        <v>128</v>
      </c>
      <c r="C542" s="4" t="s">
        <v>109</v>
      </c>
      <c r="D542" s="4" t="s">
        <v>110</v>
      </c>
      <c r="E542" s="5">
        <v>5</v>
      </c>
      <c r="F542" s="7" t="s">
        <v>129</v>
      </c>
      <c r="G542" s="5">
        <v>2</v>
      </c>
      <c r="H542" s="7" t="s">
        <v>130</v>
      </c>
      <c r="I542" s="5">
        <v>0</v>
      </c>
      <c r="J542" s="5">
        <v>0</v>
      </c>
      <c r="K542">
        <v>2</v>
      </c>
      <c r="L542">
        <v>1.5</v>
      </c>
      <c r="M542" s="5">
        <v>1.5</v>
      </c>
      <c r="N542" s="5">
        <v>10</v>
      </c>
      <c r="O542" s="5">
        <f t="shared" si="3691"/>
        <v>82176</v>
      </c>
      <c r="P542" s="5">
        <f t="shared" si="3692"/>
        <v>450528000</v>
      </c>
      <c r="Q542" s="5">
        <f t="shared" si="3693"/>
        <v>7508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70081</v>
      </c>
      <c r="X542" s="6" t="s">
        <v>186</v>
      </c>
      <c r="Y542" s="5">
        <v>300</v>
      </c>
      <c r="Z542" s="5">
        <v>1</v>
      </c>
      <c r="AA542" s="5">
        <v>141903216</v>
      </c>
      <c r="AB542" s="16" t="s">
        <v>111</v>
      </c>
      <c r="AC542" s="7" t="s">
        <v>112</v>
      </c>
      <c r="AD542" s="7" t="s">
        <v>112</v>
      </c>
      <c r="AE542" s="7" t="s">
        <v>112</v>
      </c>
      <c r="AF542" s="6" t="s">
        <v>113</v>
      </c>
      <c r="AG542" s="26" t="str">
        <f t="shared" ref="AG542" si="3884">CM$11</f>
        <v>4,28,6,28,6,4,28,6,28,6</v>
      </c>
      <c r="AH542" s="26" t="str">
        <f t="shared" ref="AH542" si="3885">CN$11</f>
        <v>0,0,1,0,1,0,0,1,0,1</v>
      </c>
      <c r="AI542" s="26" t="str">
        <f t="shared" ref="AI542" si="3886">CO$11</f>
        <v>0,0,1,0,1,0,0,1,0,1</v>
      </c>
      <c r="AJ542" s="26" t="str">
        <f t="shared" ref="AJ542" si="3887">CP$11</f>
        <v>0,0,5,0,5,0,0,5,0,5</v>
      </c>
      <c r="AK542" s="26" t="str">
        <f t="shared" ref="AK542" si="3888">CQ$11</f>
        <v>100,1000,5,1500,5,200,1000,5,1500,5</v>
      </c>
      <c r="AL542" s="26" t="str">
        <f t="shared" ref="AL542" si="3889">CR$11</f>
        <v>5,5,5,5,5,5,5,5,5,5</v>
      </c>
      <c r="AM542" s="7">
        <v>2001</v>
      </c>
      <c r="AO542">
        <f t="shared" ref="AO542" si="3890">AQ542*100+8</f>
        <v>6008</v>
      </c>
      <c r="AP542">
        <v>538</v>
      </c>
      <c r="AQ542">
        <f t="shared" si="3701"/>
        <v>60</v>
      </c>
      <c r="AR542">
        <v>10</v>
      </c>
      <c r="AS542" s="17">
        <f t="shared" si="3782"/>
        <v>370</v>
      </c>
      <c r="AT542">
        <v>9</v>
      </c>
      <c r="AU542">
        <f t="shared" si="3702"/>
        <v>32</v>
      </c>
      <c r="AV542">
        <v>150</v>
      </c>
      <c r="AW542">
        <f t="shared" si="3703"/>
        <v>82176.30720000001</v>
      </c>
      <c r="AX542">
        <f t="shared" si="3832"/>
        <v>450528000</v>
      </c>
      <c r="AY542">
        <f t="shared" si="3704"/>
        <v>7508.7999999999993</v>
      </c>
      <c r="AZ542">
        <f t="shared" si="3705"/>
        <v>15017.599999999999</v>
      </c>
      <c r="BA542">
        <f t="shared" si="3706"/>
        <v>94848.000000000015</v>
      </c>
      <c r="BB542">
        <f t="shared" si="3707"/>
        <v>3754.3999999999996</v>
      </c>
      <c r="BC542">
        <f t="shared" si="3833"/>
        <v>450528000</v>
      </c>
      <c r="BD542">
        <f t="shared" si="3708"/>
        <v>0.29411764705882354</v>
      </c>
      <c r="BE542" s="27">
        <f t="shared" si="3834"/>
        <v>603852049.38240004</v>
      </c>
      <c r="BF542" s="30">
        <f t="shared" si="3709"/>
        <v>0.44399999999999995</v>
      </c>
      <c r="BG542" s="27"/>
      <c r="BH542" s="27"/>
      <c r="BI542" s="27"/>
      <c r="CA542" s="20">
        <f t="shared" si="3710"/>
        <v>395</v>
      </c>
      <c r="CB542" s="20">
        <f t="shared" si="3711"/>
        <v>39500</v>
      </c>
    </row>
    <row r="543" spans="1:80" x14ac:dyDescent="0.15">
      <c r="A543">
        <v>6009</v>
      </c>
      <c r="B543" s="3" t="s">
        <v>132</v>
      </c>
      <c r="C543" s="4" t="s">
        <v>109</v>
      </c>
      <c r="D543" s="4" t="s">
        <v>110</v>
      </c>
      <c r="E543" s="5">
        <v>5</v>
      </c>
      <c r="F543" s="7" t="s">
        <v>140</v>
      </c>
      <c r="G543" s="5">
        <v>3</v>
      </c>
      <c r="H543" s="7" t="s">
        <v>140</v>
      </c>
      <c r="I543" s="5">
        <v>0</v>
      </c>
      <c r="J543" s="7">
        <v>0</v>
      </c>
      <c r="K543">
        <v>6</v>
      </c>
      <c r="L543">
        <v>1.5</v>
      </c>
      <c r="M543" s="5">
        <v>1.5</v>
      </c>
      <c r="N543" s="5">
        <v>10</v>
      </c>
      <c r="O543" s="5">
        <f t="shared" si="3691"/>
        <v>83257</v>
      </c>
      <c r="P543" s="5">
        <f t="shared" si="3692"/>
        <v>456456000</v>
      </c>
      <c r="Q543" s="5">
        <f t="shared" si="3693"/>
        <v>7607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70091</v>
      </c>
      <c r="X543" s="6" t="s">
        <v>187</v>
      </c>
      <c r="Y543" s="5">
        <v>300</v>
      </c>
      <c r="Z543" s="5">
        <v>1</v>
      </c>
      <c r="AA543" s="5">
        <v>145986553</v>
      </c>
      <c r="AB543" s="16" t="s">
        <v>111</v>
      </c>
      <c r="AC543" s="7" t="s">
        <v>112</v>
      </c>
      <c r="AD543" s="7" t="s">
        <v>112</v>
      </c>
      <c r="AE543" s="7" t="s">
        <v>112</v>
      </c>
      <c r="AF543" s="6" t="s">
        <v>113</v>
      </c>
      <c r="AG543" s="26" t="str">
        <f t="shared" ref="AG543" si="3891">CM$12</f>
        <v>4,33,28,33,6,4,33,28,33,6</v>
      </c>
      <c r="AH543" s="26" t="str">
        <f t="shared" ref="AH543" si="3892">CN$12</f>
        <v>0,5,0,5,1,0,5,0,5,1</v>
      </c>
      <c r="AI543" s="26" t="str">
        <f t="shared" ref="AI543" si="3893">CO$12</f>
        <v>0,0,0,0,1,0,0,0,0,1</v>
      </c>
      <c r="AJ543" s="26" t="str">
        <f t="shared" ref="AJ543" si="3894">CP$12</f>
        <v>0,0,0,0,5,0,0,0,0,5</v>
      </c>
      <c r="AK543" s="26" t="str">
        <f t="shared" ref="AK543" si="3895">CQ$12</f>
        <v>100,1,1000,2,5,200,1,1000,2,5</v>
      </c>
      <c r="AL543" s="26" t="str">
        <f t="shared" ref="AL543" si="3896">CR$12</f>
        <v>5,5,5,5,5,5,5,5,5,5</v>
      </c>
      <c r="AM543" s="7">
        <v>2001</v>
      </c>
      <c r="AO543">
        <f t="shared" ref="AO543" si="3897">AQ543*100+9</f>
        <v>6009</v>
      </c>
      <c r="AP543">
        <v>539</v>
      </c>
      <c r="AQ543">
        <f t="shared" si="3701"/>
        <v>60</v>
      </c>
      <c r="AR543">
        <v>10</v>
      </c>
      <c r="AS543" s="17">
        <f t="shared" si="3782"/>
        <v>375</v>
      </c>
      <c r="AT543">
        <v>9</v>
      </c>
      <c r="AU543">
        <f t="shared" si="3702"/>
        <v>32</v>
      </c>
      <c r="AV543">
        <v>150</v>
      </c>
      <c r="AW543">
        <f t="shared" si="3703"/>
        <v>83257.574400000012</v>
      </c>
      <c r="AX543">
        <f t="shared" si="3832"/>
        <v>456456000</v>
      </c>
      <c r="AY543">
        <f t="shared" si="3704"/>
        <v>7607.5999999999995</v>
      </c>
      <c r="AZ543">
        <f t="shared" si="3705"/>
        <v>15215.199999999999</v>
      </c>
      <c r="BA543">
        <f t="shared" si="3706"/>
        <v>96096.000000000015</v>
      </c>
      <c r="BB543">
        <f t="shared" si="3707"/>
        <v>3803.7999999999997</v>
      </c>
      <c r="BC543">
        <f t="shared" si="3833"/>
        <v>456456000</v>
      </c>
      <c r="BD543">
        <f t="shared" si="3708"/>
        <v>0.29411764705882354</v>
      </c>
      <c r="BE543" s="27">
        <f t="shared" si="3834"/>
        <v>619847437.8096</v>
      </c>
      <c r="BF543" s="30">
        <f t="shared" si="3709"/>
        <v>0.44399999999999995</v>
      </c>
      <c r="BG543" s="27"/>
      <c r="BH543" s="27"/>
      <c r="BI543" s="27"/>
      <c r="CA543" s="20">
        <f t="shared" si="3710"/>
        <v>395</v>
      </c>
      <c r="CB543" s="20">
        <f t="shared" si="3711"/>
        <v>39500</v>
      </c>
    </row>
    <row r="544" spans="1:80" x14ac:dyDescent="0.15">
      <c r="A544">
        <v>6101</v>
      </c>
      <c r="B544" s="3" t="s">
        <v>108</v>
      </c>
      <c r="C544" s="4" t="s">
        <v>109</v>
      </c>
      <c r="D544" s="4" t="s">
        <v>110</v>
      </c>
      <c r="E544" s="5">
        <v>3</v>
      </c>
      <c r="F544" s="7" t="s">
        <v>141</v>
      </c>
      <c r="G544" s="5">
        <v>2.5</v>
      </c>
      <c r="H544" s="7" t="s">
        <v>194</v>
      </c>
      <c r="I544" s="5">
        <v>0</v>
      </c>
      <c r="J544" s="5">
        <v>0</v>
      </c>
      <c r="K544">
        <v>2</v>
      </c>
      <c r="L544">
        <v>1.5</v>
      </c>
      <c r="M544" s="5">
        <v>1.5</v>
      </c>
      <c r="N544" s="5">
        <v>10</v>
      </c>
      <c r="O544" s="5">
        <f t="shared" si="3691"/>
        <v>81646</v>
      </c>
      <c r="P544" s="5">
        <f t="shared" si="3692"/>
        <v>458640000</v>
      </c>
      <c r="Q544" s="5">
        <f t="shared" si="3693"/>
        <v>7644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70011</v>
      </c>
      <c r="X544" s="6" t="s">
        <v>179</v>
      </c>
      <c r="Y544" s="5">
        <v>300</v>
      </c>
      <c r="Z544" s="5">
        <v>1</v>
      </c>
      <c r="AA544" s="5">
        <v>174112727</v>
      </c>
      <c r="AB544" s="16" t="s">
        <v>111</v>
      </c>
      <c r="AC544" s="7" t="s">
        <v>112</v>
      </c>
      <c r="AD544" s="7" t="s">
        <v>112</v>
      </c>
      <c r="AE544" s="7" t="s">
        <v>112</v>
      </c>
      <c r="AF544" s="6" t="s">
        <v>113</v>
      </c>
      <c r="AG544" s="26" t="str">
        <f t="shared" ref="AG544" si="3898">CM$4</f>
        <v>4,33,28,33,6,4,33,28,33,6</v>
      </c>
      <c r="AH544" s="26" t="str">
        <f t="shared" ref="AH544" si="3899">CN$4</f>
        <v>0,8,0,8,1,0,8,0,8,1</v>
      </c>
      <c r="AI544" s="26" t="str">
        <f t="shared" ref="AI544" si="3900">CO$4</f>
        <v>0,0,0,0,1,0,0,0,0,1</v>
      </c>
      <c r="AJ544" s="26" t="str">
        <f t="shared" ref="AJ544" si="3901">CP$4</f>
        <v>0,0,0,0,5,0,0,0,0,5</v>
      </c>
      <c r="AK544" s="26" t="str">
        <f t="shared" ref="AK544" si="3902">CQ$4</f>
        <v>100,1,1000,2,5,200,1,1000,2,5</v>
      </c>
      <c r="AL544" s="26" t="str">
        <f t="shared" ref="AL544" si="3903">CR$4</f>
        <v>5,5,5,5,5,5,5,5,5,5</v>
      </c>
      <c r="AM544" s="7">
        <v>2001</v>
      </c>
      <c r="AO544">
        <f t="shared" ref="AO544" si="3904">AQ544*100+1</f>
        <v>6101</v>
      </c>
      <c r="AP544">
        <v>540</v>
      </c>
      <c r="AQ544">
        <f t="shared" si="3701"/>
        <v>61</v>
      </c>
      <c r="AR544">
        <v>11</v>
      </c>
      <c r="AS544" s="17">
        <f t="shared" si="3782"/>
        <v>340</v>
      </c>
      <c r="AT544">
        <v>10</v>
      </c>
      <c r="AU544">
        <f t="shared" si="3702"/>
        <v>32</v>
      </c>
      <c r="AV544">
        <v>150</v>
      </c>
      <c r="AW544">
        <f t="shared" si="3703"/>
        <v>81646.387199999983</v>
      </c>
      <c r="AX544">
        <f t="shared" si="3832"/>
        <v>458639999.99999994</v>
      </c>
      <c r="AY544">
        <f t="shared" si="3704"/>
        <v>7643.9999999999991</v>
      </c>
      <c r="AZ544">
        <f t="shared" si="3705"/>
        <v>15287.999999999998</v>
      </c>
      <c r="BA544">
        <f t="shared" si="3706"/>
        <v>94079.999999999985</v>
      </c>
      <c r="BB544">
        <f t="shared" si="3707"/>
        <v>3821.9999999999995</v>
      </c>
      <c r="BC544">
        <f t="shared" si="3833"/>
        <v>458639999.99999994</v>
      </c>
      <c r="BD544">
        <f t="shared" si="3708"/>
        <v>0.29411764705882354</v>
      </c>
      <c r="BE544" s="27">
        <f t="shared" si="3834"/>
        <v>625793182.55999994</v>
      </c>
      <c r="BF544" s="30">
        <f t="shared" si="3709"/>
        <v>0.44639999999999996</v>
      </c>
      <c r="BG544" s="27"/>
      <c r="BH544" s="27"/>
      <c r="BI544" s="27"/>
      <c r="CA544" s="20">
        <f t="shared" si="3710"/>
        <v>400</v>
      </c>
      <c r="CB544" s="20">
        <f t="shared" si="3711"/>
        <v>40000</v>
      </c>
    </row>
    <row r="545" spans="1:80" x14ac:dyDescent="0.15">
      <c r="A545">
        <v>6102</v>
      </c>
      <c r="B545" s="3" t="s">
        <v>115</v>
      </c>
      <c r="C545" s="4" t="s">
        <v>109</v>
      </c>
      <c r="D545" s="6" t="s">
        <v>110</v>
      </c>
      <c r="E545" s="5">
        <v>3</v>
      </c>
      <c r="F545" s="7" t="s">
        <v>142</v>
      </c>
      <c r="G545" s="5">
        <v>3</v>
      </c>
      <c r="H545" s="7" t="s">
        <v>188</v>
      </c>
      <c r="I545" s="5">
        <v>0</v>
      </c>
      <c r="J545" s="5">
        <v>0</v>
      </c>
      <c r="K545">
        <v>2</v>
      </c>
      <c r="L545">
        <v>1.5</v>
      </c>
      <c r="M545" s="5">
        <v>1.5</v>
      </c>
      <c r="N545" s="5">
        <v>10</v>
      </c>
      <c r="O545" s="5">
        <f t="shared" si="3691"/>
        <v>82812</v>
      </c>
      <c r="P545" s="5">
        <f t="shared" si="3692"/>
        <v>465192000</v>
      </c>
      <c r="Q545" s="5">
        <f t="shared" si="3693"/>
        <v>7753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70021</v>
      </c>
      <c r="X545" s="6" t="s">
        <v>180</v>
      </c>
      <c r="Y545" s="5">
        <v>300</v>
      </c>
      <c r="Z545" s="5">
        <v>1</v>
      </c>
      <c r="AA545" s="5">
        <v>141903216</v>
      </c>
      <c r="AB545" s="16" t="s">
        <v>111</v>
      </c>
      <c r="AC545" s="7" t="s">
        <v>112</v>
      </c>
      <c r="AD545" s="7" t="s">
        <v>112</v>
      </c>
      <c r="AE545" s="7" t="s">
        <v>112</v>
      </c>
      <c r="AF545" s="6" t="s">
        <v>113</v>
      </c>
      <c r="AG545" s="26" t="str">
        <f t="shared" ref="AG545" si="3905">CM$5</f>
        <v>4,33,28,33,6,4,33,28,33,6</v>
      </c>
      <c r="AH545" s="26" t="str">
        <f t="shared" ref="AH545" si="3906">CN$5</f>
        <v>0,7,0,7,1,0,7,0,7,1</v>
      </c>
      <c r="AI545" s="26" t="str">
        <f t="shared" ref="AI545" si="3907">CO$5</f>
        <v>0,0,0,0,1,0,0,0,0,1</v>
      </c>
      <c r="AJ545" s="26" t="str">
        <f t="shared" ref="AJ545" si="3908">CP$5</f>
        <v>0,0,0,0,5,0,0,0,0,5</v>
      </c>
      <c r="AK545" s="26" t="str">
        <f t="shared" ref="AK545" si="3909">CQ$5</f>
        <v>100,1,1000,2,5,200,1,1000,2,5</v>
      </c>
      <c r="AL545" s="26" t="str">
        <f t="shared" ref="AL545" si="3910">CR$5</f>
        <v>5,5,5,5,5,5,5,5,5,5</v>
      </c>
      <c r="AM545" s="7">
        <v>2001</v>
      </c>
      <c r="AO545">
        <f t="shared" ref="AO545" si="3911">AQ545*100+2</f>
        <v>6102</v>
      </c>
      <c r="AP545">
        <v>541</v>
      </c>
      <c r="AQ545">
        <f t="shared" si="3701"/>
        <v>61</v>
      </c>
      <c r="AR545">
        <v>11</v>
      </c>
      <c r="AS545" s="17">
        <f t="shared" si="3782"/>
        <v>345</v>
      </c>
      <c r="AT545">
        <v>10</v>
      </c>
      <c r="AU545">
        <f t="shared" si="3702"/>
        <v>32</v>
      </c>
      <c r="AV545">
        <v>150</v>
      </c>
      <c r="AW545">
        <f t="shared" si="3703"/>
        <v>82812.764159999977</v>
      </c>
      <c r="AX545">
        <f t="shared" si="3832"/>
        <v>465191999.99999994</v>
      </c>
      <c r="AY545">
        <f t="shared" si="3704"/>
        <v>7753.1999999999989</v>
      </c>
      <c r="AZ545">
        <f t="shared" si="3705"/>
        <v>15506.399999999998</v>
      </c>
      <c r="BA545">
        <f t="shared" si="3706"/>
        <v>95423.999999999985</v>
      </c>
      <c r="BB545">
        <f t="shared" si="3707"/>
        <v>3876.5999999999995</v>
      </c>
      <c r="BC545">
        <f t="shared" si="3833"/>
        <v>465191999.99999994</v>
      </c>
      <c r="BD545">
        <f t="shared" si="3708"/>
        <v>0.29411764705882348</v>
      </c>
      <c r="BE545" s="27">
        <f t="shared" si="3834"/>
        <v>643800700.67040002</v>
      </c>
      <c r="BF545" s="30">
        <f t="shared" si="3709"/>
        <v>0.44639999999999996</v>
      </c>
      <c r="BG545" s="27"/>
      <c r="BH545" s="27"/>
      <c r="BI545" s="27"/>
      <c r="CA545" s="20">
        <f t="shared" si="3710"/>
        <v>400</v>
      </c>
      <c r="CB545" s="20">
        <f t="shared" si="3711"/>
        <v>40000</v>
      </c>
    </row>
    <row r="546" spans="1:80" x14ac:dyDescent="0.15">
      <c r="A546">
        <v>6103</v>
      </c>
      <c r="B546" s="3" t="s">
        <v>117</v>
      </c>
      <c r="C546" s="4" t="s">
        <v>109</v>
      </c>
      <c r="D546" s="4" t="s">
        <v>110</v>
      </c>
      <c r="E546" s="5">
        <v>1</v>
      </c>
      <c r="F546" s="7" t="s">
        <v>144</v>
      </c>
      <c r="G546" s="5">
        <v>3</v>
      </c>
      <c r="H546" s="7" t="s">
        <v>189</v>
      </c>
      <c r="I546" s="5">
        <v>0</v>
      </c>
      <c r="J546" s="2">
        <v>0</v>
      </c>
      <c r="K546">
        <v>6</v>
      </c>
      <c r="L546">
        <v>1.5</v>
      </c>
      <c r="M546" s="5">
        <v>1.5</v>
      </c>
      <c r="N546" s="5">
        <v>10</v>
      </c>
      <c r="O546" s="5">
        <f t="shared" si="3691"/>
        <v>83979</v>
      </c>
      <c r="P546" s="5">
        <f t="shared" si="3692"/>
        <v>471744000</v>
      </c>
      <c r="Q546" s="5">
        <f t="shared" si="3693"/>
        <v>7862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70031</v>
      </c>
      <c r="X546" s="6" t="s">
        <v>181</v>
      </c>
      <c r="Y546" s="5">
        <v>300</v>
      </c>
      <c r="Z546" s="5">
        <v>1</v>
      </c>
      <c r="AA546" s="5">
        <v>146303055</v>
      </c>
      <c r="AB546" s="16" t="s">
        <v>111</v>
      </c>
      <c r="AC546" s="7" t="s">
        <v>112</v>
      </c>
      <c r="AD546" s="7" t="s">
        <v>112</v>
      </c>
      <c r="AE546" s="7" t="s">
        <v>112</v>
      </c>
      <c r="AF546" s="6" t="s">
        <v>113</v>
      </c>
      <c r="AG546" s="26" t="str">
        <f t="shared" ref="AG546" si="3912">CM$6</f>
        <v>4,28,6,28,6,4,28,6,28,6</v>
      </c>
      <c r="AH546" s="26" t="str">
        <f t="shared" ref="AH546" si="3913">CN$6</f>
        <v>0,0,1,0,1,0,0,1,0,1</v>
      </c>
      <c r="AI546" s="26" t="str">
        <f t="shared" ref="AI546" si="3914">CO$6</f>
        <v>0,0,0,0,1,0,0,0,0,1</v>
      </c>
      <c r="AJ546" s="26" t="str">
        <f t="shared" ref="AJ546" si="3915">CP$6</f>
        <v>0,0,5,0,5,0,0,5,0,5</v>
      </c>
      <c r="AK546" s="26" t="str">
        <f t="shared" ref="AK546" si="3916">CQ$6</f>
        <v>100,1000,5,1500,5,200,1000,5,1500,5</v>
      </c>
      <c r="AL546" s="26" t="str">
        <f t="shared" ref="AL546" si="3917">CR$6</f>
        <v>5,5,5,5,5,5,5,5,5,5</v>
      </c>
      <c r="AM546" s="7">
        <v>2001</v>
      </c>
      <c r="AO546">
        <f t="shared" ref="AO546" si="3918">AQ546*100+3</f>
        <v>6103</v>
      </c>
      <c r="AP546">
        <v>542</v>
      </c>
      <c r="AQ546">
        <f t="shared" si="3701"/>
        <v>61</v>
      </c>
      <c r="AR546">
        <v>11</v>
      </c>
      <c r="AS546" s="17">
        <f t="shared" si="3782"/>
        <v>350</v>
      </c>
      <c r="AT546">
        <v>10</v>
      </c>
      <c r="AU546">
        <f t="shared" si="3702"/>
        <v>32</v>
      </c>
      <c r="AV546">
        <v>150</v>
      </c>
      <c r="AW546">
        <f t="shared" si="3703"/>
        <v>83979.141119999971</v>
      </c>
      <c r="AX546">
        <f t="shared" si="3832"/>
        <v>471743999.99999994</v>
      </c>
      <c r="AY546">
        <f t="shared" si="3704"/>
        <v>7862.3999999999987</v>
      </c>
      <c r="AZ546">
        <f t="shared" si="3705"/>
        <v>15724.799999999997</v>
      </c>
      <c r="BA546">
        <f t="shared" si="3706"/>
        <v>96767.999999999985</v>
      </c>
      <c r="BB546">
        <f t="shared" si="3707"/>
        <v>3931.1999999999994</v>
      </c>
      <c r="BC546">
        <f t="shared" si="3833"/>
        <v>471743999.99999994</v>
      </c>
      <c r="BD546">
        <f t="shared" si="3708"/>
        <v>0.29411764705882348</v>
      </c>
      <c r="BE546" s="27">
        <f t="shared" si="3834"/>
        <v>662063644.56959987</v>
      </c>
      <c r="BF546" s="30">
        <f t="shared" si="3709"/>
        <v>0.44639999999999996</v>
      </c>
      <c r="BG546" s="27"/>
      <c r="BH546" s="27"/>
      <c r="BI546" s="27"/>
      <c r="CA546" s="20">
        <f t="shared" si="3710"/>
        <v>400</v>
      </c>
      <c r="CB546" s="20">
        <f t="shared" si="3711"/>
        <v>40000</v>
      </c>
    </row>
    <row r="547" spans="1:80" x14ac:dyDescent="0.15">
      <c r="A547">
        <v>6104</v>
      </c>
      <c r="B547" s="3" t="s">
        <v>119</v>
      </c>
      <c r="C547" s="4" t="s">
        <v>109</v>
      </c>
      <c r="D547" s="6" t="s">
        <v>120</v>
      </c>
      <c r="E547" s="5">
        <v>3</v>
      </c>
      <c r="F547" s="7" t="s">
        <v>145</v>
      </c>
      <c r="G547" s="5">
        <v>3</v>
      </c>
      <c r="H547" s="7" t="s">
        <v>190</v>
      </c>
      <c r="I547" s="5">
        <v>0</v>
      </c>
      <c r="J547" s="5">
        <v>0</v>
      </c>
      <c r="K547">
        <v>2</v>
      </c>
      <c r="L547">
        <v>1.5</v>
      </c>
      <c r="M547" s="5">
        <v>1.5</v>
      </c>
      <c r="N547" s="5">
        <v>10</v>
      </c>
      <c r="O547" s="5">
        <f t="shared" si="3691"/>
        <v>85145</v>
      </c>
      <c r="P547" s="5">
        <f t="shared" si="3692"/>
        <v>478296000</v>
      </c>
      <c r="Q547" s="5">
        <f t="shared" si="3693"/>
        <v>7971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70041</v>
      </c>
      <c r="X547" s="6" t="s">
        <v>182</v>
      </c>
      <c r="Y547" s="5">
        <v>300</v>
      </c>
      <c r="Z547" s="5">
        <v>1</v>
      </c>
      <c r="AA547" s="5">
        <v>150770068</v>
      </c>
      <c r="AB547" s="16" t="s">
        <v>111</v>
      </c>
      <c r="AC547" s="7" t="s">
        <v>112</v>
      </c>
      <c r="AD547" s="7" t="s">
        <v>112</v>
      </c>
      <c r="AE547" s="7" t="s">
        <v>112</v>
      </c>
      <c r="AF547" s="6" t="s">
        <v>113</v>
      </c>
      <c r="AG547" s="26" t="str">
        <f t="shared" ref="AG547" si="3919">CM$7</f>
        <v>4,14,28,14,6,4,14,28,14,6</v>
      </c>
      <c r="AH547" s="26" t="str">
        <f t="shared" ref="AH547" si="3920">CN$7</f>
        <v>0,0,0,0,1,0,0,0,0,1</v>
      </c>
      <c r="AI547" s="26" t="str">
        <f t="shared" ref="AI547" si="3921">CO$7</f>
        <v>0,0,0,0,1,0,0,0,0,1</v>
      </c>
      <c r="AJ547" s="26" t="str">
        <f t="shared" ref="AJ547" si="3922">CP$7</f>
        <v>0,0,0,0,5,0,0,0,0,5</v>
      </c>
      <c r="AK547" s="26" t="str">
        <f t="shared" ref="AK547" si="3923">CQ$7</f>
        <v>100,1,1000,2,5,200,1,1000,2,5</v>
      </c>
      <c r="AL547" s="26" t="str">
        <f t="shared" ref="AL547" si="3924">CR$7</f>
        <v>5,5,5,5,5,5,5,5,5,5</v>
      </c>
      <c r="AM547" s="7">
        <v>2001</v>
      </c>
      <c r="AO547">
        <f t="shared" ref="AO547" si="3925">AQ547*100+4</f>
        <v>6104</v>
      </c>
      <c r="AP547">
        <v>543</v>
      </c>
      <c r="AQ547">
        <f t="shared" si="3701"/>
        <v>61</v>
      </c>
      <c r="AR547">
        <v>11</v>
      </c>
      <c r="AS547" s="17">
        <f t="shared" si="3782"/>
        <v>355</v>
      </c>
      <c r="AT547">
        <v>10</v>
      </c>
      <c r="AU547">
        <f t="shared" si="3702"/>
        <v>32</v>
      </c>
      <c r="AV547">
        <v>150</v>
      </c>
      <c r="AW547">
        <f t="shared" si="3703"/>
        <v>85145.51807999998</v>
      </c>
      <c r="AX547">
        <f t="shared" si="3832"/>
        <v>478295999.99999988</v>
      </c>
      <c r="AY547">
        <f t="shared" si="3704"/>
        <v>7971.5999999999985</v>
      </c>
      <c r="AZ547">
        <f t="shared" si="3705"/>
        <v>15943.199999999997</v>
      </c>
      <c r="BA547">
        <f t="shared" si="3706"/>
        <v>98111.999999999985</v>
      </c>
      <c r="BB547">
        <f t="shared" si="3707"/>
        <v>3985.7999999999993</v>
      </c>
      <c r="BC547">
        <f t="shared" si="3833"/>
        <v>478295999.99999988</v>
      </c>
      <c r="BD547">
        <f t="shared" si="3708"/>
        <v>0.29411764705882354</v>
      </c>
      <c r="BE547" s="27">
        <f t="shared" si="3834"/>
        <v>680582014.25759995</v>
      </c>
      <c r="BF547" s="30">
        <f t="shared" si="3709"/>
        <v>0.44639999999999996</v>
      </c>
      <c r="BG547" s="27"/>
      <c r="BH547" s="27"/>
      <c r="BI547" s="27"/>
      <c r="CA547" s="20">
        <f t="shared" si="3710"/>
        <v>400</v>
      </c>
      <c r="CB547" s="20">
        <f t="shared" si="3711"/>
        <v>40000</v>
      </c>
    </row>
    <row r="548" spans="1:80" x14ac:dyDescent="0.15">
      <c r="A548">
        <v>6105</v>
      </c>
      <c r="B548" s="3" t="s">
        <v>122</v>
      </c>
      <c r="C548" s="4" t="s">
        <v>109</v>
      </c>
      <c r="D548" s="4" t="s">
        <v>110</v>
      </c>
      <c r="E548" s="5">
        <v>2</v>
      </c>
      <c r="F548" s="7" t="s">
        <v>146</v>
      </c>
      <c r="G548" s="5">
        <v>3</v>
      </c>
      <c r="H548" s="7" t="s">
        <v>191</v>
      </c>
      <c r="I548" s="5">
        <v>0</v>
      </c>
      <c r="J548" s="7" t="s">
        <v>148</v>
      </c>
      <c r="K548">
        <v>6</v>
      </c>
      <c r="L548">
        <v>1.5</v>
      </c>
      <c r="M548" s="5">
        <v>1.5</v>
      </c>
      <c r="N548" s="5">
        <v>10</v>
      </c>
      <c r="O548" s="5">
        <f t="shared" si="3691"/>
        <v>86311</v>
      </c>
      <c r="P548" s="5">
        <f t="shared" si="3692"/>
        <v>484848000</v>
      </c>
      <c r="Q548" s="5">
        <f t="shared" si="3693"/>
        <v>8080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70051</v>
      </c>
      <c r="X548" s="6" t="s">
        <v>183</v>
      </c>
      <c r="Y548" s="5">
        <v>300</v>
      </c>
      <c r="Z548" s="5">
        <v>1</v>
      </c>
      <c r="AA548" s="5">
        <v>155304253</v>
      </c>
      <c r="AB548" s="16" t="s">
        <v>111</v>
      </c>
      <c r="AC548" s="7" t="s">
        <v>112</v>
      </c>
      <c r="AD548" s="7" t="s">
        <v>112</v>
      </c>
      <c r="AE548" s="7" t="s">
        <v>112</v>
      </c>
      <c r="AF548" s="6" t="s">
        <v>113</v>
      </c>
      <c r="AG548" s="26" t="str">
        <f t="shared" ref="AG548" si="3926">CM$8</f>
        <v>4,19,28,19,6,4,19,28,19,6</v>
      </c>
      <c r="AH548" s="26" t="str">
        <f t="shared" ref="AH548" si="3927">CN$8</f>
        <v>0,0,0,0,1,0,0,0,0,1</v>
      </c>
      <c r="AI548" s="26" t="str">
        <f t="shared" ref="AI548" si="3928">CO$8</f>
        <v>0,0,0,0,1,0,0,0,0,1</v>
      </c>
      <c r="AJ548" s="26" t="str">
        <f t="shared" ref="AJ548" si="3929">CP$8</f>
        <v>0,0,0,0,5,0,0,0,0,5</v>
      </c>
      <c r="AK548" s="26" t="str">
        <f t="shared" ref="AK548" si="3930">CQ$8</f>
        <v>200,100,1000,200,5,200,100,1000,200,5</v>
      </c>
      <c r="AL548" s="26" t="str">
        <f t="shared" ref="AL548" si="3931">CR$8</f>
        <v>5,5,5,5,5,5,5,5,5,5</v>
      </c>
      <c r="AM548" s="7">
        <v>2001</v>
      </c>
      <c r="AO548">
        <f t="shared" ref="AO548" si="3932">AQ548*100+5</f>
        <v>6105</v>
      </c>
      <c r="AP548">
        <v>544</v>
      </c>
      <c r="AQ548">
        <f t="shared" si="3701"/>
        <v>61</v>
      </c>
      <c r="AR548">
        <v>11</v>
      </c>
      <c r="AS548" s="17">
        <f t="shared" si="3782"/>
        <v>360</v>
      </c>
      <c r="AT548">
        <v>10</v>
      </c>
      <c r="AU548">
        <f t="shared" si="3702"/>
        <v>32</v>
      </c>
      <c r="AV548">
        <v>150</v>
      </c>
      <c r="AW548">
        <f t="shared" si="3703"/>
        <v>86311.895039999989</v>
      </c>
      <c r="AX548">
        <f t="shared" si="3832"/>
        <v>484848000</v>
      </c>
      <c r="AY548">
        <f t="shared" si="3704"/>
        <v>8080.8</v>
      </c>
      <c r="AZ548">
        <f t="shared" si="3705"/>
        <v>16161.6</v>
      </c>
      <c r="BA548">
        <f t="shared" si="3706"/>
        <v>99455.999999999985</v>
      </c>
      <c r="BB548">
        <f t="shared" si="3707"/>
        <v>4040.4</v>
      </c>
      <c r="BC548">
        <f t="shared" si="3833"/>
        <v>484848000</v>
      </c>
      <c r="BD548">
        <f t="shared" si="3708"/>
        <v>0.29411764705882348</v>
      </c>
      <c r="BE548" s="27">
        <f t="shared" si="3834"/>
        <v>699355809.73440015</v>
      </c>
      <c r="BF548" s="30">
        <f t="shared" si="3709"/>
        <v>0.44639999999999996</v>
      </c>
      <c r="BG548" s="27"/>
      <c r="BH548" s="27"/>
      <c r="BI548" s="27"/>
      <c r="CA548" s="20">
        <f t="shared" si="3710"/>
        <v>400</v>
      </c>
      <c r="CB548" s="20">
        <f t="shared" si="3711"/>
        <v>40000</v>
      </c>
    </row>
    <row r="549" spans="1:80" x14ac:dyDescent="0.15">
      <c r="A549">
        <v>6106</v>
      </c>
      <c r="B549" s="3" t="s">
        <v>124</v>
      </c>
      <c r="C549" s="4" t="s">
        <v>109</v>
      </c>
      <c r="D549" s="6" t="s">
        <v>120</v>
      </c>
      <c r="E549" s="5">
        <v>1</v>
      </c>
      <c r="F549" s="7" t="s">
        <v>147</v>
      </c>
      <c r="G549" s="5">
        <v>3</v>
      </c>
      <c r="H549" s="7" t="s">
        <v>192</v>
      </c>
      <c r="I549" s="5">
        <v>0</v>
      </c>
      <c r="J549" s="7" t="s">
        <v>149</v>
      </c>
      <c r="K549">
        <v>6</v>
      </c>
      <c r="L549">
        <v>1.5</v>
      </c>
      <c r="M549" s="5">
        <v>1.5</v>
      </c>
      <c r="N549" s="5">
        <v>10</v>
      </c>
      <c r="O549" s="5">
        <f t="shared" si="3691"/>
        <v>87478</v>
      </c>
      <c r="P549" s="5">
        <f t="shared" si="3692"/>
        <v>491400000</v>
      </c>
      <c r="Q549" s="5">
        <f t="shared" si="3693"/>
        <v>8190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70061</v>
      </c>
      <c r="X549" s="6" t="s">
        <v>184</v>
      </c>
      <c r="Y549" s="5">
        <v>300</v>
      </c>
      <c r="Z549" s="5">
        <v>1</v>
      </c>
      <c r="AA549" s="5">
        <v>159905612</v>
      </c>
      <c r="AB549" s="16" t="s">
        <v>111</v>
      </c>
      <c r="AC549" s="7" t="s">
        <v>112</v>
      </c>
      <c r="AD549" s="7" t="s">
        <v>112</v>
      </c>
      <c r="AE549" s="7" t="s">
        <v>112</v>
      </c>
      <c r="AF549" s="6" t="s">
        <v>113</v>
      </c>
      <c r="AG549" s="26" t="str">
        <f t="shared" ref="AG549" si="3933">CM$9</f>
        <v>4,33,28,33,6,4,33,28,33,6</v>
      </c>
      <c r="AH549" s="26" t="str">
        <f t="shared" ref="AH549" si="3934">CN$9</f>
        <v>0,6,0,6,1,0,6,0,6,1</v>
      </c>
      <c r="AI549" s="26" t="str">
        <f t="shared" ref="AI549" si="3935">CO$9</f>
        <v>0,0,0,0,1,0,0,0,0,1</v>
      </c>
      <c r="AJ549" s="26" t="str">
        <f t="shared" ref="AJ549" si="3936">CP$9</f>
        <v>0,0,0,0,5,0,0,0,0,5</v>
      </c>
      <c r="AK549" s="26" t="str">
        <f t="shared" ref="AK549" si="3937">CQ$9</f>
        <v>200,1,1000,2,5,200,1,1000,2,5</v>
      </c>
      <c r="AL549" s="26" t="str">
        <f t="shared" ref="AL549" si="3938">CR$9</f>
        <v>5,5,5,5,5,5,5,5,5,5</v>
      </c>
      <c r="AM549" s="7">
        <v>2001</v>
      </c>
      <c r="AO549">
        <f t="shared" ref="AO549" si="3939">AQ549*100+6</f>
        <v>6106</v>
      </c>
      <c r="AP549">
        <v>545</v>
      </c>
      <c r="AQ549">
        <f t="shared" si="3701"/>
        <v>61</v>
      </c>
      <c r="AR549">
        <v>11</v>
      </c>
      <c r="AS549" s="17">
        <f t="shared" si="3782"/>
        <v>365</v>
      </c>
      <c r="AT549">
        <v>10</v>
      </c>
      <c r="AU549">
        <f t="shared" si="3702"/>
        <v>32</v>
      </c>
      <c r="AV549">
        <v>150</v>
      </c>
      <c r="AW549">
        <f t="shared" si="3703"/>
        <v>87478.271999999968</v>
      </c>
      <c r="AX549">
        <f t="shared" si="3832"/>
        <v>491400000</v>
      </c>
      <c r="AY549">
        <f t="shared" si="3704"/>
        <v>8190</v>
      </c>
      <c r="AZ549">
        <f t="shared" si="3705"/>
        <v>16380</v>
      </c>
      <c r="BA549">
        <f t="shared" si="3706"/>
        <v>100799.99999999999</v>
      </c>
      <c r="BB549">
        <f t="shared" si="3707"/>
        <v>4095</v>
      </c>
      <c r="BC549">
        <f t="shared" si="3833"/>
        <v>491400000</v>
      </c>
      <c r="BD549">
        <f t="shared" si="3708"/>
        <v>0.29411764705882354</v>
      </c>
      <c r="BE549" s="27">
        <f t="shared" si="3834"/>
        <v>718385031</v>
      </c>
      <c r="BF549" s="30">
        <f t="shared" si="3709"/>
        <v>0.44639999999999996</v>
      </c>
      <c r="BG549" s="27"/>
      <c r="BH549" s="27"/>
      <c r="BI549" s="27"/>
      <c r="CA549" s="20">
        <f t="shared" si="3710"/>
        <v>400</v>
      </c>
      <c r="CB549" s="20">
        <f t="shared" si="3711"/>
        <v>40000</v>
      </c>
    </row>
    <row r="550" spans="1:80" x14ac:dyDescent="0.15">
      <c r="A550">
        <v>6107</v>
      </c>
      <c r="B550" s="3" t="s">
        <v>126</v>
      </c>
      <c r="C550" s="4" t="s">
        <v>109</v>
      </c>
      <c r="D550" s="4" t="s">
        <v>110</v>
      </c>
      <c r="E550" s="5">
        <v>2</v>
      </c>
      <c r="F550" s="7" t="s">
        <v>143</v>
      </c>
      <c r="G550" s="5">
        <v>3</v>
      </c>
      <c r="H550" s="7" t="s">
        <v>193</v>
      </c>
      <c r="I550" s="5">
        <v>0</v>
      </c>
      <c r="J550" s="5">
        <v>0</v>
      </c>
      <c r="K550">
        <v>2</v>
      </c>
      <c r="L550">
        <v>1.5</v>
      </c>
      <c r="M550" s="5">
        <v>1.5</v>
      </c>
      <c r="N550" s="5">
        <v>10</v>
      </c>
      <c r="O550" s="5">
        <f t="shared" si="3691"/>
        <v>88644</v>
      </c>
      <c r="P550" s="5">
        <f t="shared" si="3692"/>
        <v>497952000</v>
      </c>
      <c r="Q550" s="5">
        <f t="shared" si="3693"/>
        <v>8299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70071</v>
      </c>
      <c r="X550" s="6" t="s">
        <v>185</v>
      </c>
      <c r="Y550" s="5">
        <v>300</v>
      </c>
      <c r="Z550" s="5">
        <v>1</v>
      </c>
      <c r="AA550" s="5">
        <v>164574144</v>
      </c>
      <c r="AB550" s="16" t="s">
        <v>111</v>
      </c>
      <c r="AC550" s="7" t="s">
        <v>112</v>
      </c>
      <c r="AD550" s="7" t="s">
        <v>112</v>
      </c>
      <c r="AE550" s="7" t="s">
        <v>112</v>
      </c>
      <c r="AF550" s="6" t="s">
        <v>113</v>
      </c>
      <c r="AG550" s="26" t="str">
        <f t="shared" ref="AG550" si="3940">CM$10</f>
        <v>4,14,28,14,6,4,14,28,14,6</v>
      </c>
      <c r="AH550" s="26" t="str">
        <f t="shared" ref="AH550" si="3941">CN$10</f>
        <v>0,0,0,0,1,0,0,0,0,1</v>
      </c>
      <c r="AI550" s="26" t="str">
        <f t="shared" ref="AI550" si="3942">CO$10</f>
        <v>0,0,0,0,1,0,0,0,0,1</v>
      </c>
      <c r="AJ550" s="26" t="str">
        <f t="shared" ref="AJ550" si="3943">CP$10</f>
        <v>0,0,0,0,5,0,0,0,0,5</v>
      </c>
      <c r="AK550" s="26" t="str">
        <f t="shared" ref="AK550" si="3944">CQ$10</f>
        <v>200,1,1000,2,5,200,1,1000,2,5</v>
      </c>
      <c r="AL550" s="26" t="str">
        <f t="shared" ref="AL550" si="3945">CR$10</f>
        <v>5,5,5,5,5,5,5,5,5,5</v>
      </c>
      <c r="AM550" s="7">
        <v>2001</v>
      </c>
      <c r="AO550">
        <f t="shared" ref="AO550" si="3946">AQ550*100+7</f>
        <v>6107</v>
      </c>
      <c r="AP550">
        <v>546</v>
      </c>
      <c r="AQ550">
        <f t="shared" si="3701"/>
        <v>61</v>
      </c>
      <c r="AR550">
        <v>11</v>
      </c>
      <c r="AS550" s="17">
        <f t="shared" si="3782"/>
        <v>370</v>
      </c>
      <c r="AT550">
        <v>10</v>
      </c>
      <c r="AU550">
        <f t="shared" si="3702"/>
        <v>32</v>
      </c>
      <c r="AV550">
        <v>150</v>
      </c>
      <c r="AW550">
        <f t="shared" si="3703"/>
        <v>88644.648959999977</v>
      </c>
      <c r="AX550">
        <f t="shared" si="3832"/>
        <v>497952000</v>
      </c>
      <c r="AY550">
        <f t="shared" si="3704"/>
        <v>8299.1999999999989</v>
      </c>
      <c r="AZ550">
        <f t="shared" si="3705"/>
        <v>16598.399999999998</v>
      </c>
      <c r="BA550">
        <f t="shared" si="3706"/>
        <v>102143.99999999999</v>
      </c>
      <c r="BB550">
        <f t="shared" si="3707"/>
        <v>4149.5999999999995</v>
      </c>
      <c r="BC550">
        <f t="shared" si="3833"/>
        <v>497952000</v>
      </c>
      <c r="BD550">
        <f t="shared" si="3708"/>
        <v>0.29411764705882348</v>
      </c>
      <c r="BE550" s="27">
        <f t="shared" si="3834"/>
        <v>737669678.05439997</v>
      </c>
      <c r="BF550" s="30">
        <f t="shared" si="3709"/>
        <v>0.44639999999999996</v>
      </c>
      <c r="BG550" s="27"/>
      <c r="BH550" s="27"/>
      <c r="BI550" s="27"/>
      <c r="CA550" s="20">
        <f t="shared" si="3710"/>
        <v>400</v>
      </c>
      <c r="CB550" s="20">
        <f t="shared" si="3711"/>
        <v>40000</v>
      </c>
    </row>
    <row r="551" spans="1:80" x14ac:dyDescent="0.15">
      <c r="A551">
        <v>6108</v>
      </c>
      <c r="B551" s="3" t="s">
        <v>128</v>
      </c>
      <c r="C551" s="4" t="s">
        <v>109</v>
      </c>
      <c r="D551" s="4" t="s">
        <v>110</v>
      </c>
      <c r="E551" s="5">
        <v>5</v>
      </c>
      <c r="F551" s="7" t="s">
        <v>129</v>
      </c>
      <c r="G551" s="5">
        <v>2</v>
      </c>
      <c r="H551" s="7" t="s">
        <v>130</v>
      </c>
      <c r="I551" s="5">
        <v>0</v>
      </c>
      <c r="J551" s="5">
        <v>0</v>
      </c>
      <c r="K551">
        <v>2</v>
      </c>
      <c r="L551">
        <v>1.5</v>
      </c>
      <c r="M551" s="5">
        <v>1.5</v>
      </c>
      <c r="N551" s="5">
        <v>10</v>
      </c>
      <c r="O551" s="5">
        <f t="shared" si="3691"/>
        <v>89811</v>
      </c>
      <c r="P551" s="5">
        <f t="shared" si="3692"/>
        <v>504504000</v>
      </c>
      <c r="Q551" s="5">
        <f t="shared" si="3693"/>
        <v>8408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70081</v>
      </c>
      <c r="X551" s="6" t="s">
        <v>186</v>
      </c>
      <c r="Y551" s="5">
        <v>300</v>
      </c>
      <c r="Z551" s="5">
        <v>1</v>
      </c>
      <c r="AA551" s="5">
        <v>169309849</v>
      </c>
      <c r="AB551" s="16" t="s">
        <v>111</v>
      </c>
      <c r="AC551" s="7" t="s">
        <v>112</v>
      </c>
      <c r="AD551" s="7" t="s">
        <v>112</v>
      </c>
      <c r="AE551" s="7" t="s">
        <v>112</v>
      </c>
      <c r="AF551" s="6" t="s">
        <v>113</v>
      </c>
      <c r="AG551" s="26" t="str">
        <f t="shared" ref="AG551" si="3947">CM$11</f>
        <v>4,28,6,28,6,4,28,6,28,6</v>
      </c>
      <c r="AH551" s="26" t="str">
        <f t="shared" ref="AH551" si="3948">CN$11</f>
        <v>0,0,1,0,1,0,0,1,0,1</v>
      </c>
      <c r="AI551" s="26" t="str">
        <f t="shared" ref="AI551" si="3949">CO$11</f>
        <v>0,0,1,0,1,0,0,1,0,1</v>
      </c>
      <c r="AJ551" s="26" t="str">
        <f t="shared" ref="AJ551" si="3950">CP$11</f>
        <v>0,0,5,0,5,0,0,5,0,5</v>
      </c>
      <c r="AK551" s="26" t="str">
        <f t="shared" ref="AK551" si="3951">CQ$11</f>
        <v>100,1000,5,1500,5,200,1000,5,1500,5</v>
      </c>
      <c r="AL551" s="26" t="str">
        <f t="shared" ref="AL551" si="3952">CR$11</f>
        <v>5,5,5,5,5,5,5,5,5,5</v>
      </c>
      <c r="AM551" s="7">
        <v>2001</v>
      </c>
      <c r="AO551">
        <f t="shared" ref="AO551" si="3953">AQ551*100+8</f>
        <v>6108</v>
      </c>
      <c r="AP551">
        <v>547</v>
      </c>
      <c r="AQ551">
        <f t="shared" si="3701"/>
        <v>61</v>
      </c>
      <c r="AR551">
        <v>11</v>
      </c>
      <c r="AS551" s="17">
        <f t="shared" si="3782"/>
        <v>375</v>
      </c>
      <c r="AT551">
        <v>10</v>
      </c>
      <c r="AU551">
        <f t="shared" si="3702"/>
        <v>32</v>
      </c>
      <c r="AV551">
        <v>150</v>
      </c>
      <c r="AW551">
        <f t="shared" si="3703"/>
        <v>89811.025919999971</v>
      </c>
      <c r="AX551">
        <f t="shared" si="3832"/>
        <v>504504000</v>
      </c>
      <c r="AY551">
        <f t="shared" si="3704"/>
        <v>8408.4</v>
      </c>
      <c r="AZ551">
        <f t="shared" si="3705"/>
        <v>16816.8</v>
      </c>
      <c r="BA551">
        <f t="shared" si="3706"/>
        <v>103487.99999999999</v>
      </c>
      <c r="BB551">
        <f t="shared" si="3707"/>
        <v>4204.2</v>
      </c>
      <c r="BC551">
        <f t="shared" si="3833"/>
        <v>504504000</v>
      </c>
      <c r="BD551">
        <f t="shared" si="3708"/>
        <v>0.29411764705882354</v>
      </c>
      <c r="BE551" s="27">
        <f t="shared" si="3834"/>
        <v>757209750.89760005</v>
      </c>
      <c r="BF551" s="30">
        <f t="shared" si="3709"/>
        <v>0.44639999999999996</v>
      </c>
      <c r="BG551" s="27"/>
      <c r="BH551" s="27"/>
      <c r="BI551" s="27"/>
      <c r="CA551" s="20">
        <f t="shared" si="3710"/>
        <v>400</v>
      </c>
      <c r="CB551" s="20">
        <f t="shared" si="3711"/>
        <v>40000</v>
      </c>
    </row>
    <row r="552" spans="1:80" x14ac:dyDescent="0.15">
      <c r="A552">
        <v>6109</v>
      </c>
      <c r="B552" s="3" t="s">
        <v>132</v>
      </c>
      <c r="C552" s="4" t="s">
        <v>109</v>
      </c>
      <c r="D552" s="4" t="s">
        <v>110</v>
      </c>
      <c r="E552" s="5">
        <v>5</v>
      </c>
      <c r="F552" s="7" t="s">
        <v>140</v>
      </c>
      <c r="G552" s="5">
        <v>3</v>
      </c>
      <c r="H552" s="7" t="s">
        <v>140</v>
      </c>
      <c r="I552" s="5">
        <v>0</v>
      </c>
      <c r="J552" s="7">
        <v>0</v>
      </c>
      <c r="K552">
        <v>6</v>
      </c>
      <c r="L552">
        <v>1.5</v>
      </c>
      <c r="M552" s="5">
        <v>1.5</v>
      </c>
      <c r="N552" s="5">
        <v>10</v>
      </c>
      <c r="O552" s="5">
        <f t="shared" si="3691"/>
        <v>90977</v>
      </c>
      <c r="P552" s="5">
        <f t="shared" si="3692"/>
        <v>511056000</v>
      </c>
      <c r="Q552" s="5">
        <f t="shared" si="3693"/>
        <v>8517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70091</v>
      </c>
      <c r="X552" s="6" t="s">
        <v>187</v>
      </c>
      <c r="Y552" s="5">
        <v>300</v>
      </c>
      <c r="Z552" s="5">
        <v>1</v>
      </c>
      <c r="AA552" s="5">
        <v>174112727</v>
      </c>
      <c r="AB552" s="16" t="s">
        <v>111</v>
      </c>
      <c r="AC552" s="7" t="s">
        <v>112</v>
      </c>
      <c r="AD552" s="7" t="s">
        <v>112</v>
      </c>
      <c r="AE552" s="7" t="s">
        <v>112</v>
      </c>
      <c r="AF552" s="6" t="s">
        <v>113</v>
      </c>
      <c r="AG552" s="26" t="str">
        <f t="shared" ref="AG552" si="3954">CM$12</f>
        <v>4,33,28,33,6,4,33,28,33,6</v>
      </c>
      <c r="AH552" s="26" t="str">
        <f t="shared" ref="AH552" si="3955">CN$12</f>
        <v>0,5,0,5,1,0,5,0,5,1</v>
      </c>
      <c r="AI552" s="26" t="str">
        <f t="shared" ref="AI552" si="3956">CO$12</f>
        <v>0,0,0,0,1,0,0,0,0,1</v>
      </c>
      <c r="AJ552" s="26" t="str">
        <f t="shared" ref="AJ552" si="3957">CP$12</f>
        <v>0,0,0,0,5,0,0,0,0,5</v>
      </c>
      <c r="AK552" s="26" t="str">
        <f t="shared" ref="AK552" si="3958">CQ$12</f>
        <v>100,1,1000,2,5,200,1,1000,2,5</v>
      </c>
      <c r="AL552" s="26" t="str">
        <f t="shared" ref="AL552" si="3959">CR$12</f>
        <v>5,5,5,5,5,5,5,5,5,5</v>
      </c>
      <c r="AM552" s="7">
        <v>2001</v>
      </c>
      <c r="AO552">
        <f t="shared" ref="AO552" si="3960">AQ552*100+9</f>
        <v>6109</v>
      </c>
      <c r="AP552">
        <v>548</v>
      </c>
      <c r="AQ552">
        <f t="shared" si="3701"/>
        <v>61</v>
      </c>
      <c r="AR552">
        <v>11</v>
      </c>
      <c r="AS552" s="17">
        <f t="shared" si="3782"/>
        <v>380</v>
      </c>
      <c r="AT552">
        <v>10</v>
      </c>
      <c r="AU552">
        <f t="shared" si="3702"/>
        <v>32</v>
      </c>
      <c r="AV552">
        <v>150</v>
      </c>
      <c r="AW552">
        <f t="shared" si="3703"/>
        <v>90977.40287999998</v>
      </c>
      <c r="AX552">
        <f t="shared" si="3832"/>
        <v>511056000</v>
      </c>
      <c r="AY552">
        <f t="shared" si="3704"/>
        <v>8517.6</v>
      </c>
      <c r="AZ552">
        <f t="shared" si="3705"/>
        <v>17035.2</v>
      </c>
      <c r="BA552">
        <f t="shared" si="3706"/>
        <v>104831.99999999999</v>
      </c>
      <c r="BB552">
        <f t="shared" si="3707"/>
        <v>4258.8</v>
      </c>
      <c r="BC552">
        <f t="shared" si="3833"/>
        <v>511056000</v>
      </c>
      <c r="BD552">
        <f t="shared" si="3708"/>
        <v>0.29411764705882348</v>
      </c>
      <c r="BE552" s="27">
        <f t="shared" si="3834"/>
        <v>777005249.52959991</v>
      </c>
      <c r="BF552" s="30">
        <f t="shared" si="3709"/>
        <v>0.44639999999999996</v>
      </c>
      <c r="BG552" s="27"/>
      <c r="BH552" s="27"/>
      <c r="BI552" s="27"/>
      <c r="CA552" s="20">
        <f t="shared" si="3710"/>
        <v>400</v>
      </c>
      <c r="CB552" s="20">
        <f t="shared" si="3711"/>
        <v>40000</v>
      </c>
    </row>
    <row r="553" spans="1:80" x14ac:dyDescent="0.15">
      <c r="A553">
        <v>6201</v>
      </c>
      <c r="B553" s="3" t="s">
        <v>108</v>
      </c>
      <c r="C553" s="4" t="s">
        <v>109</v>
      </c>
      <c r="D553" s="4" t="s">
        <v>110</v>
      </c>
      <c r="E553" s="5">
        <v>3</v>
      </c>
      <c r="F553" s="7" t="s">
        <v>141</v>
      </c>
      <c r="G553" s="5">
        <v>2.5</v>
      </c>
      <c r="H553" s="7" t="s">
        <v>194</v>
      </c>
      <c r="I553" s="5">
        <v>0</v>
      </c>
      <c r="J553" s="5">
        <v>0</v>
      </c>
      <c r="K553">
        <v>2</v>
      </c>
      <c r="L553">
        <v>1.5</v>
      </c>
      <c r="M553" s="5">
        <v>1.5</v>
      </c>
      <c r="N553" s="5">
        <v>10</v>
      </c>
      <c r="O553" s="5">
        <f t="shared" si="3691"/>
        <v>82950</v>
      </c>
      <c r="P553" s="5">
        <f t="shared" si="3692"/>
        <v>465192000</v>
      </c>
      <c r="Q553" s="5">
        <f t="shared" si="3693"/>
        <v>7753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70011</v>
      </c>
      <c r="X553" s="6" t="s">
        <v>179</v>
      </c>
      <c r="Y553" s="5">
        <v>300</v>
      </c>
      <c r="Z553" s="5">
        <v>1</v>
      </c>
      <c r="AA553" s="5">
        <v>178982778</v>
      </c>
      <c r="AB553" s="16" t="s">
        <v>111</v>
      </c>
      <c r="AC553" s="7" t="s">
        <v>112</v>
      </c>
      <c r="AD553" s="7" t="s">
        <v>112</v>
      </c>
      <c r="AE553" s="7" t="s">
        <v>112</v>
      </c>
      <c r="AF553" s="6" t="s">
        <v>113</v>
      </c>
      <c r="AG553" s="26" t="str">
        <f t="shared" ref="AG553" si="3961">CM$4</f>
        <v>4,33,28,33,6,4,33,28,33,6</v>
      </c>
      <c r="AH553" s="26" t="str">
        <f t="shared" ref="AH553" si="3962">CN$4</f>
        <v>0,8,0,8,1,0,8,0,8,1</v>
      </c>
      <c r="AI553" s="26" t="str">
        <f t="shared" ref="AI553" si="3963">CO$4</f>
        <v>0,0,0,0,1,0,0,0,0,1</v>
      </c>
      <c r="AJ553" s="26" t="str">
        <f t="shared" ref="AJ553" si="3964">CP$4</f>
        <v>0,0,0,0,5,0,0,0,0,5</v>
      </c>
      <c r="AK553" s="26" t="str">
        <f t="shared" ref="AK553" si="3965">CQ$4</f>
        <v>100,1,1000,2,5,200,1,1000,2,5</v>
      </c>
      <c r="AL553" s="26" t="str">
        <f t="shared" ref="AL553" si="3966">CR$4</f>
        <v>5,5,5,5,5,5,5,5,5,5</v>
      </c>
      <c r="AM553" s="7">
        <v>2001</v>
      </c>
      <c r="AO553">
        <f t="shared" ref="AO553" si="3967">AQ553*100+1</f>
        <v>6201</v>
      </c>
      <c r="AP553">
        <v>549</v>
      </c>
      <c r="AQ553">
        <f t="shared" si="3701"/>
        <v>62</v>
      </c>
      <c r="AR553">
        <v>11</v>
      </c>
      <c r="AS553" s="17">
        <f t="shared" si="3782"/>
        <v>345</v>
      </c>
      <c r="AT553">
        <v>10</v>
      </c>
      <c r="AU553">
        <f t="shared" si="3702"/>
        <v>32</v>
      </c>
      <c r="AV553">
        <v>150</v>
      </c>
      <c r="AW553">
        <f t="shared" si="3703"/>
        <v>82950.174719999966</v>
      </c>
      <c r="AX553">
        <f t="shared" si="3832"/>
        <v>465191999.99999994</v>
      </c>
      <c r="AY553">
        <f t="shared" si="3704"/>
        <v>7753.1999999999989</v>
      </c>
      <c r="AZ553">
        <f t="shared" si="3705"/>
        <v>15506.399999999998</v>
      </c>
      <c r="BA553">
        <f t="shared" si="3706"/>
        <v>95423.999999999985</v>
      </c>
      <c r="BB553">
        <f t="shared" si="3707"/>
        <v>3876.5999999999995</v>
      </c>
      <c r="BC553">
        <f t="shared" si="3833"/>
        <v>465191999.99999994</v>
      </c>
      <c r="BD553">
        <f t="shared" si="3708"/>
        <v>0.29411764705882348</v>
      </c>
      <c r="BE553" s="27">
        <f t="shared" si="3834"/>
        <v>643800700.67040002</v>
      </c>
      <c r="BF553" s="30">
        <f t="shared" si="3709"/>
        <v>0.44879999999999998</v>
      </c>
      <c r="BG553" s="27"/>
      <c r="BH553" s="27"/>
      <c r="BI553" s="27"/>
      <c r="CA553" s="20">
        <f t="shared" si="3710"/>
        <v>405</v>
      </c>
      <c r="CB553" s="20">
        <f t="shared" si="3711"/>
        <v>40500</v>
      </c>
    </row>
    <row r="554" spans="1:80" x14ac:dyDescent="0.15">
      <c r="A554">
        <v>6202</v>
      </c>
      <c r="B554" s="3" t="s">
        <v>115</v>
      </c>
      <c r="C554" s="4" t="s">
        <v>109</v>
      </c>
      <c r="D554" s="6" t="s">
        <v>110</v>
      </c>
      <c r="E554" s="5">
        <v>3</v>
      </c>
      <c r="F554" s="7" t="s">
        <v>142</v>
      </c>
      <c r="G554" s="5">
        <v>3</v>
      </c>
      <c r="H554" s="7" t="s">
        <v>188</v>
      </c>
      <c r="I554" s="5">
        <v>0</v>
      </c>
      <c r="J554" s="5">
        <v>0</v>
      </c>
      <c r="K554">
        <v>2</v>
      </c>
      <c r="L554">
        <v>1.5</v>
      </c>
      <c r="M554" s="5">
        <v>1.5</v>
      </c>
      <c r="N554" s="5">
        <v>10</v>
      </c>
      <c r="O554" s="5">
        <f t="shared" si="3691"/>
        <v>84118</v>
      </c>
      <c r="P554" s="5">
        <f t="shared" si="3692"/>
        <v>471744000</v>
      </c>
      <c r="Q554" s="5">
        <f t="shared" si="3693"/>
        <v>7862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70021</v>
      </c>
      <c r="X554" s="6" t="s">
        <v>180</v>
      </c>
      <c r="Y554" s="5">
        <v>300</v>
      </c>
      <c r="Z554" s="5">
        <v>1</v>
      </c>
      <c r="AA554" s="5">
        <v>146303055</v>
      </c>
      <c r="AB554" s="16" t="s">
        <v>111</v>
      </c>
      <c r="AC554" s="7" t="s">
        <v>112</v>
      </c>
      <c r="AD554" s="7" t="s">
        <v>112</v>
      </c>
      <c r="AE554" s="7" t="s">
        <v>112</v>
      </c>
      <c r="AF554" s="6" t="s">
        <v>113</v>
      </c>
      <c r="AG554" s="26" t="str">
        <f t="shared" ref="AG554" si="3968">CM$5</f>
        <v>4,33,28,33,6,4,33,28,33,6</v>
      </c>
      <c r="AH554" s="26" t="str">
        <f t="shared" ref="AH554" si="3969">CN$5</f>
        <v>0,7,0,7,1,0,7,0,7,1</v>
      </c>
      <c r="AI554" s="26" t="str">
        <f t="shared" ref="AI554" si="3970">CO$5</f>
        <v>0,0,0,0,1,0,0,0,0,1</v>
      </c>
      <c r="AJ554" s="26" t="str">
        <f t="shared" ref="AJ554" si="3971">CP$5</f>
        <v>0,0,0,0,5,0,0,0,0,5</v>
      </c>
      <c r="AK554" s="26" t="str">
        <f t="shared" ref="AK554" si="3972">CQ$5</f>
        <v>100,1,1000,2,5,200,1,1000,2,5</v>
      </c>
      <c r="AL554" s="26" t="str">
        <f t="shared" ref="AL554" si="3973">CR$5</f>
        <v>5,5,5,5,5,5,5,5,5,5</v>
      </c>
      <c r="AM554" s="7">
        <v>2001</v>
      </c>
      <c r="AO554">
        <f t="shared" ref="AO554" si="3974">AQ554*100+2</f>
        <v>6202</v>
      </c>
      <c r="AP554">
        <v>550</v>
      </c>
      <c r="AQ554">
        <f t="shared" si="3701"/>
        <v>62</v>
      </c>
      <c r="AR554">
        <v>11</v>
      </c>
      <c r="AS554" s="17">
        <f t="shared" si="3782"/>
        <v>350</v>
      </c>
      <c r="AT554">
        <v>10</v>
      </c>
      <c r="AU554">
        <f t="shared" si="3702"/>
        <v>32</v>
      </c>
      <c r="AV554">
        <v>150</v>
      </c>
      <c r="AW554">
        <f t="shared" si="3703"/>
        <v>84118.487039999978</v>
      </c>
      <c r="AX554">
        <f t="shared" si="3832"/>
        <v>471743999.99999994</v>
      </c>
      <c r="AY554">
        <f t="shared" si="3704"/>
        <v>7862.3999999999987</v>
      </c>
      <c r="AZ554">
        <f t="shared" si="3705"/>
        <v>15724.799999999997</v>
      </c>
      <c r="BA554">
        <f t="shared" si="3706"/>
        <v>96767.999999999985</v>
      </c>
      <c r="BB554">
        <f t="shared" si="3707"/>
        <v>3931.1999999999994</v>
      </c>
      <c r="BC554">
        <f t="shared" si="3833"/>
        <v>471743999.99999994</v>
      </c>
      <c r="BD554">
        <f t="shared" si="3708"/>
        <v>0.29411764705882348</v>
      </c>
      <c r="BE554" s="27">
        <f t="shared" si="3834"/>
        <v>662063644.56959987</v>
      </c>
      <c r="BF554" s="30">
        <f t="shared" si="3709"/>
        <v>0.44879999999999998</v>
      </c>
      <c r="BG554" s="27"/>
      <c r="BH554" s="27"/>
      <c r="BI554" s="27"/>
      <c r="CA554" s="20">
        <f t="shared" si="3710"/>
        <v>405</v>
      </c>
      <c r="CB554" s="20">
        <f t="shared" si="3711"/>
        <v>40500</v>
      </c>
    </row>
    <row r="555" spans="1:80" x14ac:dyDescent="0.15">
      <c r="A555">
        <v>6203</v>
      </c>
      <c r="B555" s="3" t="s">
        <v>117</v>
      </c>
      <c r="C555" s="4" t="s">
        <v>109</v>
      </c>
      <c r="D555" s="4" t="s">
        <v>110</v>
      </c>
      <c r="E555" s="5">
        <v>1</v>
      </c>
      <c r="F555" s="7" t="s">
        <v>144</v>
      </c>
      <c r="G555" s="5">
        <v>3</v>
      </c>
      <c r="H555" s="7" t="s">
        <v>189</v>
      </c>
      <c r="I555" s="5">
        <v>0</v>
      </c>
      <c r="J555" s="2">
        <v>0</v>
      </c>
      <c r="K555">
        <v>6</v>
      </c>
      <c r="L555">
        <v>1.5</v>
      </c>
      <c r="M555" s="5">
        <v>1.5</v>
      </c>
      <c r="N555" s="5">
        <v>10</v>
      </c>
      <c r="O555" s="5">
        <f t="shared" si="3691"/>
        <v>85286</v>
      </c>
      <c r="P555" s="5">
        <f t="shared" si="3692"/>
        <v>478296000</v>
      </c>
      <c r="Q555" s="5">
        <f t="shared" si="3693"/>
        <v>7971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70031</v>
      </c>
      <c r="X555" s="6" t="s">
        <v>181</v>
      </c>
      <c r="Y555" s="5">
        <v>300</v>
      </c>
      <c r="Z555" s="5">
        <v>1</v>
      </c>
      <c r="AA555" s="5">
        <v>150770068</v>
      </c>
      <c r="AB555" s="16" t="s">
        <v>111</v>
      </c>
      <c r="AC555" s="7" t="s">
        <v>112</v>
      </c>
      <c r="AD555" s="7" t="s">
        <v>112</v>
      </c>
      <c r="AE555" s="7" t="s">
        <v>112</v>
      </c>
      <c r="AF555" s="6" t="s">
        <v>113</v>
      </c>
      <c r="AG555" s="26" t="str">
        <f t="shared" ref="AG555" si="3975">CM$6</f>
        <v>4,28,6,28,6,4,28,6,28,6</v>
      </c>
      <c r="AH555" s="26" t="str">
        <f t="shared" ref="AH555" si="3976">CN$6</f>
        <v>0,0,1,0,1,0,0,1,0,1</v>
      </c>
      <c r="AI555" s="26" t="str">
        <f t="shared" ref="AI555" si="3977">CO$6</f>
        <v>0,0,0,0,1,0,0,0,0,1</v>
      </c>
      <c r="AJ555" s="26" t="str">
        <f t="shared" ref="AJ555" si="3978">CP$6</f>
        <v>0,0,5,0,5,0,0,5,0,5</v>
      </c>
      <c r="AK555" s="26" t="str">
        <f t="shared" ref="AK555" si="3979">CQ$6</f>
        <v>100,1000,5,1500,5,200,1000,5,1500,5</v>
      </c>
      <c r="AL555" s="26" t="str">
        <f t="shared" ref="AL555" si="3980">CR$6</f>
        <v>5,5,5,5,5,5,5,5,5,5</v>
      </c>
      <c r="AM555" s="7">
        <v>2001</v>
      </c>
      <c r="AO555">
        <f t="shared" ref="AO555" si="3981">AQ555*100+3</f>
        <v>6203</v>
      </c>
      <c r="AP555">
        <v>551</v>
      </c>
      <c r="AQ555">
        <f t="shared" si="3701"/>
        <v>62</v>
      </c>
      <c r="AR555">
        <v>11</v>
      </c>
      <c r="AS555" s="17">
        <f t="shared" si="3782"/>
        <v>355</v>
      </c>
      <c r="AT555">
        <v>10</v>
      </c>
      <c r="AU555">
        <f t="shared" si="3702"/>
        <v>32</v>
      </c>
      <c r="AV555">
        <v>150</v>
      </c>
      <c r="AW555">
        <f t="shared" si="3703"/>
        <v>85286.799359999975</v>
      </c>
      <c r="AX555">
        <f t="shared" si="3832"/>
        <v>478295999.99999988</v>
      </c>
      <c r="AY555">
        <f t="shared" si="3704"/>
        <v>7971.5999999999985</v>
      </c>
      <c r="AZ555">
        <f t="shared" si="3705"/>
        <v>15943.199999999997</v>
      </c>
      <c r="BA555">
        <f t="shared" si="3706"/>
        <v>98111.999999999985</v>
      </c>
      <c r="BB555">
        <f t="shared" si="3707"/>
        <v>3985.7999999999993</v>
      </c>
      <c r="BC555">
        <f t="shared" si="3833"/>
        <v>478295999.99999988</v>
      </c>
      <c r="BD555">
        <f t="shared" si="3708"/>
        <v>0.29411764705882354</v>
      </c>
      <c r="BE555" s="27">
        <f t="shared" si="3834"/>
        <v>680582014.25759995</v>
      </c>
      <c r="BF555" s="30">
        <f t="shared" si="3709"/>
        <v>0.44879999999999998</v>
      </c>
      <c r="BG555" s="27"/>
      <c r="BH555" s="27"/>
      <c r="BI555" s="27"/>
      <c r="CA555" s="20">
        <f t="shared" si="3710"/>
        <v>405</v>
      </c>
      <c r="CB555" s="20">
        <f t="shared" si="3711"/>
        <v>40500</v>
      </c>
    </row>
    <row r="556" spans="1:80" x14ac:dyDescent="0.15">
      <c r="A556">
        <v>6204</v>
      </c>
      <c r="B556" s="3" t="s">
        <v>119</v>
      </c>
      <c r="C556" s="4" t="s">
        <v>109</v>
      </c>
      <c r="D556" s="6" t="s">
        <v>120</v>
      </c>
      <c r="E556" s="5">
        <v>3</v>
      </c>
      <c r="F556" s="7" t="s">
        <v>145</v>
      </c>
      <c r="G556" s="5">
        <v>3</v>
      </c>
      <c r="H556" s="7" t="s">
        <v>190</v>
      </c>
      <c r="I556" s="5">
        <v>0</v>
      </c>
      <c r="J556" s="5">
        <v>0</v>
      </c>
      <c r="K556">
        <v>2</v>
      </c>
      <c r="L556">
        <v>1.5</v>
      </c>
      <c r="M556" s="5">
        <v>1.5</v>
      </c>
      <c r="N556" s="5">
        <v>10</v>
      </c>
      <c r="O556" s="5">
        <f t="shared" si="3691"/>
        <v>86455</v>
      </c>
      <c r="P556" s="5">
        <f t="shared" si="3692"/>
        <v>484848000</v>
      </c>
      <c r="Q556" s="5">
        <f t="shared" si="3693"/>
        <v>8080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70041</v>
      </c>
      <c r="X556" s="6" t="s">
        <v>182</v>
      </c>
      <c r="Y556" s="5">
        <v>300</v>
      </c>
      <c r="Z556" s="5">
        <v>1</v>
      </c>
      <c r="AA556" s="5">
        <v>155304253</v>
      </c>
      <c r="AB556" s="16" t="s">
        <v>111</v>
      </c>
      <c r="AC556" s="7" t="s">
        <v>112</v>
      </c>
      <c r="AD556" s="7" t="s">
        <v>112</v>
      </c>
      <c r="AE556" s="7" t="s">
        <v>112</v>
      </c>
      <c r="AF556" s="6" t="s">
        <v>113</v>
      </c>
      <c r="AG556" s="26" t="str">
        <f t="shared" ref="AG556" si="3982">CM$7</f>
        <v>4,14,28,14,6,4,14,28,14,6</v>
      </c>
      <c r="AH556" s="26" t="str">
        <f t="shared" ref="AH556" si="3983">CN$7</f>
        <v>0,0,0,0,1,0,0,0,0,1</v>
      </c>
      <c r="AI556" s="26" t="str">
        <f t="shared" ref="AI556" si="3984">CO$7</f>
        <v>0,0,0,0,1,0,0,0,0,1</v>
      </c>
      <c r="AJ556" s="26" t="str">
        <f t="shared" ref="AJ556" si="3985">CP$7</f>
        <v>0,0,0,0,5,0,0,0,0,5</v>
      </c>
      <c r="AK556" s="26" t="str">
        <f t="shared" ref="AK556" si="3986">CQ$7</f>
        <v>100,1,1000,2,5,200,1,1000,2,5</v>
      </c>
      <c r="AL556" s="26" t="str">
        <f t="shared" ref="AL556" si="3987">CR$7</f>
        <v>5,5,5,5,5,5,5,5,5,5</v>
      </c>
      <c r="AM556" s="7">
        <v>2001</v>
      </c>
      <c r="AO556">
        <f t="shared" ref="AO556" si="3988">AQ556*100+4</f>
        <v>6204</v>
      </c>
      <c r="AP556">
        <v>552</v>
      </c>
      <c r="AQ556">
        <f t="shared" si="3701"/>
        <v>62</v>
      </c>
      <c r="AR556">
        <v>11</v>
      </c>
      <c r="AS556" s="17">
        <f t="shared" si="3782"/>
        <v>360</v>
      </c>
      <c r="AT556">
        <v>10</v>
      </c>
      <c r="AU556">
        <f t="shared" si="3702"/>
        <v>32</v>
      </c>
      <c r="AV556">
        <v>150</v>
      </c>
      <c r="AW556">
        <f t="shared" si="3703"/>
        <v>86455.111679999973</v>
      </c>
      <c r="AX556">
        <f t="shared" si="3832"/>
        <v>484848000</v>
      </c>
      <c r="AY556">
        <f t="shared" si="3704"/>
        <v>8080.8</v>
      </c>
      <c r="AZ556">
        <f t="shared" si="3705"/>
        <v>16161.6</v>
      </c>
      <c r="BA556">
        <f t="shared" si="3706"/>
        <v>99455.999999999985</v>
      </c>
      <c r="BB556">
        <f t="shared" si="3707"/>
        <v>4040.4</v>
      </c>
      <c r="BC556">
        <f t="shared" si="3833"/>
        <v>484848000</v>
      </c>
      <c r="BD556">
        <f t="shared" si="3708"/>
        <v>0.29411764705882348</v>
      </c>
      <c r="BE556" s="27">
        <f t="shared" si="3834"/>
        <v>699355809.73440015</v>
      </c>
      <c r="BF556" s="30">
        <f t="shared" si="3709"/>
        <v>0.44879999999999998</v>
      </c>
      <c r="BG556" s="27"/>
      <c r="BH556" s="27"/>
      <c r="BI556" s="27"/>
      <c r="CA556" s="20">
        <f t="shared" si="3710"/>
        <v>405</v>
      </c>
      <c r="CB556" s="20">
        <f t="shared" si="3711"/>
        <v>40500</v>
      </c>
    </row>
    <row r="557" spans="1:80" x14ac:dyDescent="0.15">
      <c r="A557">
        <v>6205</v>
      </c>
      <c r="B557" s="3" t="s">
        <v>122</v>
      </c>
      <c r="C557" s="4" t="s">
        <v>109</v>
      </c>
      <c r="D557" s="4" t="s">
        <v>110</v>
      </c>
      <c r="E557" s="5">
        <v>2</v>
      </c>
      <c r="F557" s="7" t="s">
        <v>146</v>
      </c>
      <c r="G557" s="5">
        <v>3</v>
      </c>
      <c r="H557" s="7" t="s">
        <v>191</v>
      </c>
      <c r="I557" s="5">
        <v>0</v>
      </c>
      <c r="J557" s="7" t="s">
        <v>148</v>
      </c>
      <c r="K557">
        <v>6</v>
      </c>
      <c r="L557">
        <v>1.5</v>
      </c>
      <c r="M557" s="5">
        <v>1.5</v>
      </c>
      <c r="N557" s="5">
        <v>10</v>
      </c>
      <c r="O557" s="5">
        <f t="shared" si="3691"/>
        <v>87623</v>
      </c>
      <c r="P557" s="5">
        <f t="shared" si="3692"/>
        <v>491400000</v>
      </c>
      <c r="Q557" s="5">
        <f t="shared" si="3693"/>
        <v>8190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70051</v>
      </c>
      <c r="X557" s="6" t="s">
        <v>183</v>
      </c>
      <c r="Y557" s="5">
        <v>300</v>
      </c>
      <c r="Z557" s="5">
        <v>1</v>
      </c>
      <c r="AA557" s="5">
        <v>159905612</v>
      </c>
      <c r="AB557" s="16" t="s">
        <v>111</v>
      </c>
      <c r="AC557" s="7" t="s">
        <v>112</v>
      </c>
      <c r="AD557" s="7" t="s">
        <v>112</v>
      </c>
      <c r="AE557" s="7" t="s">
        <v>112</v>
      </c>
      <c r="AF557" s="6" t="s">
        <v>113</v>
      </c>
      <c r="AG557" s="26" t="str">
        <f t="shared" ref="AG557" si="3989">CM$8</f>
        <v>4,19,28,19,6,4,19,28,19,6</v>
      </c>
      <c r="AH557" s="26" t="str">
        <f t="shared" ref="AH557" si="3990">CN$8</f>
        <v>0,0,0,0,1,0,0,0,0,1</v>
      </c>
      <c r="AI557" s="26" t="str">
        <f t="shared" ref="AI557" si="3991">CO$8</f>
        <v>0,0,0,0,1,0,0,0,0,1</v>
      </c>
      <c r="AJ557" s="26" t="str">
        <f t="shared" ref="AJ557" si="3992">CP$8</f>
        <v>0,0,0,0,5,0,0,0,0,5</v>
      </c>
      <c r="AK557" s="26" t="str">
        <f t="shared" ref="AK557" si="3993">CQ$8</f>
        <v>200,100,1000,200,5,200,100,1000,200,5</v>
      </c>
      <c r="AL557" s="26" t="str">
        <f t="shared" ref="AL557" si="3994">CR$8</f>
        <v>5,5,5,5,5,5,5,5,5,5</v>
      </c>
      <c r="AM557" s="7">
        <v>2001</v>
      </c>
      <c r="AO557">
        <f t="shared" ref="AO557" si="3995">AQ557*100+5</f>
        <v>6205</v>
      </c>
      <c r="AP557">
        <v>553</v>
      </c>
      <c r="AQ557">
        <f t="shared" si="3701"/>
        <v>62</v>
      </c>
      <c r="AR557">
        <v>11</v>
      </c>
      <c r="AS557" s="17">
        <f t="shared" si="3782"/>
        <v>365</v>
      </c>
      <c r="AT557">
        <v>10</v>
      </c>
      <c r="AU557">
        <f t="shared" si="3702"/>
        <v>32</v>
      </c>
      <c r="AV557">
        <v>150</v>
      </c>
      <c r="AW557">
        <f t="shared" si="3703"/>
        <v>87623.42399999997</v>
      </c>
      <c r="AX557">
        <f t="shared" si="3832"/>
        <v>491400000</v>
      </c>
      <c r="AY557">
        <f t="shared" si="3704"/>
        <v>8190</v>
      </c>
      <c r="AZ557">
        <f t="shared" si="3705"/>
        <v>16380</v>
      </c>
      <c r="BA557">
        <f t="shared" si="3706"/>
        <v>100799.99999999999</v>
      </c>
      <c r="BB557">
        <f t="shared" si="3707"/>
        <v>4095</v>
      </c>
      <c r="BC557">
        <f t="shared" si="3833"/>
        <v>491400000</v>
      </c>
      <c r="BD557">
        <f t="shared" si="3708"/>
        <v>0.29411764705882354</v>
      </c>
      <c r="BE557" s="27">
        <f t="shared" si="3834"/>
        <v>718385031</v>
      </c>
      <c r="BF557" s="30">
        <f t="shared" si="3709"/>
        <v>0.44879999999999998</v>
      </c>
      <c r="BG557" s="27"/>
      <c r="BH557" s="27"/>
      <c r="BI557" s="27"/>
      <c r="CA557" s="20">
        <f t="shared" si="3710"/>
        <v>405</v>
      </c>
      <c r="CB557" s="20">
        <f t="shared" si="3711"/>
        <v>40500</v>
      </c>
    </row>
    <row r="558" spans="1:80" x14ac:dyDescent="0.15">
      <c r="A558">
        <v>6206</v>
      </c>
      <c r="B558" s="3" t="s">
        <v>124</v>
      </c>
      <c r="C558" s="4" t="s">
        <v>109</v>
      </c>
      <c r="D558" s="6" t="s">
        <v>120</v>
      </c>
      <c r="E558" s="5">
        <v>1</v>
      </c>
      <c r="F558" s="7" t="s">
        <v>147</v>
      </c>
      <c r="G558" s="5">
        <v>3</v>
      </c>
      <c r="H558" s="7" t="s">
        <v>192</v>
      </c>
      <c r="I558" s="5">
        <v>0</v>
      </c>
      <c r="J558" s="7" t="s">
        <v>149</v>
      </c>
      <c r="K558">
        <v>6</v>
      </c>
      <c r="L558">
        <v>1.5</v>
      </c>
      <c r="M558" s="5">
        <v>1.5</v>
      </c>
      <c r="N558" s="5">
        <v>10</v>
      </c>
      <c r="O558" s="5">
        <f t="shared" si="3691"/>
        <v>88791</v>
      </c>
      <c r="P558" s="5">
        <f t="shared" si="3692"/>
        <v>497952000</v>
      </c>
      <c r="Q558" s="5">
        <f t="shared" si="3693"/>
        <v>8299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70061</v>
      </c>
      <c r="X558" s="6" t="s">
        <v>184</v>
      </c>
      <c r="Y558" s="5">
        <v>300</v>
      </c>
      <c r="Z558" s="5">
        <v>1</v>
      </c>
      <c r="AA558" s="5">
        <v>164574144</v>
      </c>
      <c r="AB558" s="16" t="s">
        <v>111</v>
      </c>
      <c r="AC558" s="7" t="s">
        <v>112</v>
      </c>
      <c r="AD558" s="7" t="s">
        <v>112</v>
      </c>
      <c r="AE558" s="7" t="s">
        <v>112</v>
      </c>
      <c r="AF558" s="6" t="s">
        <v>113</v>
      </c>
      <c r="AG558" s="26" t="str">
        <f t="shared" ref="AG558" si="3996">CM$9</f>
        <v>4,33,28,33,6,4,33,28,33,6</v>
      </c>
      <c r="AH558" s="26" t="str">
        <f t="shared" ref="AH558" si="3997">CN$9</f>
        <v>0,6,0,6,1,0,6,0,6,1</v>
      </c>
      <c r="AI558" s="26" t="str">
        <f t="shared" ref="AI558" si="3998">CO$9</f>
        <v>0,0,0,0,1,0,0,0,0,1</v>
      </c>
      <c r="AJ558" s="26" t="str">
        <f t="shared" ref="AJ558" si="3999">CP$9</f>
        <v>0,0,0,0,5,0,0,0,0,5</v>
      </c>
      <c r="AK558" s="26" t="str">
        <f t="shared" ref="AK558" si="4000">CQ$9</f>
        <v>200,1,1000,2,5,200,1,1000,2,5</v>
      </c>
      <c r="AL558" s="26" t="str">
        <f t="shared" ref="AL558" si="4001">CR$9</f>
        <v>5,5,5,5,5,5,5,5,5,5</v>
      </c>
      <c r="AM558" s="7">
        <v>2001</v>
      </c>
      <c r="AO558">
        <f t="shared" ref="AO558" si="4002">AQ558*100+6</f>
        <v>6206</v>
      </c>
      <c r="AP558">
        <v>554</v>
      </c>
      <c r="AQ558">
        <f t="shared" si="3701"/>
        <v>62</v>
      </c>
      <c r="AR558">
        <v>11</v>
      </c>
      <c r="AS558" s="17">
        <f t="shared" si="3782"/>
        <v>370</v>
      </c>
      <c r="AT558">
        <v>10</v>
      </c>
      <c r="AU558">
        <f t="shared" si="3702"/>
        <v>32</v>
      </c>
      <c r="AV558">
        <v>150</v>
      </c>
      <c r="AW558">
        <f t="shared" si="3703"/>
        <v>88791.736319999967</v>
      </c>
      <c r="AX558">
        <f t="shared" si="3832"/>
        <v>497952000</v>
      </c>
      <c r="AY558">
        <f t="shared" si="3704"/>
        <v>8299.1999999999989</v>
      </c>
      <c r="AZ558">
        <f t="shared" si="3705"/>
        <v>16598.399999999998</v>
      </c>
      <c r="BA558">
        <f t="shared" si="3706"/>
        <v>102143.99999999999</v>
      </c>
      <c r="BB558">
        <f t="shared" si="3707"/>
        <v>4149.5999999999995</v>
      </c>
      <c r="BC558">
        <f t="shared" si="3833"/>
        <v>497952000</v>
      </c>
      <c r="BD558">
        <f t="shared" si="3708"/>
        <v>0.29411764705882348</v>
      </c>
      <c r="BE558" s="27">
        <f t="shared" si="3834"/>
        <v>737669678.05439997</v>
      </c>
      <c r="BF558" s="30">
        <f t="shared" si="3709"/>
        <v>0.44879999999999998</v>
      </c>
      <c r="BG558" s="27"/>
      <c r="BH558" s="27"/>
      <c r="BI558" s="27"/>
      <c r="CA558" s="20">
        <f t="shared" si="3710"/>
        <v>405</v>
      </c>
      <c r="CB558" s="20">
        <f t="shared" si="3711"/>
        <v>40500</v>
      </c>
    </row>
    <row r="559" spans="1:80" x14ac:dyDescent="0.15">
      <c r="A559">
        <v>6207</v>
      </c>
      <c r="B559" s="3" t="s">
        <v>126</v>
      </c>
      <c r="C559" s="4" t="s">
        <v>109</v>
      </c>
      <c r="D559" s="4" t="s">
        <v>110</v>
      </c>
      <c r="E559" s="5">
        <v>2</v>
      </c>
      <c r="F559" s="7" t="s">
        <v>143</v>
      </c>
      <c r="G559" s="5">
        <v>3</v>
      </c>
      <c r="H559" s="7" t="s">
        <v>193</v>
      </c>
      <c r="I559" s="5">
        <v>0</v>
      </c>
      <c r="J559" s="5">
        <v>0</v>
      </c>
      <c r="K559">
        <v>2</v>
      </c>
      <c r="L559">
        <v>1.5</v>
      </c>
      <c r="M559" s="5">
        <v>1.5</v>
      </c>
      <c r="N559" s="5">
        <v>10</v>
      </c>
      <c r="O559" s="5">
        <f t="shared" si="3691"/>
        <v>89960</v>
      </c>
      <c r="P559" s="5">
        <f t="shared" si="3692"/>
        <v>504504000</v>
      </c>
      <c r="Q559" s="5">
        <f t="shared" si="3693"/>
        <v>8408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70071</v>
      </c>
      <c r="X559" s="6" t="s">
        <v>185</v>
      </c>
      <c r="Y559" s="5">
        <v>300</v>
      </c>
      <c r="Z559" s="5">
        <v>1</v>
      </c>
      <c r="AA559" s="5">
        <v>169309849</v>
      </c>
      <c r="AB559" s="16" t="s">
        <v>111</v>
      </c>
      <c r="AC559" s="7" t="s">
        <v>112</v>
      </c>
      <c r="AD559" s="7" t="s">
        <v>112</v>
      </c>
      <c r="AE559" s="7" t="s">
        <v>112</v>
      </c>
      <c r="AF559" s="6" t="s">
        <v>113</v>
      </c>
      <c r="AG559" s="26" t="str">
        <f t="shared" ref="AG559" si="4003">CM$10</f>
        <v>4,14,28,14,6,4,14,28,14,6</v>
      </c>
      <c r="AH559" s="26" t="str">
        <f t="shared" ref="AH559" si="4004">CN$10</f>
        <v>0,0,0,0,1,0,0,0,0,1</v>
      </c>
      <c r="AI559" s="26" t="str">
        <f t="shared" ref="AI559" si="4005">CO$10</f>
        <v>0,0,0,0,1,0,0,0,0,1</v>
      </c>
      <c r="AJ559" s="26" t="str">
        <f t="shared" ref="AJ559" si="4006">CP$10</f>
        <v>0,0,0,0,5,0,0,0,0,5</v>
      </c>
      <c r="AK559" s="26" t="str">
        <f t="shared" ref="AK559" si="4007">CQ$10</f>
        <v>200,1,1000,2,5,200,1,1000,2,5</v>
      </c>
      <c r="AL559" s="26" t="str">
        <f t="shared" ref="AL559" si="4008">CR$10</f>
        <v>5,5,5,5,5,5,5,5,5,5</v>
      </c>
      <c r="AM559" s="7">
        <v>2001</v>
      </c>
      <c r="AO559">
        <f t="shared" ref="AO559" si="4009">AQ559*100+7</f>
        <v>6207</v>
      </c>
      <c r="AP559">
        <v>555</v>
      </c>
      <c r="AQ559">
        <f t="shared" si="3701"/>
        <v>62</v>
      </c>
      <c r="AR559">
        <v>11</v>
      </c>
      <c r="AS559" s="17">
        <f t="shared" si="3782"/>
        <v>375</v>
      </c>
      <c r="AT559">
        <v>10</v>
      </c>
      <c r="AU559">
        <f t="shared" si="3702"/>
        <v>32</v>
      </c>
      <c r="AV559">
        <v>150</v>
      </c>
      <c r="AW559">
        <f t="shared" si="3703"/>
        <v>89960.048639999979</v>
      </c>
      <c r="AX559">
        <f t="shared" si="3832"/>
        <v>504504000</v>
      </c>
      <c r="AY559">
        <f t="shared" si="3704"/>
        <v>8408.4</v>
      </c>
      <c r="AZ559">
        <f t="shared" si="3705"/>
        <v>16816.8</v>
      </c>
      <c r="BA559">
        <f t="shared" si="3706"/>
        <v>103487.99999999999</v>
      </c>
      <c r="BB559">
        <f t="shared" si="3707"/>
        <v>4204.2</v>
      </c>
      <c r="BC559">
        <f t="shared" si="3833"/>
        <v>504504000</v>
      </c>
      <c r="BD559">
        <f t="shared" si="3708"/>
        <v>0.29411764705882354</v>
      </c>
      <c r="BE559" s="27">
        <f t="shared" si="3834"/>
        <v>757209750.89760005</v>
      </c>
      <c r="BF559" s="30">
        <f t="shared" si="3709"/>
        <v>0.44879999999999998</v>
      </c>
      <c r="BG559" s="27"/>
      <c r="BH559" s="27"/>
      <c r="BI559" s="27"/>
      <c r="CA559" s="20">
        <f t="shared" si="3710"/>
        <v>405</v>
      </c>
      <c r="CB559" s="20">
        <f t="shared" si="3711"/>
        <v>40500</v>
      </c>
    </row>
    <row r="560" spans="1:80" x14ac:dyDescent="0.15">
      <c r="A560">
        <v>6208</v>
      </c>
      <c r="B560" s="3" t="s">
        <v>128</v>
      </c>
      <c r="C560" s="4" t="s">
        <v>109</v>
      </c>
      <c r="D560" s="4" t="s">
        <v>110</v>
      </c>
      <c r="E560" s="5">
        <v>5</v>
      </c>
      <c r="F560" s="7" t="s">
        <v>129</v>
      </c>
      <c r="G560" s="5">
        <v>2</v>
      </c>
      <c r="H560" s="7" t="s">
        <v>130</v>
      </c>
      <c r="I560" s="5">
        <v>0</v>
      </c>
      <c r="J560" s="5">
        <v>0</v>
      </c>
      <c r="K560">
        <v>2</v>
      </c>
      <c r="L560">
        <v>1.5</v>
      </c>
      <c r="M560" s="5">
        <v>1.5</v>
      </c>
      <c r="N560" s="5">
        <v>10</v>
      </c>
      <c r="O560" s="5">
        <f t="shared" si="3691"/>
        <v>91128</v>
      </c>
      <c r="P560" s="5">
        <f t="shared" si="3692"/>
        <v>511056000</v>
      </c>
      <c r="Q560" s="5">
        <f t="shared" si="3693"/>
        <v>8517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70081</v>
      </c>
      <c r="X560" s="6" t="s">
        <v>186</v>
      </c>
      <c r="Y560" s="5">
        <v>300</v>
      </c>
      <c r="Z560" s="5">
        <v>1</v>
      </c>
      <c r="AA560" s="5">
        <v>174112727</v>
      </c>
      <c r="AB560" s="16" t="s">
        <v>111</v>
      </c>
      <c r="AC560" s="7" t="s">
        <v>112</v>
      </c>
      <c r="AD560" s="7" t="s">
        <v>112</v>
      </c>
      <c r="AE560" s="7" t="s">
        <v>112</v>
      </c>
      <c r="AF560" s="6" t="s">
        <v>113</v>
      </c>
      <c r="AG560" s="26" t="str">
        <f t="shared" ref="AG560" si="4010">CM$11</f>
        <v>4,28,6,28,6,4,28,6,28,6</v>
      </c>
      <c r="AH560" s="26" t="str">
        <f t="shared" ref="AH560" si="4011">CN$11</f>
        <v>0,0,1,0,1,0,0,1,0,1</v>
      </c>
      <c r="AI560" s="26" t="str">
        <f t="shared" ref="AI560" si="4012">CO$11</f>
        <v>0,0,1,0,1,0,0,1,0,1</v>
      </c>
      <c r="AJ560" s="26" t="str">
        <f t="shared" ref="AJ560" si="4013">CP$11</f>
        <v>0,0,5,0,5,0,0,5,0,5</v>
      </c>
      <c r="AK560" s="26" t="str">
        <f t="shared" ref="AK560" si="4014">CQ$11</f>
        <v>100,1000,5,1500,5,200,1000,5,1500,5</v>
      </c>
      <c r="AL560" s="26" t="str">
        <f t="shared" ref="AL560" si="4015">CR$11</f>
        <v>5,5,5,5,5,5,5,5,5,5</v>
      </c>
      <c r="AM560" s="7">
        <v>2001</v>
      </c>
      <c r="AO560">
        <f t="shared" ref="AO560" si="4016">AQ560*100+8</f>
        <v>6208</v>
      </c>
      <c r="AP560">
        <v>556</v>
      </c>
      <c r="AQ560">
        <f t="shared" si="3701"/>
        <v>62</v>
      </c>
      <c r="AR560">
        <v>11</v>
      </c>
      <c r="AS560" s="17">
        <f t="shared" si="3782"/>
        <v>380</v>
      </c>
      <c r="AT560">
        <v>10</v>
      </c>
      <c r="AU560">
        <f t="shared" si="3702"/>
        <v>32</v>
      </c>
      <c r="AV560">
        <v>150</v>
      </c>
      <c r="AW560">
        <f t="shared" si="3703"/>
        <v>91128.360959999976</v>
      </c>
      <c r="AX560">
        <f t="shared" si="3832"/>
        <v>511056000</v>
      </c>
      <c r="AY560">
        <f t="shared" si="3704"/>
        <v>8517.6</v>
      </c>
      <c r="AZ560">
        <f t="shared" si="3705"/>
        <v>17035.2</v>
      </c>
      <c r="BA560">
        <f t="shared" si="3706"/>
        <v>104831.99999999999</v>
      </c>
      <c r="BB560">
        <f t="shared" si="3707"/>
        <v>4258.8</v>
      </c>
      <c r="BC560">
        <f t="shared" si="3833"/>
        <v>511056000</v>
      </c>
      <c r="BD560">
        <f t="shared" si="3708"/>
        <v>0.29411764705882348</v>
      </c>
      <c r="BE560" s="27">
        <f t="shared" si="3834"/>
        <v>777005249.52959991</v>
      </c>
      <c r="BF560" s="30">
        <f t="shared" si="3709"/>
        <v>0.44879999999999998</v>
      </c>
      <c r="BG560" s="27"/>
      <c r="BH560" s="27"/>
      <c r="BI560" s="27"/>
      <c r="CA560" s="20">
        <f t="shared" si="3710"/>
        <v>405</v>
      </c>
      <c r="CB560" s="20">
        <f t="shared" si="3711"/>
        <v>40500</v>
      </c>
    </row>
    <row r="561" spans="1:80" x14ac:dyDescent="0.15">
      <c r="A561">
        <v>6209</v>
      </c>
      <c r="B561" s="3" t="s">
        <v>132</v>
      </c>
      <c r="C561" s="4" t="s">
        <v>109</v>
      </c>
      <c r="D561" s="4" t="s">
        <v>110</v>
      </c>
      <c r="E561" s="5">
        <v>5</v>
      </c>
      <c r="F561" s="7" t="s">
        <v>140</v>
      </c>
      <c r="G561" s="5">
        <v>3</v>
      </c>
      <c r="H561" s="7" t="s">
        <v>140</v>
      </c>
      <c r="I561" s="5">
        <v>0</v>
      </c>
      <c r="J561" s="7">
        <v>0</v>
      </c>
      <c r="K561">
        <v>6</v>
      </c>
      <c r="L561">
        <v>1.5</v>
      </c>
      <c r="M561" s="5">
        <v>1.5</v>
      </c>
      <c r="N561" s="5">
        <v>10</v>
      </c>
      <c r="O561" s="5">
        <f t="shared" si="3691"/>
        <v>92296</v>
      </c>
      <c r="P561" s="5">
        <f t="shared" si="3692"/>
        <v>517608000</v>
      </c>
      <c r="Q561" s="5">
        <f t="shared" si="3693"/>
        <v>8626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70091</v>
      </c>
      <c r="X561" s="6" t="s">
        <v>187</v>
      </c>
      <c r="Y561" s="5">
        <v>300</v>
      </c>
      <c r="Z561" s="5">
        <v>1</v>
      </c>
      <c r="AA561" s="5">
        <v>178982778</v>
      </c>
      <c r="AB561" s="16" t="s">
        <v>111</v>
      </c>
      <c r="AC561" s="7" t="s">
        <v>112</v>
      </c>
      <c r="AD561" s="7" t="s">
        <v>112</v>
      </c>
      <c r="AE561" s="7" t="s">
        <v>112</v>
      </c>
      <c r="AF561" s="6" t="s">
        <v>113</v>
      </c>
      <c r="AG561" s="26" t="str">
        <f t="shared" ref="AG561" si="4017">CM$12</f>
        <v>4,33,28,33,6,4,33,28,33,6</v>
      </c>
      <c r="AH561" s="26" t="str">
        <f t="shared" ref="AH561" si="4018">CN$12</f>
        <v>0,5,0,5,1,0,5,0,5,1</v>
      </c>
      <c r="AI561" s="26" t="str">
        <f t="shared" ref="AI561" si="4019">CO$12</f>
        <v>0,0,0,0,1,0,0,0,0,1</v>
      </c>
      <c r="AJ561" s="26" t="str">
        <f t="shared" ref="AJ561" si="4020">CP$12</f>
        <v>0,0,0,0,5,0,0,0,0,5</v>
      </c>
      <c r="AK561" s="26" t="str">
        <f t="shared" ref="AK561" si="4021">CQ$12</f>
        <v>100,1,1000,2,5,200,1,1000,2,5</v>
      </c>
      <c r="AL561" s="26" t="str">
        <f t="shared" ref="AL561" si="4022">CR$12</f>
        <v>5,5,5,5,5,5,5,5,5,5</v>
      </c>
      <c r="AM561" s="7">
        <v>2001</v>
      </c>
      <c r="AO561">
        <f t="shared" ref="AO561" si="4023">AQ561*100+9</f>
        <v>6209</v>
      </c>
      <c r="AP561">
        <v>557</v>
      </c>
      <c r="AQ561">
        <f t="shared" si="3701"/>
        <v>62</v>
      </c>
      <c r="AR561">
        <v>11</v>
      </c>
      <c r="AS561" s="17">
        <f t="shared" si="3782"/>
        <v>385</v>
      </c>
      <c r="AT561">
        <v>10</v>
      </c>
      <c r="AU561">
        <f t="shared" si="3702"/>
        <v>32</v>
      </c>
      <c r="AV561">
        <v>150</v>
      </c>
      <c r="AW561">
        <f t="shared" si="3703"/>
        <v>92296.673279999974</v>
      </c>
      <c r="AX561">
        <f t="shared" si="3832"/>
        <v>517608000</v>
      </c>
      <c r="AY561">
        <f t="shared" si="3704"/>
        <v>8626.7999999999993</v>
      </c>
      <c r="AZ561">
        <f t="shared" si="3705"/>
        <v>17253.599999999999</v>
      </c>
      <c r="BA561">
        <f t="shared" si="3706"/>
        <v>106175.99999999999</v>
      </c>
      <c r="BB561">
        <f t="shared" si="3707"/>
        <v>4313.3999999999996</v>
      </c>
      <c r="BC561">
        <f t="shared" si="3833"/>
        <v>517608000</v>
      </c>
      <c r="BD561">
        <f t="shared" si="3708"/>
        <v>0.29411764705882354</v>
      </c>
      <c r="BE561" s="27">
        <f t="shared" si="3834"/>
        <v>797056173.95040023</v>
      </c>
      <c r="BF561" s="30">
        <f t="shared" si="3709"/>
        <v>0.44879999999999998</v>
      </c>
      <c r="BG561" s="27"/>
      <c r="BH561" s="27"/>
      <c r="BI561" s="27"/>
      <c r="CA561" s="20">
        <f t="shared" si="3710"/>
        <v>405</v>
      </c>
      <c r="CB561" s="20">
        <f t="shared" si="3711"/>
        <v>40500</v>
      </c>
    </row>
    <row r="562" spans="1:80" x14ac:dyDescent="0.15">
      <c r="A562">
        <v>6301</v>
      </c>
      <c r="B562" s="3" t="s">
        <v>108</v>
      </c>
      <c r="C562" s="4" t="s">
        <v>109</v>
      </c>
      <c r="D562" s="4" t="s">
        <v>110</v>
      </c>
      <c r="E562" s="5">
        <v>3</v>
      </c>
      <c r="F562" s="7" t="s">
        <v>141</v>
      </c>
      <c r="G562" s="5">
        <v>2.5</v>
      </c>
      <c r="H562" s="7" t="s">
        <v>194</v>
      </c>
      <c r="I562" s="5">
        <v>0</v>
      </c>
      <c r="J562" s="5">
        <v>0</v>
      </c>
      <c r="K562">
        <v>2</v>
      </c>
      <c r="L562">
        <v>1.5</v>
      </c>
      <c r="M562" s="5">
        <v>1.5</v>
      </c>
      <c r="N562" s="5">
        <v>10</v>
      </c>
      <c r="O562" s="5">
        <f t="shared" si="3691"/>
        <v>84257</v>
      </c>
      <c r="P562" s="5">
        <f t="shared" si="3692"/>
        <v>471744000</v>
      </c>
      <c r="Q562" s="5">
        <f t="shared" si="3693"/>
        <v>7862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70011</v>
      </c>
      <c r="X562" s="6" t="s">
        <v>179</v>
      </c>
      <c r="Y562" s="5">
        <v>300</v>
      </c>
      <c r="Z562" s="5">
        <v>1</v>
      </c>
      <c r="AA562" s="5">
        <v>183920003</v>
      </c>
      <c r="AB562" s="16" t="s">
        <v>111</v>
      </c>
      <c r="AC562" s="7" t="s">
        <v>112</v>
      </c>
      <c r="AD562" s="7" t="s">
        <v>112</v>
      </c>
      <c r="AE562" s="7" t="s">
        <v>112</v>
      </c>
      <c r="AF562" s="6" t="s">
        <v>113</v>
      </c>
      <c r="AG562" s="26" t="str">
        <f t="shared" ref="AG562" si="4024">CM$4</f>
        <v>4,33,28,33,6,4,33,28,33,6</v>
      </c>
      <c r="AH562" s="26" t="str">
        <f t="shared" ref="AH562" si="4025">CN$4</f>
        <v>0,8,0,8,1,0,8,0,8,1</v>
      </c>
      <c r="AI562" s="26" t="str">
        <f t="shared" ref="AI562" si="4026">CO$4</f>
        <v>0,0,0,0,1,0,0,0,0,1</v>
      </c>
      <c r="AJ562" s="26" t="str">
        <f t="shared" ref="AJ562" si="4027">CP$4</f>
        <v>0,0,0,0,5,0,0,0,0,5</v>
      </c>
      <c r="AK562" s="26" t="str">
        <f t="shared" ref="AK562" si="4028">CQ$4</f>
        <v>100,1,1000,2,5,200,1,1000,2,5</v>
      </c>
      <c r="AL562" s="26" t="str">
        <f t="shared" ref="AL562" si="4029">CR$4</f>
        <v>5,5,5,5,5,5,5,5,5,5</v>
      </c>
      <c r="AM562" s="7">
        <v>2001</v>
      </c>
      <c r="AO562">
        <f t="shared" ref="AO562" si="4030">AQ562*100+1</f>
        <v>6301</v>
      </c>
      <c r="AP562">
        <v>558</v>
      </c>
      <c r="AQ562">
        <f t="shared" si="3701"/>
        <v>63</v>
      </c>
      <c r="AR562">
        <v>11</v>
      </c>
      <c r="AS562" s="17">
        <f t="shared" si="3782"/>
        <v>350</v>
      </c>
      <c r="AT562">
        <v>10</v>
      </c>
      <c r="AU562">
        <f t="shared" si="3702"/>
        <v>32</v>
      </c>
      <c r="AV562">
        <v>150</v>
      </c>
      <c r="AW562">
        <f t="shared" si="3703"/>
        <v>84257.832959999985</v>
      </c>
      <c r="AX562">
        <f t="shared" si="3832"/>
        <v>471743999.99999994</v>
      </c>
      <c r="AY562">
        <f t="shared" si="3704"/>
        <v>7862.3999999999987</v>
      </c>
      <c r="AZ562">
        <f t="shared" si="3705"/>
        <v>15724.799999999997</v>
      </c>
      <c r="BA562">
        <f t="shared" si="3706"/>
        <v>96767.999999999985</v>
      </c>
      <c r="BB562">
        <f t="shared" si="3707"/>
        <v>3931.1999999999994</v>
      </c>
      <c r="BC562">
        <f t="shared" si="3833"/>
        <v>471743999.99999994</v>
      </c>
      <c r="BD562">
        <f t="shared" si="3708"/>
        <v>0.29411764705882348</v>
      </c>
      <c r="BE562" s="27">
        <f t="shared" si="3834"/>
        <v>662063644.56959987</v>
      </c>
      <c r="BF562" s="30">
        <f t="shared" si="3709"/>
        <v>0.45119999999999993</v>
      </c>
      <c r="BG562" s="27"/>
      <c r="BH562" s="27"/>
      <c r="BI562" s="27"/>
      <c r="CA562" s="20">
        <f t="shared" si="3710"/>
        <v>410</v>
      </c>
      <c r="CB562" s="20">
        <f t="shared" si="3711"/>
        <v>41000</v>
      </c>
    </row>
    <row r="563" spans="1:80" x14ac:dyDescent="0.15">
      <c r="A563">
        <v>6302</v>
      </c>
      <c r="B563" s="3" t="s">
        <v>115</v>
      </c>
      <c r="C563" s="4" t="s">
        <v>109</v>
      </c>
      <c r="D563" s="6" t="s">
        <v>110</v>
      </c>
      <c r="E563" s="5">
        <v>3</v>
      </c>
      <c r="F563" s="7" t="s">
        <v>142</v>
      </c>
      <c r="G563" s="5">
        <v>3</v>
      </c>
      <c r="H563" s="7" t="s">
        <v>188</v>
      </c>
      <c r="I563" s="5">
        <v>0</v>
      </c>
      <c r="J563" s="5">
        <v>0</v>
      </c>
      <c r="K563">
        <v>2</v>
      </c>
      <c r="L563">
        <v>1.5</v>
      </c>
      <c r="M563" s="5">
        <v>1.5</v>
      </c>
      <c r="N563" s="5">
        <v>10</v>
      </c>
      <c r="O563" s="5">
        <f t="shared" si="3691"/>
        <v>85428</v>
      </c>
      <c r="P563" s="5">
        <f t="shared" si="3692"/>
        <v>478296000</v>
      </c>
      <c r="Q563" s="5">
        <f t="shared" si="3693"/>
        <v>7971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70021</v>
      </c>
      <c r="X563" s="6" t="s">
        <v>180</v>
      </c>
      <c r="Y563" s="5">
        <v>300</v>
      </c>
      <c r="Z563" s="5">
        <v>1</v>
      </c>
      <c r="AA563" s="5">
        <v>150770068</v>
      </c>
      <c r="AB563" s="16" t="s">
        <v>111</v>
      </c>
      <c r="AC563" s="7" t="s">
        <v>112</v>
      </c>
      <c r="AD563" s="7" t="s">
        <v>112</v>
      </c>
      <c r="AE563" s="7" t="s">
        <v>112</v>
      </c>
      <c r="AF563" s="6" t="s">
        <v>113</v>
      </c>
      <c r="AG563" s="26" t="str">
        <f t="shared" ref="AG563" si="4031">CM$5</f>
        <v>4,33,28,33,6,4,33,28,33,6</v>
      </c>
      <c r="AH563" s="26" t="str">
        <f t="shared" ref="AH563" si="4032">CN$5</f>
        <v>0,7,0,7,1,0,7,0,7,1</v>
      </c>
      <c r="AI563" s="26" t="str">
        <f t="shared" ref="AI563" si="4033">CO$5</f>
        <v>0,0,0,0,1,0,0,0,0,1</v>
      </c>
      <c r="AJ563" s="26" t="str">
        <f t="shared" ref="AJ563" si="4034">CP$5</f>
        <v>0,0,0,0,5,0,0,0,0,5</v>
      </c>
      <c r="AK563" s="26" t="str">
        <f t="shared" ref="AK563" si="4035">CQ$5</f>
        <v>100,1,1000,2,5,200,1,1000,2,5</v>
      </c>
      <c r="AL563" s="26" t="str">
        <f t="shared" ref="AL563" si="4036">CR$5</f>
        <v>5,5,5,5,5,5,5,5,5,5</v>
      </c>
      <c r="AM563" s="7">
        <v>2001</v>
      </c>
      <c r="AO563">
        <f t="shared" ref="AO563" si="4037">AQ563*100+2</f>
        <v>6302</v>
      </c>
      <c r="AP563">
        <v>559</v>
      </c>
      <c r="AQ563">
        <f t="shared" si="3701"/>
        <v>63</v>
      </c>
      <c r="AR563">
        <v>11</v>
      </c>
      <c r="AS563" s="17">
        <f t="shared" si="3782"/>
        <v>355</v>
      </c>
      <c r="AT563">
        <v>10</v>
      </c>
      <c r="AU563">
        <f t="shared" si="3702"/>
        <v>32</v>
      </c>
      <c r="AV563">
        <v>150</v>
      </c>
      <c r="AW563">
        <f t="shared" si="3703"/>
        <v>85428.080639999986</v>
      </c>
      <c r="AX563">
        <f t="shared" si="3832"/>
        <v>478295999.99999988</v>
      </c>
      <c r="AY563">
        <f t="shared" si="3704"/>
        <v>7971.5999999999985</v>
      </c>
      <c r="AZ563">
        <f t="shared" si="3705"/>
        <v>15943.199999999997</v>
      </c>
      <c r="BA563">
        <f t="shared" si="3706"/>
        <v>98111.999999999985</v>
      </c>
      <c r="BB563">
        <f t="shared" si="3707"/>
        <v>3985.7999999999993</v>
      </c>
      <c r="BC563">
        <f t="shared" si="3833"/>
        <v>478295999.99999988</v>
      </c>
      <c r="BD563">
        <f t="shared" si="3708"/>
        <v>0.29411764705882354</v>
      </c>
      <c r="BE563" s="27">
        <f t="shared" si="3834"/>
        <v>680582014.25759995</v>
      </c>
      <c r="BF563" s="30">
        <f t="shared" si="3709"/>
        <v>0.45119999999999993</v>
      </c>
      <c r="BG563" s="27"/>
      <c r="BH563" s="27"/>
      <c r="BI563" s="27"/>
      <c r="CA563" s="20">
        <f t="shared" si="3710"/>
        <v>410</v>
      </c>
      <c r="CB563" s="20">
        <f t="shared" si="3711"/>
        <v>41000</v>
      </c>
    </row>
    <row r="564" spans="1:80" x14ac:dyDescent="0.15">
      <c r="A564">
        <v>6303</v>
      </c>
      <c r="B564" s="3" t="s">
        <v>117</v>
      </c>
      <c r="C564" s="4" t="s">
        <v>109</v>
      </c>
      <c r="D564" s="4" t="s">
        <v>110</v>
      </c>
      <c r="E564" s="5">
        <v>1</v>
      </c>
      <c r="F564" s="7" t="s">
        <v>144</v>
      </c>
      <c r="G564" s="5">
        <v>3</v>
      </c>
      <c r="H564" s="7" t="s">
        <v>189</v>
      </c>
      <c r="I564" s="5">
        <v>0</v>
      </c>
      <c r="J564" s="2">
        <v>0</v>
      </c>
      <c r="K564">
        <v>6</v>
      </c>
      <c r="L564">
        <v>1.5</v>
      </c>
      <c r="M564" s="5">
        <v>1.5</v>
      </c>
      <c r="N564" s="5">
        <v>10</v>
      </c>
      <c r="O564" s="5">
        <f t="shared" si="3691"/>
        <v>86598</v>
      </c>
      <c r="P564" s="5">
        <f t="shared" si="3692"/>
        <v>484848000</v>
      </c>
      <c r="Q564" s="5">
        <f t="shared" si="3693"/>
        <v>8080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70031</v>
      </c>
      <c r="X564" s="6" t="s">
        <v>181</v>
      </c>
      <c r="Y564" s="5">
        <v>300</v>
      </c>
      <c r="Z564" s="5">
        <v>1</v>
      </c>
      <c r="AA564" s="5">
        <v>155304253</v>
      </c>
      <c r="AB564" s="16" t="s">
        <v>111</v>
      </c>
      <c r="AC564" s="7" t="s">
        <v>112</v>
      </c>
      <c r="AD564" s="7" t="s">
        <v>112</v>
      </c>
      <c r="AE564" s="7" t="s">
        <v>112</v>
      </c>
      <c r="AF564" s="6" t="s">
        <v>113</v>
      </c>
      <c r="AG564" s="26" t="str">
        <f t="shared" ref="AG564" si="4038">CM$6</f>
        <v>4,28,6,28,6,4,28,6,28,6</v>
      </c>
      <c r="AH564" s="26" t="str">
        <f t="shared" ref="AH564" si="4039">CN$6</f>
        <v>0,0,1,0,1,0,0,1,0,1</v>
      </c>
      <c r="AI564" s="26" t="str">
        <f t="shared" ref="AI564" si="4040">CO$6</f>
        <v>0,0,0,0,1,0,0,0,0,1</v>
      </c>
      <c r="AJ564" s="26" t="str">
        <f t="shared" ref="AJ564" si="4041">CP$6</f>
        <v>0,0,5,0,5,0,0,5,0,5</v>
      </c>
      <c r="AK564" s="26" t="str">
        <f t="shared" ref="AK564" si="4042">CQ$6</f>
        <v>100,1000,5,1500,5,200,1000,5,1500,5</v>
      </c>
      <c r="AL564" s="26" t="str">
        <f t="shared" ref="AL564" si="4043">CR$6</f>
        <v>5,5,5,5,5,5,5,5,5,5</v>
      </c>
      <c r="AM564" s="7">
        <v>2001</v>
      </c>
      <c r="AO564">
        <f t="shared" ref="AO564" si="4044">AQ564*100+3</f>
        <v>6303</v>
      </c>
      <c r="AP564">
        <v>560</v>
      </c>
      <c r="AQ564">
        <f t="shared" si="3701"/>
        <v>63</v>
      </c>
      <c r="AR564">
        <v>11</v>
      </c>
      <c r="AS564" s="17">
        <f t="shared" si="3782"/>
        <v>360</v>
      </c>
      <c r="AT564">
        <v>10</v>
      </c>
      <c r="AU564">
        <f t="shared" si="3702"/>
        <v>32</v>
      </c>
      <c r="AV564">
        <v>150</v>
      </c>
      <c r="AW564">
        <f t="shared" si="3703"/>
        <v>86598.328319999986</v>
      </c>
      <c r="AX564">
        <f t="shared" si="3832"/>
        <v>484848000</v>
      </c>
      <c r="AY564">
        <f t="shared" si="3704"/>
        <v>8080.8</v>
      </c>
      <c r="AZ564">
        <f t="shared" si="3705"/>
        <v>16161.6</v>
      </c>
      <c r="BA564">
        <f t="shared" si="3706"/>
        <v>99455.999999999985</v>
      </c>
      <c r="BB564">
        <f t="shared" si="3707"/>
        <v>4040.4</v>
      </c>
      <c r="BC564">
        <f t="shared" si="3833"/>
        <v>484848000</v>
      </c>
      <c r="BD564">
        <f t="shared" si="3708"/>
        <v>0.29411764705882348</v>
      </c>
      <c r="BE564" s="27">
        <f t="shared" si="3834"/>
        <v>699355809.73440015</v>
      </c>
      <c r="BF564" s="30">
        <f t="shared" si="3709"/>
        <v>0.45119999999999993</v>
      </c>
      <c r="BG564" s="27"/>
      <c r="BH564" s="27"/>
      <c r="BI564" s="27"/>
      <c r="CA564" s="20">
        <f t="shared" si="3710"/>
        <v>410</v>
      </c>
      <c r="CB564" s="20">
        <f t="shared" si="3711"/>
        <v>41000</v>
      </c>
    </row>
    <row r="565" spans="1:80" x14ac:dyDescent="0.15">
      <c r="A565">
        <v>6304</v>
      </c>
      <c r="B565" s="3" t="s">
        <v>119</v>
      </c>
      <c r="C565" s="4" t="s">
        <v>109</v>
      </c>
      <c r="D565" s="6" t="s">
        <v>120</v>
      </c>
      <c r="E565" s="5">
        <v>3</v>
      </c>
      <c r="F565" s="7" t="s">
        <v>145</v>
      </c>
      <c r="G565" s="5">
        <v>3</v>
      </c>
      <c r="H565" s="7" t="s">
        <v>190</v>
      </c>
      <c r="I565" s="5">
        <v>0</v>
      </c>
      <c r="J565" s="5">
        <v>0</v>
      </c>
      <c r="K565">
        <v>2</v>
      </c>
      <c r="L565">
        <v>1.5</v>
      </c>
      <c r="M565" s="5">
        <v>1.5</v>
      </c>
      <c r="N565" s="5">
        <v>10</v>
      </c>
      <c r="O565" s="5">
        <f t="shared" si="3691"/>
        <v>87768</v>
      </c>
      <c r="P565" s="5">
        <f t="shared" si="3692"/>
        <v>491400000</v>
      </c>
      <c r="Q565" s="5">
        <f t="shared" si="3693"/>
        <v>8190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70041</v>
      </c>
      <c r="X565" s="6" t="s">
        <v>182</v>
      </c>
      <c r="Y565" s="5">
        <v>300</v>
      </c>
      <c r="Z565" s="5">
        <v>1</v>
      </c>
      <c r="AA565" s="5">
        <v>159905612</v>
      </c>
      <c r="AB565" s="16" t="s">
        <v>111</v>
      </c>
      <c r="AC565" s="7" t="s">
        <v>112</v>
      </c>
      <c r="AD565" s="7" t="s">
        <v>112</v>
      </c>
      <c r="AE565" s="7" t="s">
        <v>112</v>
      </c>
      <c r="AF565" s="6" t="s">
        <v>113</v>
      </c>
      <c r="AG565" s="26" t="str">
        <f t="shared" ref="AG565" si="4045">CM$7</f>
        <v>4,14,28,14,6,4,14,28,14,6</v>
      </c>
      <c r="AH565" s="26" t="str">
        <f t="shared" ref="AH565" si="4046">CN$7</f>
        <v>0,0,0,0,1,0,0,0,0,1</v>
      </c>
      <c r="AI565" s="26" t="str">
        <f t="shared" ref="AI565" si="4047">CO$7</f>
        <v>0,0,0,0,1,0,0,0,0,1</v>
      </c>
      <c r="AJ565" s="26" t="str">
        <f t="shared" ref="AJ565" si="4048">CP$7</f>
        <v>0,0,0,0,5,0,0,0,0,5</v>
      </c>
      <c r="AK565" s="26" t="str">
        <f t="shared" ref="AK565" si="4049">CQ$7</f>
        <v>100,1,1000,2,5,200,1,1000,2,5</v>
      </c>
      <c r="AL565" s="26" t="str">
        <f t="shared" ref="AL565" si="4050">CR$7</f>
        <v>5,5,5,5,5,5,5,5,5,5</v>
      </c>
      <c r="AM565" s="7">
        <v>2001</v>
      </c>
      <c r="AO565">
        <f t="shared" ref="AO565" si="4051">AQ565*100+4</f>
        <v>6304</v>
      </c>
      <c r="AP565">
        <v>561</v>
      </c>
      <c r="AQ565">
        <f t="shared" si="3701"/>
        <v>63</v>
      </c>
      <c r="AR565">
        <v>11</v>
      </c>
      <c r="AS565" s="17">
        <f t="shared" si="3782"/>
        <v>365</v>
      </c>
      <c r="AT565">
        <v>10</v>
      </c>
      <c r="AU565">
        <f t="shared" si="3702"/>
        <v>32</v>
      </c>
      <c r="AV565">
        <v>150</v>
      </c>
      <c r="AW565">
        <f t="shared" si="3703"/>
        <v>87768.575999999986</v>
      </c>
      <c r="AX565">
        <f t="shared" si="3832"/>
        <v>491400000</v>
      </c>
      <c r="AY565">
        <f t="shared" si="3704"/>
        <v>8190</v>
      </c>
      <c r="AZ565">
        <f t="shared" si="3705"/>
        <v>16380</v>
      </c>
      <c r="BA565">
        <f t="shared" si="3706"/>
        <v>100799.99999999999</v>
      </c>
      <c r="BB565">
        <f t="shared" si="3707"/>
        <v>4095</v>
      </c>
      <c r="BC565">
        <f t="shared" si="3833"/>
        <v>491400000</v>
      </c>
      <c r="BD565">
        <f t="shared" si="3708"/>
        <v>0.29411764705882354</v>
      </c>
      <c r="BE565" s="27">
        <f t="shared" si="3834"/>
        <v>718385031</v>
      </c>
      <c r="BF565" s="30">
        <f t="shared" si="3709"/>
        <v>0.45119999999999993</v>
      </c>
      <c r="BG565" s="27"/>
      <c r="BH565" s="27"/>
      <c r="BI565" s="27"/>
      <c r="CA565" s="20">
        <f t="shared" si="3710"/>
        <v>410</v>
      </c>
      <c r="CB565" s="20">
        <f t="shared" si="3711"/>
        <v>41000</v>
      </c>
    </row>
    <row r="566" spans="1:80" x14ac:dyDescent="0.15">
      <c r="A566">
        <v>6305</v>
      </c>
      <c r="B566" s="3" t="s">
        <v>122</v>
      </c>
      <c r="C566" s="4" t="s">
        <v>109</v>
      </c>
      <c r="D566" s="4" t="s">
        <v>110</v>
      </c>
      <c r="E566" s="5">
        <v>2</v>
      </c>
      <c r="F566" s="7" t="s">
        <v>146</v>
      </c>
      <c r="G566" s="5">
        <v>3</v>
      </c>
      <c r="H566" s="7" t="s">
        <v>191</v>
      </c>
      <c r="I566" s="5">
        <v>0</v>
      </c>
      <c r="J566" s="7" t="s">
        <v>148</v>
      </c>
      <c r="K566">
        <v>6</v>
      </c>
      <c r="L566">
        <v>1.5</v>
      </c>
      <c r="M566" s="5">
        <v>1.5</v>
      </c>
      <c r="N566" s="5">
        <v>10</v>
      </c>
      <c r="O566" s="5">
        <f t="shared" si="3691"/>
        <v>88938</v>
      </c>
      <c r="P566" s="5">
        <f t="shared" si="3692"/>
        <v>497952000</v>
      </c>
      <c r="Q566" s="5">
        <f t="shared" si="3693"/>
        <v>8299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70051</v>
      </c>
      <c r="X566" s="6" t="s">
        <v>183</v>
      </c>
      <c r="Y566" s="5">
        <v>300</v>
      </c>
      <c r="Z566" s="5">
        <v>1</v>
      </c>
      <c r="AA566" s="5">
        <v>164574144</v>
      </c>
      <c r="AB566" s="16" t="s">
        <v>111</v>
      </c>
      <c r="AC566" s="7" t="s">
        <v>112</v>
      </c>
      <c r="AD566" s="7" t="s">
        <v>112</v>
      </c>
      <c r="AE566" s="7" t="s">
        <v>112</v>
      </c>
      <c r="AF566" s="6" t="s">
        <v>113</v>
      </c>
      <c r="AG566" s="26" t="str">
        <f t="shared" ref="AG566" si="4052">CM$8</f>
        <v>4,19,28,19,6,4,19,28,19,6</v>
      </c>
      <c r="AH566" s="26" t="str">
        <f t="shared" ref="AH566" si="4053">CN$8</f>
        <v>0,0,0,0,1,0,0,0,0,1</v>
      </c>
      <c r="AI566" s="26" t="str">
        <f t="shared" ref="AI566" si="4054">CO$8</f>
        <v>0,0,0,0,1,0,0,0,0,1</v>
      </c>
      <c r="AJ566" s="26" t="str">
        <f t="shared" ref="AJ566" si="4055">CP$8</f>
        <v>0,0,0,0,5,0,0,0,0,5</v>
      </c>
      <c r="AK566" s="26" t="str">
        <f t="shared" ref="AK566" si="4056">CQ$8</f>
        <v>200,100,1000,200,5,200,100,1000,200,5</v>
      </c>
      <c r="AL566" s="26" t="str">
        <f t="shared" ref="AL566" si="4057">CR$8</f>
        <v>5,5,5,5,5,5,5,5,5,5</v>
      </c>
      <c r="AM566" s="7">
        <v>2001</v>
      </c>
      <c r="AO566">
        <f t="shared" ref="AO566" si="4058">AQ566*100+5</f>
        <v>6305</v>
      </c>
      <c r="AP566">
        <v>562</v>
      </c>
      <c r="AQ566">
        <f t="shared" si="3701"/>
        <v>63</v>
      </c>
      <c r="AR566">
        <v>11</v>
      </c>
      <c r="AS566" s="17">
        <f t="shared" si="3782"/>
        <v>370</v>
      </c>
      <c r="AT566">
        <v>10</v>
      </c>
      <c r="AU566">
        <f t="shared" si="3702"/>
        <v>32</v>
      </c>
      <c r="AV566">
        <v>150</v>
      </c>
      <c r="AW566">
        <f t="shared" si="3703"/>
        <v>88938.823679999987</v>
      </c>
      <c r="AX566">
        <f t="shared" si="3832"/>
        <v>497952000</v>
      </c>
      <c r="AY566">
        <f t="shared" si="3704"/>
        <v>8299.1999999999989</v>
      </c>
      <c r="AZ566">
        <f t="shared" si="3705"/>
        <v>16598.399999999998</v>
      </c>
      <c r="BA566">
        <f t="shared" si="3706"/>
        <v>102143.99999999999</v>
      </c>
      <c r="BB566">
        <f t="shared" si="3707"/>
        <v>4149.5999999999995</v>
      </c>
      <c r="BC566">
        <f t="shared" si="3833"/>
        <v>497952000</v>
      </c>
      <c r="BD566">
        <f t="shared" si="3708"/>
        <v>0.29411764705882348</v>
      </c>
      <c r="BE566" s="27">
        <f t="shared" si="3834"/>
        <v>737669678.05439997</v>
      </c>
      <c r="BF566" s="30">
        <f t="shared" si="3709"/>
        <v>0.45119999999999993</v>
      </c>
      <c r="BG566" s="27"/>
      <c r="BH566" s="27"/>
      <c r="BI566" s="27"/>
      <c r="CA566" s="20">
        <f t="shared" si="3710"/>
        <v>410</v>
      </c>
      <c r="CB566" s="20">
        <f t="shared" si="3711"/>
        <v>41000</v>
      </c>
    </row>
    <row r="567" spans="1:80" x14ac:dyDescent="0.15">
      <c r="A567">
        <v>6306</v>
      </c>
      <c r="B567" s="3" t="s">
        <v>124</v>
      </c>
      <c r="C567" s="4" t="s">
        <v>109</v>
      </c>
      <c r="D567" s="6" t="s">
        <v>120</v>
      </c>
      <c r="E567" s="5">
        <v>1</v>
      </c>
      <c r="F567" s="7" t="s">
        <v>147</v>
      </c>
      <c r="G567" s="5">
        <v>3</v>
      </c>
      <c r="H567" s="7" t="s">
        <v>192</v>
      </c>
      <c r="I567" s="5">
        <v>0</v>
      </c>
      <c r="J567" s="7" t="s">
        <v>149</v>
      </c>
      <c r="K567">
        <v>6</v>
      </c>
      <c r="L567">
        <v>1.5</v>
      </c>
      <c r="M567" s="5">
        <v>1.5</v>
      </c>
      <c r="N567" s="5">
        <v>10</v>
      </c>
      <c r="O567" s="5">
        <f t="shared" si="3691"/>
        <v>90109</v>
      </c>
      <c r="P567" s="5">
        <f t="shared" si="3692"/>
        <v>504504000</v>
      </c>
      <c r="Q567" s="5">
        <f t="shared" si="3693"/>
        <v>8408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70061</v>
      </c>
      <c r="X567" s="6" t="s">
        <v>184</v>
      </c>
      <c r="Y567" s="5">
        <v>300</v>
      </c>
      <c r="Z567" s="5">
        <v>1</v>
      </c>
      <c r="AA567" s="5">
        <v>169309849</v>
      </c>
      <c r="AB567" s="16" t="s">
        <v>111</v>
      </c>
      <c r="AC567" s="7" t="s">
        <v>112</v>
      </c>
      <c r="AD567" s="7" t="s">
        <v>112</v>
      </c>
      <c r="AE567" s="7" t="s">
        <v>112</v>
      </c>
      <c r="AF567" s="6" t="s">
        <v>113</v>
      </c>
      <c r="AG567" s="26" t="str">
        <f t="shared" ref="AG567" si="4059">CM$9</f>
        <v>4,33,28,33,6,4,33,28,33,6</v>
      </c>
      <c r="AH567" s="26" t="str">
        <f t="shared" ref="AH567" si="4060">CN$9</f>
        <v>0,6,0,6,1,0,6,0,6,1</v>
      </c>
      <c r="AI567" s="26" t="str">
        <f t="shared" ref="AI567" si="4061">CO$9</f>
        <v>0,0,0,0,1,0,0,0,0,1</v>
      </c>
      <c r="AJ567" s="26" t="str">
        <f t="shared" ref="AJ567" si="4062">CP$9</f>
        <v>0,0,0,0,5,0,0,0,0,5</v>
      </c>
      <c r="AK567" s="26" t="str">
        <f t="shared" ref="AK567" si="4063">CQ$9</f>
        <v>200,1,1000,2,5,200,1,1000,2,5</v>
      </c>
      <c r="AL567" s="26" t="str">
        <f t="shared" ref="AL567" si="4064">CR$9</f>
        <v>5,5,5,5,5,5,5,5,5,5</v>
      </c>
      <c r="AM567" s="7">
        <v>2001</v>
      </c>
      <c r="AO567">
        <f t="shared" ref="AO567" si="4065">AQ567*100+6</f>
        <v>6306</v>
      </c>
      <c r="AP567">
        <v>563</v>
      </c>
      <c r="AQ567">
        <f t="shared" si="3701"/>
        <v>63</v>
      </c>
      <c r="AR567">
        <v>11</v>
      </c>
      <c r="AS567" s="17">
        <f t="shared" si="3782"/>
        <v>375</v>
      </c>
      <c r="AT567">
        <v>10</v>
      </c>
      <c r="AU567">
        <f t="shared" si="3702"/>
        <v>32</v>
      </c>
      <c r="AV567">
        <v>150</v>
      </c>
      <c r="AW567">
        <f t="shared" si="3703"/>
        <v>90109.071359999987</v>
      </c>
      <c r="AX567">
        <f t="shared" si="3832"/>
        <v>504504000</v>
      </c>
      <c r="AY567">
        <f t="shared" si="3704"/>
        <v>8408.4</v>
      </c>
      <c r="AZ567">
        <f t="shared" si="3705"/>
        <v>16816.8</v>
      </c>
      <c r="BA567">
        <f t="shared" si="3706"/>
        <v>103487.99999999999</v>
      </c>
      <c r="BB567">
        <f t="shared" si="3707"/>
        <v>4204.2</v>
      </c>
      <c r="BC567">
        <f t="shared" si="3833"/>
        <v>504504000</v>
      </c>
      <c r="BD567">
        <f t="shared" si="3708"/>
        <v>0.29411764705882354</v>
      </c>
      <c r="BE567" s="27">
        <f t="shared" si="3834"/>
        <v>757209750.89760005</v>
      </c>
      <c r="BF567" s="30">
        <f t="shared" si="3709"/>
        <v>0.45119999999999993</v>
      </c>
      <c r="BG567" s="27"/>
      <c r="BH567" s="27"/>
      <c r="BI567" s="27"/>
      <c r="CA567" s="20">
        <f t="shared" si="3710"/>
        <v>410</v>
      </c>
      <c r="CB567" s="20">
        <f t="shared" si="3711"/>
        <v>41000</v>
      </c>
    </row>
    <row r="568" spans="1:80" x14ac:dyDescent="0.15">
      <c r="A568">
        <v>6307</v>
      </c>
      <c r="B568" s="3" t="s">
        <v>126</v>
      </c>
      <c r="C568" s="4" t="s">
        <v>109</v>
      </c>
      <c r="D568" s="4" t="s">
        <v>110</v>
      </c>
      <c r="E568" s="5">
        <v>2</v>
      </c>
      <c r="F568" s="7" t="s">
        <v>143</v>
      </c>
      <c r="G568" s="5">
        <v>3</v>
      </c>
      <c r="H568" s="7" t="s">
        <v>193</v>
      </c>
      <c r="I568" s="5">
        <v>0</v>
      </c>
      <c r="J568" s="5">
        <v>0</v>
      </c>
      <c r="K568">
        <v>2</v>
      </c>
      <c r="L568">
        <v>1.5</v>
      </c>
      <c r="M568" s="5">
        <v>1.5</v>
      </c>
      <c r="N568" s="5">
        <v>10</v>
      </c>
      <c r="O568" s="5">
        <f t="shared" si="3691"/>
        <v>91279</v>
      </c>
      <c r="P568" s="5">
        <f t="shared" si="3692"/>
        <v>511056000</v>
      </c>
      <c r="Q568" s="5">
        <f t="shared" si="3693"/>
        <v>8517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70071</v>
      </c>
      <c r="X568" s="6" t="s">
        <v>185</v>
      </c>
      <c r="Y568" s="5">
        <v>300</v>
      </c>
      <c r="Z568" s="5">
        <v>1</v>
      </c>
      <c r="AA568" s="5">
        <v>174112727</v>
      </c>
      <c r="AB568" s="16" t="s">
        <v>111</v>
      </c>
      <c r="AC568" s="7" t="s">
        <v>112</v>
      </c>
      <c r="AD568" s="7" t="s">
        <v>112</v>
      </c>
      <c r="AE568" s="7" t="s">
        <v>112</v>
      </c>
      <c r="AF568" s="6" t="s">
        <v>113</v>
      </c>
      <c r="AG568" s="26" t="str">
        <f t="shared" ref="AG568" si="4066">CM$10</f>
        <v>4,14,28,14,6,4,14,28,14,6</v>
      </c>
      <c r="AH568" s="26" t="str">
        <f t="shared" ref="AH568" si="4067">CN$10</f>
        <v>0,0,0,0,1,0,0,0,0,1</v>
      </c>
      <c r="AI568" s="26" t="str">
        <f t="shared" ref="AI568" si="4068">CO$10</f>
        <v>0,0,0,0,1,0,0,0,0,1</v>
      </c>
      <c r="AJ568" s="26" t="str">
        <f t="shared" ref="AJ568" si="4069">CP$10</f>
        <v>0,0,0,0,5,0,0,0,0,5</v>
      </c>
      <c r="AK568" s="26" t="str">
        <f t="shared" ref="AK568" si="4070">CQ$10</f>
        <v>200,1,1000,2,5,200,1,1000,2,5</v>
      </c>
      <c r="AL568" s="26" t="str">
        <f t="shared" ref="AL568" si="4071">CR$10</f>
        <v>5,5,5,5,5,5,5,5,5,5</v>
      </c>
      <c r="AM568" s="7">
        <v>2001</v>
      </c>
      <c r="AO568">
        <f t="shared" ref="AO568" si="4072">AQ568*100+7</f>
        <v>6307</v>
      </c>
      <c r="AP568">
        <v>564</v>
      </c>
      <c r="AQ568">
        <f t="shared" si="3701"/>
        <v>63</v>
      </c>
      <c r="AR568">
        <v>11</v>
      </c>
      <c r="AS568" s="17">
        <f t="shared" si="3782"/>
        <v>380</v>
      </c>
      <c r="AT568">
        <v>10</v>
      </c>
      <c r="AU568">
        <f t="shared" si="3702"/>
        <v>32</v>
      </c>
      <c r="AV568">
        <v>150</v>
      </c>
      <c r="AW568">
        <f t="shared" si="3703"/>
        <v>91279.319039999988</v>
      </c>
      <c r="AX568">
        <f t="shared" si="3832"/>
        <v>511056000</v>
      </c>
      <c r="AY568">
        <f t="shared" si="3704"/>
        <v>8517.6</v>
      </c>
      <c r="AZ568">
        <f t="shared" si="3705"/>
        <v>17035.2</v>
      </c>
      <c r="BA568">
        <f t="shared" si="3706"/>
        <v>104831.99999999999</v>
      </c>
      <c r="BB568">
        <f t="shared" si="3707"/>
        <v>4258.8</v>
      </c>
      <c r="BC568">
        <f t="shared" si="3833"/>
        <v>511056000</v>
      </c>
      <c r="BD568">
        <f t="shared" si="3708"/>
        <v>0.29411764705882348</v>
      </c>
      <c r="BE568" s="27">
        <f t="shared" si="3834"/>
        <v>777005249.52959991</v>
      </c>
      <c r="BF568" s="30">
        <f t="shared" si="3709"/>
        <v>0.45119999999999993</v>
      </c>
      <c r="BG568" s="27"/>
      <c r="BH568" s="27"/>
      <c r="BI568" s="27"/>
      <c r="CA568" s="20">
        <f t="shared" si="3710"/>
        <v>410</v>
      </c>
      <c r="CB568" s="20">
        <f t="shared" si="3711"/>
        <v>41000</v>
      </c>
    </row>
    <row r="569" spans="1:80" x14ac:dyDescent="0.15">
      <c r="A569">
        <v>6308</v>
      </c>
      <c r="B569" s="3" t="s">
        <v>128</v>
      </c>
      <c r="C569" s="4" t="s">
        <v>109</v>
      </c>
      <c r="D569" s="4" t="s">
        <v>110</v>
      </c>
      <c r="E569" s="5">
        <v>5</v>
      </c>
      <c r="F569" s="7" t="s">
        <v>129</v>
      </c>
      <c r="G569" s="5">
        <v>2</v>
      </c>
      <c r="H569" s="7" t="s">
        <v>130</v>
      </c>
      <c r="I569" s="5">
        <v>0</v>
      </c>
      <c r="J569" s="5">
        <v>0</v>
      </c>
      <c r="K569">
        <v>2</v>
      </c>
      <c r="L569">
        <v>1.5</v>
      </c>
      <c r="M569" s="5">
        <v>1.5</v>
      </c>
      <c r="N569" s="5">
        <v>10</v>
      </c>
      <c r="O569" s="5">
        <f t="shared" si="3691"/>
        <v>92449</v>
      </c>
      <c r="P569" s="5">
        <f t="shared" si="3692"/>
        <v>517608000</v>
      </c>
      <c r="Q569" s="5">
        <f t="shared" si="3693"/>
        <v>8626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70081</v>
      </c>
      <c r="X569" s="6" t="s">
        <v>186</v>
      </c>
      <c r="Y569" s="5">
        <v>300</v>
      </c>
      <c r="Z569" s="5">
        <v>1</v>
      </c>
      <c r="AA569" s="5">
        <v>178982778</v>
      </c>
      <c r="AB569" s="16" t="s">
        <v>111</v>
      </c>
      <c r="AC569" s="7" t="s">
        <v>112</v>
      </c>
      <c r="AD569" s="7" t="s">
        <v>112</v>
      </c>
      <c r="AE569" s="7" t="s">
        <v>112</v>
      </c>
      <c r="AF569" s="6" t="s">
        <v>113</v>
      </c>
      <c r="AG569" s="26" t="str">
        <f t="shared" ref="AG569" si="4073">CM$11</f>
        <v>4,28,6,28,6,4,28,6,28,6</v>
      </c>
      <c r="AH569" s="26" t="str">
        <f t="shared" ref="AH569" si="4074">CN$11</f>
        <v>0,0,1,0,1,0,0,1,0,1</v>
      </c>
      <c r="AI569" s="26" t="str">
        <f t="shared" ref="AI569" si="4075">CO$11</f>
        <v>0,0,1,0,1,0,0,1,0,1</v>
      </c>
      <c r="AJ569" s="26" t="str">
        <f t="shared" ref="AJ569" si="4076">CP$11</f>
        <v>0,0,5,0,5,0,0,5,0,5</v>
      </c>
      <c r="AK569" s="26" t="str">
        <f t="shared" ref="AK569" si="4077">CQ$11</f>
        <v>100,1000,5,1500,5,200,1000,5,1500,5</v>
      </c>
      <c r="AL569" s="26" t="str">
        <f t="shared" ref="AL569" si="4078">CR$11</f>
        <v>5,5,5,5,5,5,5,5,5,5</v>
      </c>
      <c r="AM569" s="7">
        <v>2001</v>
      </c>
      <c r="AO569">
        <f t="shared" ref="AO569" si="4079">AQ569*100+8</f>
        <v>6308</v>
      </c>
      <c r="AP569">
        <v>565</v>
      </c>
      <c r="AQ569">
        <f t="shared" si="3701"/>
        <v>63</v>
      </c>
      <c r="AR569">
        <v>11</v>
      </c>
      <c r="AS569" s="17">
        <f t="shared" si="3782"/>
        <v>385</v>
      </c>
      <c r="AT569">
        <v>10</v>
      </c>
      <c r="AU569">
        <f t="shared" si="3702"/>
        <v>32</v>
      </c>
      <c r="AV569">
        <v>150</v>
      </c>
      <c r="AW569">
        <f t="shared" si="3703"/>
        <v>92449.566719999988</v>
      </c>
      <c r="AX569">
        <f t="shared" si="3832"/>
        <v>517608000</v>
      </c>
      <c r="AY569">
        <f t="shared" si="3704"/>
        <v>8626.7999999999993</v>
      </c>
      <c r="AZ569">
        <f t="shared" si="3705"/>
        <v>17253.599999999999</v>
      </c>
      <c r="BA569">
        <f t="shared" si="3706"/>
        <v>106175.99999999999</v>
      </c>
      <c r="BB569">
        <f t="shared" si="3707"/>
        <v>4313.3999999999996</v>
      </c>
      <c r="BC569">
        <f t="shared" si="3833"/>
        <v>517608000</v>
      </c>
      <c r="BD569">
        <f t="shared" si="3708"/>
        <v>0.29411764705882354</v>
      </c>
      <c r="BE569" s="27">
        <f t="shared" si="3834"/>
        <v>797056173.95040023</v>
      </c>
      <c r="BF569" s="30">
        <f t="shared" si="3709"/>
        <v>0.45119999999999993</v>
      </c>
      <c r="BG569" s="27"/>
      <c r="BH569" s="27"/>
      <c r="BI569" s="27"/>
      <c r="CA569" s="20">
        <f t="shared" si="3710"/>
        <v>410</v>
      </c>
      <c r="CB569" s="20">
        <f t="shared" si="3711"/>
        <v>41000</v>
      </c>
    </row>
    <row r="570" spans="1:80" x14ac:dyDescent="0.15">
      <c r="A570">
        <v>6309</v>
      </c>
      <c r="B570" s="3" t="s">
        <v>132</v>
      </c>
      <c r="C570" s="4" t="s">
        <v>109</v>
      </c>
      <c r="D570" s="4" t="s">
        <v>110</v>
      </c>
      <c r="E570" s="5">
        <v>5</v>
      </c>
      <c r="F570" s="7" t="s">
        <v>140</v>
      </c>
      <c r="G570" s="5">
        <v>3</v>
      </c>
      <c r="H570" s="7" t="s">
        <v>140</v>
      </c>
      <c r="I570" s="5">
        <v>0</v>
      </c>
      <c r="J570" s="7">
        <v>0</v>
      </c>
      <c r="K570">
        <v>6</v>
      </c>
      <c r="L570">
        <v>1.5</v>
      </c>
      <c r="M570" s="5">
        <v>1.5</v>
      </c>
      <c r="N570" s="5">
        <v>10</v>
      </c>
      <c r="O570" s="5">
        <f t="shared" si="3691"/>
        <v>93619</v>
      </c>
      <c r="P570" s="5">
        <f t="shared" si="3692"/>
        <v>524160000</v>
      </c>
      <c r="Q570" s="5">
        <f t="shared" si="3693"/>
        <v>8736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70091</v>
      </c>
      <c r="X570" s="6" t="s">
        <v>187</v>
      </c>
      <c r="Y570" s="5">
        <v>300</v>
      </c>
      <c r="Z570" s="5">
        <v>1</v>
      </c>
      <c r="AA570" s="5">
        <v>183920003</v>
      </c>
      <c r="AB570" s="16" t="s">
        <v>111</v>
      </c>
      <c r="AC570" s="7" t="s">
        <v>112</v>
      </c>
      <c r="AD570" s="7" t="s">
        <v>112</v>
      </c>
      <c r="AE570" s="7" t="s">
        <v>112</v>
      </c>
      <c r="AF570" s="6" t="s">
        <v>113</v>
      </c>
      <c r="AG570" s="26" t="str">
        <f t="shared" ref="AG570" si="4080">CM$12</f>
        <v>4,33,28,33,6,4,33,28,33,6</v>
      </c>
      <c r="AH570" s="26" t="str">
        <f t="shared" ref="AH570" si="4081">CN$12</f>
        <v>0,5,0,5,1,0,5,0,5,1</v>
      </c>
      <c r="AI570" s="26" t="str">
        <f t="shared" ref="AI570" si="4082">CO$12</f>
        <v>0,0,0,0,1,0,0,0,0,1</v>
      </c>
      <c r="AJ570" s="26" t="str">
        <f t="shared" ref="AJ570" si="4083">CP$12</f>
        <v>0,0,0,0,5,0,0,0,0,5</v>
      </c>
      <c r="AK570" s="26" t="str">
        <f t="shared" ref="AK570" si="4084">CQ$12</f>
        <v>100,1,1000,2,5,200,1,1000,2,5</v>
      </c>
      <c r="AL570" s="26" t="str">
        <f t="shared" ref="AL570" si="4085">CR$12</f>
        <v>5,5,5,5,5,5,5,5,5,5</v>
      </c>
      <c r="AM570" s="7">
        <v>2001</v>
      </c>
      <c r="AO570">
        <f t="shared" ref="AO570" si="4086">AQ570*100+9</f>
        <v>6309</v>
      </c>
      <c r="AP570">
        <v>566</v>
      </c>
      <c r="AQ570">
        <f t="shared" si="3701"/>
        <v>63</v>
      </c>
      <c r="AR570">
        <v>11</v>
      </c>
      <c r="AS570" s="17">
        <f t="shared" si="3782"/>
        <v>390</v>
      </c>
      <c r="AT570">
        <v>10</v>
      </c>
      <c r="AU570">
        <f t="shared" si="3702"/>
        <v>32</v>
      </c>
      <c r="AV570">
        <v>150</v>
      </c>
      <c r="AW570">
        <f t="shared" si="3703"/>
        <v>93619.814399999988</v>
      </c>
      <c r="AX570">
        <f t="shared" si="3832"/>
        <v>524160000</v>
      </c>
      <c r="AY570">
        <f t="shared" si="3704"/>
        <v>8736</v>
      </c>
      <c r="AZ570">
        <f t="shared" si="3705"/>
        <v>17472</v>
      </c>
      <c r="BA570">
        <f t="shared" si="3706"/>
        <v>107519.99999999999</v>
      </c>
      <c r="BB570">
        <f t="shared" si="3707"/>
        <v>4368</v>
      </c>
      <c r="BC570">
        <f t="shared" si="3833"/>
        <v>524160000</v>
      </c>
      <c r="BD570">
        <f t="shared" si="3708"/>
        <v>0.29411764705882354</v>
      </c>
      <c r="BE570" s="27">
        <f t="shared" si="3834"/>
        <v>817362524.16000009</v>
      </c>
      <c r="BF570" s="30">
        <f t="shared" si="3709"/>
        <v>0.45119999999999993</v>
      </c>
      <c r="BG570" s="27"/>
      <c r="BH570" s="27"/>
      <c r="BI570" s="27"/>
      <c r="CA570" s="20">
        <f t="shared" si="3710"/>
        <v>410</v>
      </c>
      <c r="CB570" s="20">
        <f t="shared" si="3711"/>
        <v>41000</v>
      </c>
    </row>
    <row r="571" spans="1:80" x14ac:dyDescent="0.15">
      <c r="A571">
        <v>6401</v>
      </c>
      <c r="B571" s="3" t="s">
        <v>108</v>
      </c>
      <c r="C571" s="4" t="s">
        <v>109</v>
      </c>
      <c r="D571" s="4" t="s">
        <v>110</v>
      </c>
      <c r="E571" s="5">
        <v>3</v>
      </c>
      <c r="F571" s="7" t="s">
        <v>141</v>
      </c>
      <c r="G571" s="5">
        <v>2.5</v>
      </c>
      <c r="H571" s="7" t="s">
        <v>194</v>
      </c>
      <c r="I571" s="5">
        <v>0</v>
      </c>
      <c r="J571" s="5">
        <v>0</v>
      </c>
      <c r="K571">
        <v>2</v>
      </c>
      <c r="L571">
        <v>1.5</v>
      </c>
      <c r="M571" s="5">
        <v>1.5</v>
      </c>
      <c r="N571" s="5">
        <v>10</v>
      </c>
      <c r="O571" s="5">
        <f t="shared" si="3691"/>
        <v>85569</v>
      </c>
      <c r="P571" s="5">
        <f t="shared" si="3692"/>
        <v>478296000</v>
      </c>
      <c r="Q571" s="5">
        <f t="shared" si="3693"/>
        <v>7971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70011</v>
      </c>
      <c r="X571" s="6" t="s">
        <v>179</v>
      </c>
      <c r="Y571" s="5">
        <v>300</v>
      </c>
      <c r="Z571" s="5">
        <v>1</v>
      </c>
      <c r="AA571" s="5">
        <v>188924400</v>
      </c>
      <c r="AB571" s="16" t="s">
        <v>111</v>
      </c>
      <c r="AC571" s="7" t="s">
        <v>112</v>
      </c>
      <c r="AD571" s="7" t="s">
        <v>112</v>
      </c>
      <c r="AE571" s="7" t="s">
        <v>112</v>
      </c>
      <c r="AF571" s="6" t="s">
        <v>113</v>
      </c>
      <c r="AG571" s="26" t="str">
        <f t="shared" ref="AG571" si="4087">CM$4</f>
        <v>4,33,28,33,6,4,33,28,33,6</v>
      </c>
      <c r="AH571" s="26" t="str">
        <f t="shared" ref="AH571" si="4088">CN$4</f>
        <v>0,8,0,8,1,0,8,0,8,1</v>
      </c>
      <c r="AI571" s="26" t="str">
        <f t="shared" ref="AI571" si="4089">CO$4</f>
        <v>0,0,0,0,1,0,0,0,0,1</v>
      </c>
      <c r="AJ571" s="26" t="str">
        <f t="shared" ref="AJ571" si="4090">CP$4</f>
        <v>0,0,0,0,5,0,0,0,0,5</v>
      </c>
      <c r="AK571" s="26" t="str">
        <f t="shared" ref="AK571" si="4091">CQ$4</f>
        <v>100,1,1000,2,5,200,1,1000,2,5</v>
      </c>
      <c r="AL571" s="26" t="str">
        <f t="shared" ref="AL571" si="4092">CR$4</f>
        <v>5,5,5,5,5,5,5,5,5,5</v>
      </c>
      <c r="AM571" s="7">
        <v>2001</v>
      </c>
      <c r="AO571">
        <f t="shared" ref="AO571" si="4093">AQ571*100+1</f>
        <v>6401</v>
      </c>
      <c r="AP571">
        <v>567</v>
      </c>
      <c r="AQ571">
        <f t="shared" si="3701"/>
        <v>64</v>
      </c>
      <c r="AR571">
        <v>11</v>
      </c>
      <c r="AS571" s="17">
        <f t="shared" si="3782"/>
        <v>355</v>
      </c>
      <c r="AT571">
        <v>10</v>
      </c>
      <c r="AU571">
        <f t="shared" si="3702"/>
        <v>32</v>
      </c>
      <c r="AV571">
        <v>150</v>
      </c>
      <c r="AW571">
        <f t="shared" si="3703"/>
        <v>85569.361919999981</v>
      </c>
      <c r="AX571">
        <f t="shared" si="3832"/>
        <v>478295999.99999988</v>
      </c>
      <c r="AY571">
        <f t="shared" si="3704"/>
        <v>7971.5999999999985</v>
      </c>
      <c r="AZ571">
        <f t="shared" si="3705"/>
        <v>15943.199999999997</v>
      </c>
      <c r="BA571">
        <f t="shared" si="3706"/>
        <v>98111.999999999985</v>
      </c>
      <c r="BB571">
        <f t="shared" si="3707"/>
        <v>3985.7999999999993</v>
      </c>
      <c r="BC571">
        <f t="shared" si="3833"/>
        <v>478295999.99999988</v>
      </c>
      <c r="BD571">
        <f t="shared" si="3708"/>
        <v>0.29411764705882354</v>
      </c>
      <c r="BE571" s="27">
        <f t="shared" si="3834"/>
        <v>680582014.25759995</v>
      </c>
      <c r="BF571" s="30">
        <f t="shared" si="3709"/>
        <v>0.4536</v>
      </c>
      <c r="BG571" s="27"/>
      <c r="BH571" s="27"/>
      <c r="BI571" s="27"/>
      <c r="CA571" s="20">
        <f t="shared" si="3710"/>
        <v>415</v>
      </c>
      <c r="CB571" s="20">
        <f t="shared" si="3711"/>
        <v>41500</v>
      </c>
    </row>
    <row r="572" spans="1:80" x14ac:dyDescent="0.15">
      <c r="A572">
        <v>6402</v>
      </c>
      <c r="B572" s="3" t="s">
        <v>115</v>
      </c>
      <c r="C572" s="4" t="s">
        <v>109</v>
      </c>
      <c r="D572" s="6" t="s">
        <v>110</v>
      </c>
      <c r="E572" s="5">
        <v>3</v>
      </c>
      <c r="F572" s="7" t="s">
        <v>142</v>
      </c>
      <c r="G572" s="5">
        <v>3</v>
      </c>
      <c r="H572" s="7" t="s">
        <v>188</v>
      </c>
      <c r="I572" s="5">
        <v>0</v>
      </c>
      <c r="J572" s="5">
        <v>0</v>
      </c>
      <c r="K572">
        <v>2</v>
      </c>
      <c r="L572">
        <v>1.5</v>
      </c>
      <c r="M572" s="5">
        <v>1.5</v>
      </c>
      <c r="N572" s="5">
        <v>10</v>
      </c>
      <c r="O572" s="5">
        <f t="shared" si="3691"/>
        <v>86741</v>
      </c>
      <c r="P572" s="5">
        <f t="shared" si="3692"/>
        <v>484848000</v>
      </c>
      <c r="Q572" s="5">
        <f t="shared" si="3693"/>
        <v>8080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70021</v>
      </c>
      <c r="X572" s="6" t="s">
        <v>180</v>
      </c>
      <c r="Y572" s="5">
        <v>300</v>
      </c>
      <c r="Z572" s="5">
        <v>1</v>
      </c>
      <c r="AA572" s="5">
        <v>155304253</v>
      </c>
      <c r="AB572" s="16" t="s">
        <v>111</v>
      </c>
      <c r="AC572" s="7" t="s">
        <v>112</v>
      </c>
      <c r="AD572" s="7" t="s">
        <v>112</v>
      </c>
      <c r="AE572" s="7" t="s">
        <v>112</v>
      </c>
      <c r="AF572" s="6" t="s">
        <v>113</v>
      </c>
      <c r="AG572" s="26" t="str">
        <f t="shared" ref="AG572" si="4094">CM$5</f>
        <v>4,33,28,33,6,4,33,28,33,6</v>
      </c>
      <c r="AH572" s="26" t="str">
        <f t="shared" ref="AH572" si="4095">CN$5</f>
        <v>0,7,0,7,1,0,7,0,7,1</v>
      </c>
      <c r="AI572" s="26" t="str">
        <f t="shared" ref="AI572" si="4096">CO$5</f>
        <v>0,0,0,0,1,0,0,0,0,1</v>
      </c>
      <c r="AJ572" s="26" t="str">
        <f t="shared" ref="AJ572" si="4097">CP$5</f>
        <v>0,0,0,0,5,0,0,0,0,5</v>
      </c>
      <c r="AK572" s="26" t="str">
        <f t="shared" ref="AK572" si="4098">CQ$5</f>
        <v>100,1,1000,2,5,200,1,1000,2,5</v>
      </c>
      <c r="AL572" s="26" t="str">
        <f t="shared" ref="AL572" si="4099">CR$5</f>
        <v>5,5,5,5,5,5,5,5,5,5</v>
      </c>
      <c r="AM572" s="7">
        <v>2001</v>
      </c>
      <c r="AO572">
        <f t="shared" ref="AO572" si="4100">AQ572*100+2</f>
        <v>6402</v>
      </c>
      <c r="AP572">
        <v>568</v>
      </c>
      <c r="AQ572">
        <f t="shared" si="3701"/>
        <v>64</v>
      </c>
      <c r="AR572">
        <v>11</v>
      </c>
      <c r="AS572" s="17">
        <f t="shared" si="3782"/>
        <v>360</v>
      </c>
      <c r="AT572">
        <v>10</v>
      </c>
      <c r="AU572">
        <f t="shared" si="3702"/>
        <v>32</v>
      </c>
      <c r="AV572">
        <v>150</v>
      </c>
      <c r="AW572">
        <f t="shared" si="3703"/>
        <v>86741.544959999985</v>
      </c>
      <c r="AX572">
        <f t="shared" si="3832"/>
        <v>484848000</v>
      </c>
      <c r="AY572">
        <f t="shared" si="3704"/>
        <v>8080.8</v>
      </c>
      <c r="AZ572">
        <f t="shared" si="3705"/>
        <v>16161.6</v>
      </c>
      <c r="BA572">
        <f t="shared" si="3706"/>
        <v>99455.999999999985</v>
      </c>
      <c r="BB572">
        <f t="shared" si="3707"/>
        <v>4040.4</v>
      </c>
      <c r="BC572">
        <f t="shared" si="3833"/>
        <v>484848000</v>
      </c>
      <c r="BD572">
        <f t="shared" si="3708"/>
        <v>0.29411764705882348</v>
      </c>
      <c r="BE572" s="27">
        <f t="shared" si="3834"/>
        <v>699355809.73440015</v>
      </c>
      <c r="BF572" s="30">
        <f t="shared" si="3709"/>
        <v>0.4536</v>
      </c>
      <c r="BG572" s="27"/>
      <c r="BH572" s="27"/>
      <c r="BI572" s="27"/>
      <c r="CA572" s="20">
        <f t="shared" si="3710"/>
        <v>415</v>
      </c>
      <c r="CB572" s="20">
        <f t="shared" si="3711"/>
        <v>41500</v>
      </c>
    </row>
    <row r="573" spans="1:80" x14ac:dyDescent="0.15">
      <c r="A573">
        <v>6403</v>
      </c>
      <c r="B573" s="3" t="s">
        <v>117</v>
      </c>
      <c r="C573" s="4" t="s">
        <v>109</v>
      </c>
      <c r="D573" s="4" t="s">
        <v>110</v>
      </c>
      <c r="E573" s="5">
        <v>1</v>
      </c>
      <c r="F573" s="7" t="s">
        <v>144</v>
      </c>
      <c r="G573" s="5">
        <v>3</v>
      </c>
      <c r="H573" s="7" t="s">
        <v>189</v>
      </c>
      <c r="I573" s="5">
        <v>0</v>
      </c>
      <c r="J573" s="2">
        <v>0</v>
      </c>
      <c r="K573">
        <v>6</v>
      </c>
      <c r="L573">
        <v>1.5</v>
      </c>
      <c r="M573" s="5">
        <v>1.5</v>
      </c>
      <c r="N573" s="5">
        <v>10</v>
      </c>
      <c r="O573" s="5">
        <f t="shared" si="3691"/>
        <v>87913</v>
      </c>
      <c r="P573" s="5">
        <f t="shared" si="3692"/>
        <v>491400000</v>
      </c>
      <c r="Q573" s="5">
        <f t="shared" si="3693"/>
        <v>8190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70031</v>
      </c>
      <c r="X573" s="6" t="s">
        <v>181</v>
      </c>
      <c r="Y573" s="5">
        <v>300</v>
      </c>
      <c r="Z573" s="5">
        <v>1</v>
      </c>
      <c r="AA573" s="5">
        <v>159905612</v>
      </c>
      <c r="AB573" s="16" t="s">
        <v>111</v>
      </c>
      <c r="AC573" s="7" t="s">
        <v>112</v>
      </c>
      <c r="AD573" s="7" t="s">
        <v>112</v>
      </c>
      <c r="AE573" s="7" t="s">
        <v>112</v>
      </c>
      <c r="AF573" s="6" t="s">
        <v>113</v>
      </c>
      <c r="AG573" s="26" t="str">
        <f t="shared" ref="AG573" si="4101">CM$6</f>
        <v>4,28,6,28,6,4,28,6,28,6</v>
      </c>
      <c r="AH573" s="26" t="str">
        <f t="shared" ref="AH573" si="4102">CN$6</f>
        <v>0,0,1,0,1,0,0,1,0,1</v>
      </c>
      <c r="AI573" s="26" t="str">
        <f t="shared" ref="AI573" si="4103">CO$6</f>
        <v>0,0,0,0,1,0,0,0,0,1</v>
      </c>
      <c r="AJ573" s="26" t="str">
        <f t="shared" ref="AJ573" si="4104">CP$6</f>
        <v>0,0,5,0,5,0,0,5,0,5</v>
      </c>
      <c r="AK573" s="26" t="str">
        <f t="shared" ref="AK573" si="4105">CQ$6</f>
        <v>100,1000,5,1500,5,200,1000,5,1500,5</v>
      </c>
      <c r="AL573" s="26" t="str">
        <f t="shared" ref="AL573" si="4106">CR$6</f>
        <v>5,5,5,5,5,5,5,5,5,5</v>
      </c>
      <c r="AM573" s="7">
        <v>2001</v>
      </c>
      <c r="AO573">
        <f t="shared" ref="AO573" si="4107">AQ573*100+3</f>
        <v>6403</v>
      </c>
      <c r="AP573">
        <v>569</v>
      </c>
      <c r="AQ573">
        <f t="shared" si="3701"/>
        <v>64</v>
      </c>
      <c r="AR573">
        <v>11</v>
      </c>
      <c r="AS573" s="17">
        <f t="shared" si="3782"/>
        <v>365</v>
      </c>
      <c r="AT573">
        <v>10</v>
      </c>
      <c r="AU573">
        <f t="shared" si="3702"/>
        <v>32</v>
      </c>
      <c r="AV573">
        <v>150</v>
      </c>
      <c r="AW573">
        <f t="shared" si="3703"/>
        <v>87913.727999999974</v>
      </c>
      <c r="AX573">
        <f t="shared" si="3832"/>
        <v>491400000</v>
      </c>
      <c r="AY573">
        <f t="shared" si="3704"/>
        <v>8190</v>
      </c>
      <c r="AZ573">
        <f t="shared" si="3705"/>
        <v>16380</v>
      </c>
      <c r="BA573">
        <f t="shared" si="3706"/>
        <v>100799.99999999999</v>
      </c>
      <c r="BB573">
        <f t="shared" si="3707"/>
        <v>4095</v>
      </c>
      <c r="BC573">
        <f t="shared" si="3833"/>
        <v>491400000</v>
      </c>
      <c r="BD573">
        <f t="shared" si="3708"/>
        <v>0.29411764705882354</v>
      </c>
      <c r="BE573" s="27">
        <f t="shared" si="3834"/>
        <v>718385031</v>
      </c>
      <c r="BF573" s="30">
        <f t="shared" si="3709"/>
        <v>0.4536</v>
      </c>
      <c r="BG573" s="27"/>
      <c r="BH573" s="27"/>
      <c r="BI573" s="27"/>
      <c r="CA573" s="20">
        <f t="shared" si="3710"/>
        <v>415</v>
      </c>
      <c r="CB573" s="20">
        <f t="shared" si="3711"/>
        <v>41500</v>
      </c>
    </row>
    <row r="574" spans="1:80" x14ac:dyDescent="0.15">
      <c r="A574">
        <v>6404</v>
      </c>
      <c r="B574" s="3" t="s">
        <v>119</v>
      </c>
      <c r="C574" s="4" t="s">
        <v>109</v>
      </c>
      <c r="D574" s="6" t="s">
        <v>120</v>
      </c>
      <c r="E574" s="5">
        <v>3</v>
      </c>
      <c r="F574" s="7" t="s">
        <v>145</v>
      </c>
      <c r="G574" s="5">
        <v>3</v>
      </c>
      <c r="H574" s="7" t="s">
        <v>190</v>
      </c>
      <c r="I574" s="5">
        <v>0</v>
      </c>
      <c r="J574" s="5">
        <v>0</v>
      </c>
      <c r="K574">
        <v>2</v>
      </c>
      <c r="L574">
        <v>1.5</v>
      </c>
      <c r="M574" s="5">
        <v>1.5</v>
      </c>
      <c r="N574" s="5">
        <v>10</v>
      </c>
      <c r="O574" s="5">
        <f t="shared" si="3691"/>
        <v>89085</v>
      </c>
      <c r="P574" s="5">
        <f t="shared" si="3692"/>
        <v>497952000</v>
      </c>
      <c r="Q574" s="5">
        <f t="shared" si="3693"/>
        <v>8299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70041</v>
      </c>
      <c r="X574" s="6" t="s">
        <v>182</v>
      </c>
      <c r="Y574" s="5">
        <v>300</v>
      </c>
      <c r="Z574" s="5">
        <v>1</v>
      </c>
      <c r="AA574" s="5">
        <v>164574144</v>
      </c>
      <c r="AB574" s="16" t="s">
        <v>111</v>
      </c>
      <c r="AC574" s="7" t="s">
        <v>112</v>
      </c>
      <c r="AD574" s="7" t="s">
        <v>112</v>
      </c>
      <c r="AE574" s="7" t="s">
        <v>112</v>
      </c>
      <c r="AF574" s="6" t="s">
        <v>113</v>
      </c>
      <c r="AG574" s="26" t="str">
        <f t="shared" ref="AG574" si="4108">CM$7</f>
        <v>4,14,28,14,6,4,14,28,14,6</v>
      </c>
      <c r="AH574" s="26" t="str">
        <f t="shared" ref="AH574" si="4109">CN$7</f>
        <v>0,0,0,0,1,0,0,0,0,1</v>
      </c>
      <c r="AI574" s="26" t="str">
        <f t="shared" ref="AI574" si="4110">CO$7</f>
        <v>0,0,0,0,1,0,0,0,0,1</v>
      </c>
      <c r="AJ574" s="26" t="str">
        <f t="shared" ref="AJ574" si="4111">CP$7</f>
        <v>0,0,0,0,5,0,0,0,0,5</v>
      </c>
      <c r="AK574" s="26" t="str">
        <f t="shared" ref="AK574" si="4112">CQ$7</f>
        <v>100,1,1000,2,5,200,1,1000,2,5</v>
      </c>
      <c r="AL574" s="26" t="str">
        <f t="shared" ref="AL574" si="4113">CR$7</f>
        <v>5,5,5,5,5,5,5,5,5,5</v>
      </c>
      <c r="AM574" s="7">
        <v>2001</v>
      </c>
      <c r="AO574">
        <f t="shared" ref="AO574" si="4114">AQ574*100+4</f>
        <v>6404</v>
      </c>
      <c r="AP574">
        <v>570</v>
      </c>
      <c r="AQ574">
        <f t="shared" si="3701"/>
        <v>64</v>
      </c>
      <c r="AR574">
        <v>11</v>
      </c>
      <c r="AS574" s="17">
        <f t="shared" si="3782"/>
        <v>370</v>
      </c>
      <c r="AT574">
        <v>10</v>
      </c>
      <c r="AU574">
        <f t="shared" si="3702"/>
        <v>32</v>
      </c>
      <c r="AV574">
        <v>150</v>
      </c>
      <c r="AW574">
        <f t="shared" si="3703"/>
        <v>89085.911039999977</v>
      </c>
      <c r="AX574">
        <f t="shared" si="3832"/>
        <v>497952000</v>
      </c>
      <c r="AY574">
        <f t="shared" si="3704"/>
        <v>8299.1999999999989</v>
      </c>
      <c r="AZ574">
        <f t="shared" si="3705"/>
        <v>16598.399999999998</v>
      </c>
      <c r="BA574">
        <f t="shared" si="3706"/>
        <v>102143.99999999999</v>
      </c>
      <c r="BB574">
        <f t="shared" si="3707"/>
        <v>4149.5999999999995</v>
      </c>
      <c r="BC574">
        <f t="shared" si="3833"/>
        <v>497952000</v>
      </c>
      <c r="BD574">
        <f t="shared" si="3708"/>
        <v>0.29411764705882348</v>
      </c>
      <c r="BE574" s="27">
        <f t="shared" si="3834"/>
        <v>737669678.05439997</v>
      </c>
      <c r="BF574" s="30">
        <f t="shared" si="3709"/>
        <v>0.4536</v>
      </c>
      <c r="BG574" s="27"/>
      <c r="BH574" s="27"/>
      <c r="BI574" s="27"/>
      <c r="CA574" s="20">
        <f t="shared" si="3710"/>
        <v>415</v>
      </c>
      <c r="CB574" s="20">
        <f t="shared" si="3711"/>
        <v>41500</v>
      </c>
    </row>
    <row r="575" spans="1:80" x14ac:dyDescent="0.15">
      <c r="A575">
        <v>6405</v>
      </c>
      <c r="B575" s="3" t="s">
        <v>122</v>
      </c>
      <c r="C575" s="4" t="s">
        <v>109</v>
      </c>
      <c r="D575" s="4" t="s">
        <v>110</v>
      </c>
      <c r="E575" s="5">
        <v>2</v>
      </c>
      <c r="F575" s="7" t="s">
        <v>146</v>
      </c>
      <c r="G575" s="5">
        <v>3</v>
      </c>
      <c r="H575" s="7" t="s">
        <v>191</v>
      </c>
      <c r="I575" s="5">
        <v>0</v>
      </c>
      <c r="J575" s="7" t="s">
        <v>148</v>
      </c>
      <c r="K575">
        <v>6</v>
      </c>
      <c r="L575">
        <v>1.5</v>
      </c>
      <c r="M575" s="5">
        <v>1.5</v>
      </c>
      <c r="N575" s="5">
        <v>10</v>
      </c>
      <c r="O575" s="5">
        <f t="shared" si="3691"/>
        <v>90258</v>
      </c>
      <c r="P575" s="5">
        <f t="shared" si="3692"/>
        <v>504504000</v>
      </c>
      <c r="Q575" s="5">
        <f t="shared" si="3693"/>
        <v>8408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70051</v>
      </c>
      <c r="X575" s="6" t="s">
        <v>183</v>
      </c>
      <c r="Y575" s="5">
        <v>300</v>
      </c>
      <c r="Z575" s="5">
        <v>1</v>
      </c>
      <c r="AA575" s="5">
        <v>169309849</v>
      </c>
      <c r="AB575" s="16" t="s">
        <v>111</v>
      </c>
      <c r="AC575" s="7" t="s">
        <v>112</v>
      </c>
      <c r="AD575" s="7" t="s">
        <v>112</v>
      </c>
      <c r="AE575" s="7" t="s">
        <v>112</v>
      </c>
      <c r="AF575" s="6" t="s">
        <v>113</v>
      </c>
      <c r="AG575" s="26" t="str">
        <f t="shared" ref="AG575" si="4115">CM$8</f>
        <v>4,19,28,19,6,4,19,28,19,6</v>
      </c>
      <c r="AH575" s="26" t="str">
        <f t="shared" ref="AH575" si="4116">CN$8</f>
        <v>0,0,0,0,1,0,0,0,0,1</v>
      </c>
      <c r="AI575" s="26" t="str">
        <f t="shared" ref="AI575" si="4117">CO$8</f>
        <v>0,0,0,0,1,0,0,0,0,1</v>
      </c>
      <c r="AJ575" s="26" t="str">
        <f t="shared" ref="AJ575" si="4118">CP$8</f>
        <v>0,0,0,0,5,0,0,0,0,5</v>
      </c>
      <c r="AK575" s="26" t="str">
        <f t="shared" ref="AK575" si="4119">CQ$8</f>
        <v>200,100,1000,200,5,200,100,1000,200,5</v>
      </c>
      <c r="AL575" s="26" t="str">
        <f t="shared" ref="AL575" si="4120">CR$8</f>
        <v>5,5,5,5,5,5,5,5,5,5</v>
      </c>
      <c r="AM575" s="7">
        <v>2001</v>
      </c>
      <c r="AO575">
        <f t="shared" ref="AO575" si="4121">AQ575*100+5</f>
        <v>6405</v>
      </c>
      <c r="AP575">
        <v>571</v>
      </c>
      <c r="AQ575">
        <f t="shared" si="3701"/>
        <v>64</v>
      </c>
      <c r="AR575">
        <v>11</v>
      </c>
      <c r="AS575" s="17">
        <f t="shared" si="3782"/>
        <v>375</v>
      </c>
      <c r="AT575">
        <v>10</v>
      </c>
      <c r="AU575">
        <f t="shared" si="3702"/>
        <v>32</v>
      </c>
      <c r="AV575">
        <v>150</v>
      </c>
      <c r="AW575">
        <f t="shared" si="3703"/>
        <v>90258.094079999981</v>
      </c>
      <c r="AX575">
        <f t="shared" si="3832"/>
        <v>504504000</v>
      </c>
      <c r="AY575">
        <f t="shared" si="3704"/>
        <v>8408.4</v>
      </c>
      <c r="AZ575">
        <f t="shared" si="3705"/>
        <v>16816.8</v>
      </c>
      <c r="BA575">
        <f t="shared" si="3706"/>
        <v>103487.99999999999</v>
      </c>
      <c r="BB575">
        <f t="shared" si="3707"/>
        <v>4204.2</v>
      </c>
      <c r="BC575">
        <f t="shared" si="3833"/>
        <v>504504000</v>
      </c>
      <c r="BD575">
        <f t="shared" si="3708"/>
        <v>0.29411764705882354</v>
      </c>
      <c r="BE575" s="27">
        <f t="shared" si="3834"/>
        <v>757209750.89760005</v>
      </c>
      <c r="BF575" s="30">
        <f t="shared" si="3709"/>
        <v>0.4536</v>
      </c>
      <c r="BG575" s="27"/>
      <c r="BH575" s="27"/>
      <c r="BI575" s="27"/>
      <c r="CA575" s="20">
        <f t="shared" si="3710"/>
        <v>415</v>
      </c>
      <c r="CB575" s="20">
        <f t="shared" si="3711"/>
        <v>41500</v>
      </c>
    </row>
    <row r="576" spans="1:80" x14ac:dyDescent="0.15">
      <c r="A576">
        <v>6406</v>
      </c>
      <c r="B576" s="3" t="s">
        <v>124</v>
      </c>
      <c r="C576" s="4" t="s">
        <v>109</v>
      </c>
      <c r="D576" s="6" t="s">
        <v>120</v>
      </c>
      <c r="E576" s="5">
        <v>1</v>
      </c>
      <c r="F576" s="7" t="s">
        <v>147</v>
      </c>
      <c r="G576" s="5">
        <v>3</v>
      </c>
      <c r="H576" s="7" t="s">
        <v>192</v>
      </c>
      <c r="I576" s="5">
        <v>0</v>
      </c>
      <c r="J576" s="7" t="s">
        <v>149</v>
      </c>
      <c r="K576">
        <v>6</v>
      </c>
      <c r="L576">
        <v>1.5</v>
      </c>
      <c r="M576" s="5">
        <v>1.5</v>
      </c>
      <c r="N576" s="5">
        <v>10</v>
      </c>
      <c r="O576" s="5">
        <f t="shared" si="3691"/>
        <v>91430</v>
      </c>
      <c r="P576" s="5">
        <f t="shared" si="3692"/>
        <v>511056000</v>
      </c>
      <c r="Q576" s="5">
        <f t="shared" si="3693"/>
        <v>8517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70061</v>
      </c>
      <c r="X576" s="6" t="s">
        <v>184</v>
      </c>
      <c r="Y576" s="5">
        <v>300</v>
      </c>
      <c r="Z576" s="5">
        <v>1</v>
      </c>
      <c r="AA576" s="5">
        <v>174112727</v>
      </c>
      <c r="AB576" s="16" t="s">
        <v>111</v>
      </c>
      <c r="AC576" s="7" t="s">
        <v>112</v>
      </c>
      <c r="AD576" s="7" t="s">
        <v>112</v>
      </c>
      <c r="AE576" s="7" t="s">
        <v>112</v>
      </c>
      <c r="AF576" s="6" t="s">
        <v>113</v>
      </c>
      <c r="AG576" s="26" t="str">
        <f t="shared" ref="AG576" si="4122">CM$9</f>
        <v>4,33,28,33,6,4,33,28,33,6</v>
      </c>
      <c r="AH576" s="26" t="str">
        <f t="shared" ref="AH576" si="4123">CN$9</f>
        <v>0,6,0,6,1,0,6,0,6,1</v>
      </c>
      <c r="AI576" s="26" t="str">
        <f t="shared" ref="AI576" si="4124">CO$9</f>
        <v>0,0,0,0,1,0,0,0,0,1</v>
      </c>
      <c r="AJ576" s="26" t="str">
        <f t="shared" ref="AJ576" si="4125">CP$9</f>
        <v>0,0,0,0,5,0,0,0,0,5</v>
      </c>
      <c r="AK576" s="26" t="str">
        <f t="shared" ref="AK576" si="4126">CQ$9</f>
        <v>200,1,1000,2,5,200,1,1000,2,5</v>
      </c>
      <c r="AL576" s="26" t="str">
        <f t="shared" ref="AL576" si="4127">CR$9</f>
        <v>5,5,5,5,5,5,5,5,5,5</v>
      </c>
      <c r="AM576" s="7">
        <v>2001</v>
      </c>
      <c r="AO576">
        <f t="shared" ref="AO576" si="4128">AQ576*100+6</f>
        <v>6406</v>
      </c>
      <c r="AP576">
        <v>572</v>
      </c>
      <c r="AQ576">
        <f t="shared" si="3701"/>
        <v>64</v>
      </c>
      <c r="AR576">
        <v>11</v>
      </c>
      <c r="AS576" s="17">
        <f t="shared" si="3782"/>
        <v>380</v>
      </c>
      <c r="AT576">
        <v>10</v>
      </c>
      <c r="AU576">
        <f t="shared" si="3702"/>
        <v>32</v>
      </c>
      <c r="AV576">
        <v>150</v>
      </c>
      <c r="AW576">
        <f t="shared" si="3703"/>
        <v>91430.277119999984</v>
      </c>
      <c r="AX576">
        <f t="shared" si="3832"/>
        <v>511056000</v>
      </c>
      <c r="AY576">
        <f t="shared" si="3704"/>
        <v>8517.6</v>
      </c>
      <c r="AZ576">
        <f t="shared" si="3705"/>
        <v>17035.2</v>
      </c>
      <c r="BA576">
        <f t="shared" si="3706"/>
        <v>104831.99999999999</v>
      </c>
      <c r="BB576">
        <f t="shared" si="3707"/>
        <v>4258.8</v>
      </c>
      <c r="BC576">
        <f t="shared" si="3833"/>
        <v>511056000</v>
      </c>
      <c r="BD576">
        <f t="shared" si="3708"/>
        <v>0.29411764705882348</v>
      </c>
      <c r="BE576" s="27">
        <f t="shared" si="3834"/>
        <v>777005249.52959991</v>
      </c>
      <c r="BF576" s="30">
        <f t="shared" si="3709"/>
        <v>0.4536</v>
      </c>
      <c r="BG576" s="27"/>
      <c r="BH576" s="27"/>
      <c r="BI576" s="27"/>
      <c r="CA576" s="20">
        <f t="shared" si="3710"/>
        <v>415</v>
      </c>
      <c r="CB576" s="20">
        <f t="shared" si="3711"/>
        <v>41500</v>
      </c>
    </row>
    <row r="577" spans="1:80" x14ac:dyDescent="0.15">
      <c r="A577">
        <v>6407</v>
      </c>
      <c r="B577" s="3" t="s">
        <v>126</v>
      </c>
      <c r="C577" s="4" t="s">
        <v>109</v>
      </c>
      <c r="D577" s="4" t="s">
        <v>110</v>
      </c>
      <c r="E577" s="5">
        <v>2</v>
      </c>
      <c r="F577" s="7" t="s">
        <v>143</v>
      </c>
      <c r="G577" s="5">
        <v>3</v>
      </c>
      <c r="H577" s="7" t="s">
        <v>193</v>
      </c>
      <c r="I577" s="5">
        <v>0</v>
      </c>
      <c r="J577" s="5">
        <v>0</v>
      </c>
      <c r="K577">
        <v>2</v>
      </c>
      <c r="L577">
        <v>1.5</v>
      </c>
      <c r="M577" s="5">
        <v>1.5</v>
      </c>
      <c r="N577" s="5">
        <v>10</v>
      </c>
      <c r="O577" s="5">
        <f t="shared" si="3691"/>
        <v>92602</v>
      </c>
      <c r="P577" s="5">
        <f t="shared" si="3692"/>
        <v>517608000</v>
      </c>
      <c r="Q577" s="5">
        <f t="shared" si="3693"/>
        <v>8626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70071</v>
      </c>
      <c r="X577" s="6" t="s">
        <v>185</v>
      </c>
      <c r="Y577" s="5">
        <v>300</v>
      </c>
      <c r="Z577" s="5">
        <v>1</v>
      </c>
      <c r="AA577" s="5">
        <v>178982778</v>
      </c>
      <c r="AB577" s="16" t="s">
        <v>111</v>
      </c>
      <c r="AC577" s="7" t="s">
        <v>112</v>
      </c>
      <c r="AD577" s="7" t="s">
        <v>112</v>
      </c>
      <c r="AE577" s="7" t="s">
        <v>112</v>
      </c>
      <c r="AF577" s="6" t="s">
        <v>113</v>
      </c>
      <c r="AG577" s="26" t="str">
        <f t="shared" ref="AG577" si="4129">CM$10</f>
        <v>4,14,28,14,6,4,14,28,14,6</v>
      </c>
      <c r="AH577" s="26" t="str">
        <f t="shared" ref="AH577" si="4130">CN$10</f>
        <v>0,0,0,0,1,0,0,0,0,1</v>
      </c>
      <c r="AI577" s="26" t="str">
        <f t="shared" ref="AI577" si="4131">CO$10</f>
        <v>0,0,0,0,1,0,0,0,0,1</v>
      </c>
      <c r="AJ577" s="26" t="str">
        <f t="shared" ref="AJ577" si="4132">CP$10</f>
        <v>0,0,0,0,5,0,0,0,0,5</v>
      </c>
      <c r="AK577" s="26" t="str">
        <f t="shared" ref="AK577" si="4133">CQ$10</f>
        <v>200,1,1000,2,5,200,1,1000,2,5</v>
      </c>
      <c r="AL577" s="26" t="str">
        <f t="shared" ref="AL577" si="4134">CR$10</f>
        <v>5,5,5,5,5,5,5,5,5,5</v>
      </c>
      <c r="AM577" s="7">
        <v>2001</v>
      </c>
      <c r="AO577">
        <f t="shared" ref="AO577" si="4135">AQ577*100+7</f>
        <v>6407</v>
      </c>
      <c r="AP577">
        <v>573</v>
      </c>
      <c r="AQ577">
        <f t="shared" si="3701"/>
        <v>64</v>
      </c>
      <c r="AR577">
        <v>11</v>
      </c>
      <c r="AS577" s="17">
        <f t="shared" si="3782"/>
        <v>385</v>
      </c>
      <c r="AT577">
        <v>10</v>
      </c>
      <c r="AU577">
        <f t="shared" si="3702"/>
        <v>32</v>
      </c>
      <c r="AV577">
        <v>150</v>
      </c>
      <c r="AW577">
        <f t="shared" si="3703"/>
        <v>92602.460159999988</v>
      </c>
      <c r="AX577">
        <f t="shared" si="3832"/>
        <v>517608000</v>
      </c>
      <c r="AY577">
        <f t="shared" si="3704"/>
        <v>8626.7999999999993</v>
      </c>
      <c r="AZ577">
        <f t="shared" si="3705"/>
        <v>17253.599999999999</v>
      </c>
      <c r="BA577">
        <f t="shared" si="3706"/>
        <v>106175.99999999999</v>
      </c>
      <c r="BB577">
        <f t="shared" si="3707"/>
        <v>4313.3999999999996</v>
      </c>
      <c r="BC577">
        <f t="shared" si="3833"/>
        <v>517608000</v>
      </c>
      <c r="BD577">
        <f t="shared" si="3708"/>
        <v>0.29411764705882354</v>
      </c>
      <c r="BE577" s="27">
        <f t="shared" si="3834"/>
        <v>797056173.95040023</v>
      </c>
      <c r="BF577" s="30">
        <f t="shared" si="3709"/>
        <v>0.4536</v>
      </c>
      <c r="BG577" s="27"/>
      <c r="BH577" s="27"/>
      <c r="BI577" s="27"/>
      <c r="CA577" s="20">
        <f t="shared" si="3710"/>
        <v>415</v>
      </c>
      <c r="CB577" s="20">
        <f t="shared" si="3711"/>
        <v>41500</v>
      </c>
    </row>
    <row r="578" spans="1:80" x14ac:dyDescent="0.15">
      <c r="A578">
        <v>6408</v>
      </c>
      <c r="B578" s="3" t="s">
        <v>128</v>
      </c>
      <c r="C578" s="4" t="s">
        <v>109</v>
      </c>
      <c r="D578" s="4" t="s">
        <v>110</v>
      </c>
      <c r="E578" s="5">
        <v>5</v>
      </c>
      <c r="F578" s="7" t="s">
        <v>129</v>
      </c>
      <c r="G578" s="5">
        <v>2</v>
      </c>
      <c r="H578" s="7" t="s">
        <v>130</v>
      </c>
      <c r="I578" s="5">
        <v>0</v>
      </c>
      <c r="J578" s="5">
        <v>0</v>
      </c>
      <c r="K578">
        <v>2</v>
      </c>
      <c r="L578">
        <v>1.5</v>
      </c>
      <c r="M578" s="5">
        <v>1.5</v>
      </c>
      <c r="N578" s="5">
        <v>10</v>
      </c>
      <c r="O578" s="5">
        <f t="shared" si="3691"/>
        <v>93774</v>
      </c>
      <c r="P578" s="5">
        <f t="shared" si="3692"/>
        <v>524160000</v>
      </c>
      <c r="Q578" s="5">
        <f t="shared" si="3693"/>
        <v>8736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70081</v>
      </c>
      <c r="X578" s="6" t="s">
        <v>186</v>
      </c>
      <c r="Y578" s="5">
        <v>300</v>
      </c>
      <c r="Z578" s="5">
        <v>1</v>
      </c>
      <c r="AA578" s="5">
        <v>183920003</v>
      </c>
      <c r="AB578" s="16" t="s">
        <v>111</v>
      </c>
      <c r="AC578" s="7" t="s">
        <v>112</v>
      </c>
      <c r="AD578" s="7" t="s">
        <v>112</v>
      </c>
      <c r="AE578" s="7" t="s">
        <v>112</v>
      </c>
      <c r="AF578" s="6" t="s">
        <v>113</v>
      </c>
      <c r="AG578" s="26" t="str">
        <f t="shared" ref="AG578" si="4136">CM$11</f>
        <v>4,28,6,28,6,4,28,6,28,6</v>
      </c>
      <c r="AH578" s="26" t="str">
        <f t="shared" ref="AH578" si="4137">CN$11</f>
        <v>0,0,1,0,1,0,0,1,0,1</v>
      </c>
      <c r="AI578" s="26" t="str">
        <f t="shared" ref="AI578" si="4138">CO$11</f>
        <v>0,0,1,0,1,0,0,1,0,1</v>
      </c>
      <c r="AJ578" s="26" t="str">
        <f t="shared" ref="AJ578" si="4139">CP$11</f>
        <v>0,0,5,0,5,0,0,5,0,5</v>
      </c>
      <c r="AK578" s="26" t="str">
        <f t="shared" ref="AK578" si="4140">CQ$11</f>
        <v>100,1000,5,1500,5,200,1000,5,1500,5</v>
      </c>
      <c r="AL578" s="26" t="str">
        <f t="shared" ref="AL578" si="4141">CR$11</f>
        <v>5,5,5,5,5,5,5,5,5,5</v>
      </c>
      <c r="AM578" s="7">
        <v>2001</v>
      </c>
      <c r="AO578">
        <f t="shared" ref="AO578" si="4142">AQ578*100+8</f>
        <v>6408</v>
      </c>
      <c r="AP578">
        <v>574</v>
      </c>
      <c r="AQ578">
        <f t="shared" si="3701"/>
        <v>64</v>
      </c>
      <c r="AR578">
        <v>11</v>
      </c>
      <c r="AS578" s="17">
        <f t="shared" si="3782"/>
        <v>390</v>
      </c>
      <c r="AT578">
        <v>10</v>
      </c>
      <c r="AU578">
        <f t="shared" si="3702"/>
        <v>32</v>
      </c>
      <c r="AV578">
        <v>150</v>
      </c>
      <c r="AW578">
        <f t="shared" si="3703"/>
        <v>93774.643199999977</v>
      </c>
      <c r="AX578">
        <f t="shared" si="3832"/>
        <v>524160000</v>
      </c>
      <c r="AY578">
        <f t="shared" si="3704"/>
        <v>8736</v>
      </c>
      <c r="AZ578">
        <f t="shared" si="3705"/>
        <v>17472</v>
      </c>
      <c r="BA578">
        <f t="shared" si="3706"/>
        <v>107519.99999999999</v>
      </c>
      <c r="BB578">
        <f t="shared" si="3707"/>
        <v>4368</v>
      </c>
      <c r="BC578">
        <f t="shared" si="3833"/>
        <v>524160000</v>
      </c>
      <c r="BD578">
        <f t="shared" si="3708"/>
        <v>0.29411764705882354</v>
      </c>
      <c r="BE578" s="27">
        <f t="shared" si="3834"/>
        <v>817362524.16000009</v>
      </c>
      <c r="BF578" s="30">
        <f t="shared" si="3709"/>
        <v>0.4536</v>
      </c>
      <c r="BG578" s="27"/>
      <c r="BH578" s="27"/>
      <c r="BI578" s="27"/>
      <c r="CA578" s="20">
        <f t="shared" si="3710"/>
        <v>415</v>
      </c>
      <c r="CB578" s="20">
        <f t="shared" si="3711"/>
        <v>41500</v>
      </c>
    </row>
    <row r="579" spans="1:80" x14ac:dyDescent="0.15">
      <c r="A579">
        <v>6409</v>
      </c>
      <c r="B579" s="3" t="s">
        <v>132</v>
      </c>
      <c r="C579" s="4" t="s">
        <v>109</v>
      </c>
      <c r="D579" s="4" t="s">
        <v>110</v>
      </c>
      <c r="E579" s="5">
        <v>5</v>
      </c>
      <c r="F579" s="7" t="s">
        <v>140</v>
      </c>
      <c r="G579" s="5">
        <v>3</v>
      </c>
      <c r="H579" s="7" t="s">
        <v>140</v>
      </c>
      <c r="I579" s="5">
        <v>0</v>
      </c>
      <c r="J579" s="7">
        <v>0</v>
      </c>
      <c r="K579">
        <v>6</v>
      </c>
      <c r="L579">
        <v>1.5</v>
      </c>
      <c r="M579" s="5">
        <v>1.5</v>
      </c>
      <c r="N579" s="5">
        <v>10</v>
      </c>
      <c r="O579" s="5">
        <f t="shared" si="3691"/>
        <v>94946</v>
      </c>
      <c r="P579" s="5">
        <f t="shared" si="3692"/>
        <v>530712000</v>
      </c>
      <c r="Q579" s="5">
        <f t="shared" si="3693"/>
        <v>8845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70091</v>
      </c>
      <c r="X579" s="6" t="s">
        <v>187</v>
      </c>
      <c r="Y579" s="5">
        <v>300</v>
      </c>
      <c r="Z579" s="5">
        <v>1</v>
      </c>
      <c r="AA579" s="5">
        <v>188924400</v>
      </c>
      <c r="AB579" s="16" t="s">
        <v>111</v>
      </c>
      <c r="AC579" s="7" t="s">
        <v>112</v>
      </c>
      <c r="AD579" s="7" t="s">
        <v>112</v>
      </c>
      <c r="AE579" s="7" t="s">
        <v>112</v>
      </c>
      <c r="AF579" s="6" t="s">
        <v>113</v>
      </c>
      <c r="AG579" s="26" t="str">
        <f t="shared" ref="AG579" si="4143">CM$12</f>
        <v>4,33,28,33,6,4,33,28,33,6</v>
      </c>
      <c r="AH579" s="26" t="str">
        <f t="shared" ref="AH579" si="4144">CN$12</f>
        <v>0,5,0,5,1,0,5,0,5,1</v>
      </c>
      <c r="AI579" s="26" t="str">
        <f t="shared" ref="AI579" si="4145">CO$12</f>
        <v>0,0,0,0,1,0,0,0,0,1</v>
      </c>
      <c r="AJ579" s="26" t="str">
        <f t="shared" ref="AJ579" si="4146">CP$12</f>
        <v>0,0,0,0,5,0,0,0,0,5</v>
      </c>
      <c r="AK579" s="26" t="str">
        <f t="shared" ref="AK579" si="4147">CQ$12</f>
        <v>100,1,1000,2,5,200,1,1000,2,5</v>
      </c>
      <c r="AL579" s="26" t="str">
        <f t="shared" ref="AL579" si="4148">CR$12</f>
        <v>5,5,5,5,5,5,5,5,5,5</v>
      </c>
      <c r="AM579" s="7">
        <v>2001</v>
      </c>
      <c r="AO579">
        <f t="shared" ref="AO579" si="4149">AQ579*100+9</f>
        <v>6409</v>
      </c>
      <c r="AP579">
        <v>575</v>
      </c>
      <c r="AQ579">
        <f t="shared" si="3701"/>
        <v>64</v>
      </c>
      <c r="AR579">
        <v>11</v>
      </c>
      <c r="AS579" s="17">
        <f t="shared" si="3782"/>
        <v>395</v>
      </c>
      <c r="AT579">
        <v>10</v>
      </c>
      <c r="AU579">
        <f t="shared" si="3702"/>
        <v>32</v>
      </c>
      <c r="AV579">
        <v>150</v>
      </c>
      <c r="AW579">
        <f t="shared" si="3703"/>
        <v>94946.82623999998</v>
      </c>
      <c r="AX579">
        <f t="shared" si="3832"/>
        <v>530711999.99999988</v>
      </c>
      <c r="AY579">
        <f t="shared" si="3704"/>
        <v>8845.1999999999989</v>
      </c>
      <c r="AZ579">
        <f t="shared" si="3705"/>
        <v>17690.399999999998</v>
      </c>
      <c r="BA579">
        <f t="shared" si="3706"/>
        <v>108863.99999999999</v>
      </c>
      <c r="BB579">
        <f t="shared" si="3707"/>
        <v>4422.5999999999995</v>
      </c>
      <c r="BC579">
        <f t="shared" si="3833"/>
        <v>530711999.99999988</v>
      </c>
      <c r="BD579">
        <f t="shared" si="3708"/>
        <v>0.29411764705882348</v>
      </c>
      <c r="BE579" s="27">
        <f t="shared" si="3834"/>
        <v>837924300.15839982</v>
      </c>
      <c r="BF579" s="30">
        <f t="shared" si="3709"/>
        <v>0.4536</v>
      </c>
      <c r="BG579" s="27"/>
      <c r="BH579" s="27"/>
      <c r="BI579" s="27"/>
      <c r="CA579" s="20">
        <f t="shared" si="3710"/>
        <v>415</v>
      </c>
      <c r="CB579" s="20">
        <f t="shared" si="3711"/>
        <v>41500</v>
      </c>
    </row>
    <row r="580" spans="1:80" x14ac:dyDescent="0.15">
      <c r="A580">
        <v>6501</v>
      </c>
      <c r="B580" s="3" t="s">
        <v>108</v>
      </c>
      <c r="C580" s="4" t="s">
        <v>109</v>
      </c>
      <c r="D580" s="4" t="s">
        <v>110</v>
      </c>
      <c r="E580" s="5">
        <v>3</v>
      </c>
      <c r="F580" s="7" t="s">
        <v>141</v>
      </c>
      <c r="G580" s="5">
        <v>2.5</v>
      </c>
      <c r="H580" s="7" t="s">
        <v>194</v>
      </c>
      <c r="I580" s="5">
        <v>0</v>
      </c>
      <c r="J580" s="5">
        <v>0</v>
      </c>
      <c r="K580">
        <v>2</v>
      </c>
      <c r="L580">
        <v>1.5</v>
      </c>
      <c r="M580" s="5">
        <v>1.5</v>
      </c>
      <c r="N580" s="5">
        <v>10</v>
      </c>
      <c r="O580" s="5">
        <f t="shared" si="3691"/>
        <v>86884</v>
      </c>
      <c r="P580" s="5">
        <f t="shared" si="3692"/>
        <v>484848000</v>
      </c>
      <c r="Q580" s="5">
        <f t="shared" si="3693"/>
        <v>8080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70011</v>
      </c>
      <c r="X580" s="6" t="s">
        <v>179</v>
      </c>
      <c r="Y580" s="5">
        <v>300</v>
      </c>
      <c r="Z580" s="5">
        <v>1</v>
      </c>
      <c r="AA580" s="5">
        <v>193995971</v>
      </c>
      <c r="AB580" s="16" t="s">
        <v>111</v>
      </c>
      <c r="AC580" s="7" t="s">
        <v>112</v>
      </c>
      <c r="AD580" s="7" t="s">
        <v>112</v>
      </c>
      <c r="AE580" s="7" t="s">
        <v>112</v>
      </c>
      <c r="AF580" s="6" t="s">
        <v>113</v>
      </c>
      <c r="AG580" s="26" t="str">
        <f t="shared" ref="AG580" si="4150">CM$4</f>
        <v>4,33,28,33,6,4,33,28,33,6</v>
      </c>
      <c r="AH580" s="26" t="str">
        <f t="shared" ref="AH580" si="4151">CN$4</f>
        <v>0,8,0,8,1,0,8,0,8,1</v>
      </c>
      <c r="AI580" s="26" t="str">
        <f t="shared" ref="AI580" si="4152">CO$4</f>
        <v>0,0,0,0,1,0,0,0,0,1</v>
      </c>
      <c r="AJ580" s="26" t="str">
        <f t="shared" ref="AJ580" si="4153">CP$4</f>
        <v>0,0,0,0,5,0,0,0,0,5</v>
      </c>
      <c r="AK580" s="26" t="str">
        <f t="shared" ref="AK580" si="4154">CQ$4</f>
        <v>100,1,1000,2,5,200,1,1000,2,5</v>
      </c>
      <c r="AL580" s="26" t="str">
        <f t="shared" ref="AL580" si="4155">CR$4</f>
        <v>5,5,5,5,5,5,5,5,5,5</v>
      </c>
      <c r="AM580" s="7">
        <v>2001</v>
      </c>
      <c r="AO580">
        <f t="shared" ref="AO580" si="4156">AQ580*100+1</f>
        <v>6501</v>
      </c>
      <c r="AP580">
        <v>576</v>
      </c>
      <c r="AQ580">
        <f t="shared" si="3701"/>
        <v>65</v>
      </c>
      <c r="AR580">
        <v>11</v>
      </c>
      <c r="AS580" s="17">
        <f t="shared" si="3782"/>
        <v>360</v>
      </c>
      <c r="AT580">
        <v>10</v>
      </c>
      <c r="AU580">
        <f t="shared" si="3702"/>
        <v>32</v>
      </c>
      <c r="AV580">
        <v>150</v>
      </c>
      <c r="AW580">
        <f t="shared" si="3703"/>
        <v>86884.761599999983</v>
      </c>
      <c r="AX580">
        <f t="shared" si="3832"/>
        <v>484848000</v>
      </c>
      <c r="AY580">
        <f t="shared" si="3704"/>
        <v>8080.8</v>
      </c>
      <c r="AZ580">
        <f t="shared" si="3705"/>
        <v>16161.6</v>
      </c>
      <c r="BA580">
        <f t="shared" si="3706"/>
        <v>99455.999999999985</v>
      </c>
      <c r="BB580">
        <f t="shared" si="3707"/>
        <v>4040.4</v>
      </c>
      <c r="BC580">
        <f t="shared" si="3833"/>
        <v>484848000</v>
      </c>
      <c r="BD580">
        <f t="shared" si="3708"/>
        <v>0.29411764705882348</v>
      </c>
      <c r="BE580" s="27">
        <f t="shared" si="3834"/>
        <v>699355809.73440015</v>
      </c>
      <c r="BF580" s="30">
        <f t="shared" si="3709"/>
        <v>0.45599999999999996</v>
      </c>
      <c r="BG580" s="27"/>
      <c r="BH580" s="27"/>
      <c r="BI580" s="27"/>
      <c r="CA580" s="20">
        <f t="shared" si="3710"/>
        <v>420</v>
      </c>
      <c r="CB580" s="20">
        <f t="shared" si="3711"/>
        <v>42000</v>
      </c>
    </row>
    <row r="581" spans="1:80" x14ac:dyDescent="0.15">
      <c r="A581">
        <v>6502</v>
      </c>
      <c r="B581" s="3" t="s">
        <v>115</v>
      </c>
      <c r="C581" s="4" t="s">
        <v>109</v>
      </c>
      <c r="D581" s="6" t="s">
        <v>110</v>
      </c>
      <c r="E581" s="5">
        <v>3</v>
      </c>
      <c r="F581" s="7" t="s">
        <v>142</v>
      </c>
      <c r="G581" s="5">
        <v>3</v>
      </c>
      <c r="H581" s="7" t="s">
        <v>188</v>
      </c>
      <c r="I581" s="5">
        <v>0</v>
      </c>
      <c r="J581" s="5">
        <v>0</v>
      </c>
      <c r="K581">
        <v>2</v>
      </c>
      <c r="L581">
        <v>1.5</v>
      </c>
      <c r="M581" s="5">
        <v>1.5</v>
      </c>
      <c r="N581" s="5">
        <v>10</v>
      </c>
      <c r="O581" s="5">
        <f t="shared" ref="O581:O644" si="4157">FLOOR(AW581,1)</f>
        <v>88058</v>
      </c>
      <c r="P581" s="5">
        <f t="shared" ref="P581:P644" si="4158">FLOOR(BC581,1)</f>
        <v>491400000</v>
      </c>
      <c r="Q581" s="5">
        <f t="shared" ref="Q581:Q644" si="4159">FLOOR(AY581,1)</f>
        <v>8190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70021</v>
      </c>
      <c r="X581" s="6" t="s">
        <v>180</v>
      </c>
      <c r="Y581" s="5">
        <v>300</v>
      </c>
      <c r="Z581" s="5">
        <v>1</v>
      </c>
      <c r="AA581" s="5">
        <v>159905612</v>
      </c>
      <c r="AB581" s="16" t="s">
        <v>111</v>
      </c>
      <c r="AC581" s="7" t="s">
        <v>112</v>
      </c>
      <c r="AD581" s="7" t="s">
        <v>112</v>
      </c>
      <c r="AE581" s="7" t="s">
        <v>112</v>
      </c>
      <c r="AF581" s="6" t="s">
        <v>113</v>
      </c>
      <c r="AG581" s="26" t="str">
        <f t="shared" ref="AG581" si="4160">CM$5</f>
        <v>4,33,28,33,6,4,33,28,33,6</v>
      </c>
      <c r="AH581" s="26" t="str">
        <f t="shared" ref="AH581" si="4161">CN$5</f>
        <v>0,7,0,7,1,0,7,0,7,1</v>
      </c>
      <c r="AI581" s="26" t="str">
        <f t="shared" ref="AI581" si="4162">CO$5</f>
        <v>0,0,0,0,1,0,0,0,0,1</v>
      </c>
      <c r="AJ581" s="26" t="str">
        <f t="shared" ref="AJ581" si="4163">CP$5</f>
        <v>0,0,0,0,5,0,0,0,0,5</v>
      </c>
      <c r="AK581" s="26" t="str">
        <f t="shared" ref="AK581" si="4164">CQ$5</f>
        <v>100,1,1000,2,5,200,1,1000,2,5</v>
      </c>
      <c r="AL581" s="26" t="str">
        <f t="shared" ref="AL581" si="4165">CR$5</f>
        <v>5,5,5,5,5,5,5,5,5,5</v>
      </c>
      <c r="AM581" s="7">
        <v>2001</v>
      </c>
      <c r="AO581">
        <f t="shared" ref="AO581" si="4166">AQ581*100+2</f>
        <v>6502</v>
      </c>
      <c r="AP581">
        <v>577</v>
      </c>
      <c r="AQ581">
        <f t="shared" ref="AQ581:AQ644" si="4167">FLOOR(AP581/9+1,1)</f>
        <v>65</v>
      </c>
      <c r="AR581">
        <v>11</v>
      </c>
      <c r="AS581" s="17">
        <f t="shared" si="3782"/>
        <v>365</v>
      </c>
      <c r="AT581">
        <v>10</v>
      </c>
      <c r="AU581">
        <f t="shared" ref="AU581:AU644" si="4168">20+FLOOR(AQ581/10,1)*2</f>
        <v>32</v>
      </c>
      <c r="AV581">
        <v>150</v>
      </c>
      <c r="AW581">
        <f t="shared" ref="AW581:AW644" si="4169">BA581*0.6*(1+BF581)</f>
        <v>88058.879999999976</v>
      </c>
      <c r="AX581">
        <f t="shared" si="3832"/>
        <v>491400000</v>
      </c>
      <c r="AY581">
        <f t="shared" ref="AY581:AY644" si="4170">BB581*2</f>
        <v>8190</v>
      </c>
      <c r="AZ581">
        <f t="shared" ref="AZ581:AZ644" si="4171">(INDEX($BO$2:$BO$15,MATCH($AR581,$BK$2:$BK$15,0))+INDEX($BP$2:$BP$15,MATCH($AR581,$BK$2:$BK$15,0))*$AS581)*(1+INDEX($BZ$2:$BZ$15,MATCH($AT581,$BX$2:$BX$15,0)))</f>
        <v>16380</v>
      </c>
      <c r="BA581">
        <f t="shared" ref="BA581:BA644" si="4172">INDEX($BQ$2:$BQ$15,MATCH($AR581,$BK$2:$BK$15,0))+INDEX($BR$2:$BR$15,MATCH($AR581,$BK$2:$BK$15,0))*$AS581</f>
        <v>100799.99999999999</v>
      </c>
      <c r="BB581">
        <f t="shared" ref="BB581:BB644" si="4173">(INDEX($BS$2:$BS$15,MATCH($AR581,$BK$2:$BK$15,0))+INDEX($BT$2:$BT$15,MATCH($AR581,$BK$2:$BK$15,0))*$AS581)*(1+INDEX($BZ$2:$BZ$15,MATCH($AT581,$BX$2:$BX$15,0)))</f>
        <v>4095</v>
      </c>
      <c r="BC581">
        <f t="shared" si="3833"/>
        <v>491400000</v>
      </c>
      <c r="BD581">
        <f t="shared" ref="BD581:BD644" si="4174">1/(1+AZ581*3/(5*BB581))</f>
        <v>0.29411764705882354</v>
      </c>
      <c r="BE581" s="27">
        <f t="shared" si="3834"/>
        <v>718385031</v>
      </c>
      <c r="BF581" s="30">
        <f t="shared" ref="BF581:BF644" si="4175">0.3+AQ581*0.0024</f>
        <v>0.45599999999999996</v>
      </c>
      <c r="BG581" s="27"/>
      <c r="BH581" s="27"/>
      <c r="BI581" s="27"/>
      <c r="CA581" s="20">
        <f t="shared" ref="CA581:CA644" si="4176">$CA$2+(AQ581-1)*5</f>
        <v>420</v>
      </c>
      <c r="CB581" s="20">
        <f t="shared" ref="CB581:CB644" si="4177">$CB$2+(AQ581-1)*500</f>
        <v>42000</v>
      </c>
    </row>
    <row r="582" spans="1:80" x14ac:dyDescent="0.15">
      <c r="A582">
        <v>6503</v>
      </c>
      <c r="B582" s="3" t="s">
        <v>117</v>
      </c>
      <c r="C582" s="4" t="s">
        <v>109</v>
      </c>
      <c r="D582" s="4" t="s">
        <v>110</v>
      </c>
      <c r="E582" s="5">
        <v>1</v>
      </c>
      <c r="F582" s="7" t="s">
        <v>144</v>
      </c>
      <c r="G582" s="5">
        <v>3</v>
      </c>
      <c r="H582" s="7" t="s">
        <v>189</v>
      </c>
      <c r="I582" s="5">
        <v>0</v>
      </c>
      <c r="J582" s="2">
        <v>0</v>
      </c>
      <c r="K582">
        <v>6</v>
      </c>
      <c r="L582">
        <v>1.5</v>
      </c>
      <c r="M582" s="5">
        <v>1.5</v>
      </c>
      <c r="N582" s="5">
        <v>10</v>
      </c>
      <c r="O582" s="5">
        <f t="shared" si="4157"/>
        <v>89232</v>
      </c>
      <c r="P582" s="5">
        <f t="shared" si="4158"/>
        <v>497952000</v>
      </c>
      <c r="Q582" s="5">
        <f t="shared" si="4159"/>
        <v>8299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70031</v>
      </c>
      <c r="X582" s="6" t="s">
        <v>181</v>
      </c>
      <c r="Y582" s="5">
        <v>300</v>
      </c>
      <c r="Z582" s="5">
        <v>1</v>
      </c>
      <c r="AA582" s="5">
        <v>164574144</v>
      </c>
      <c r="AB582" s="16" t="s">
        <v>111</v>
      </c>
      <c r="AC582" s="7" t="s">
        <v>112</v>
      </c>
      <c r="AD582" s="7" t="s">
        <v>112</v>
      </c>
      <c r="AE582" s="7" t="s">
        <v>112</v>
      </c>
      <c r="AF582" s="6" t="s">
        <v>113</v>
      </c>
      <c r="AG582" s="26" t="str">
        <f t="shared" ref="AG582" si="4178">CM$6</f>
        <v>4,28,6,28,6,4,28,6,28,6</v>
      </c>
      <c r="AH582" s="26" t="str">
        <f t="shared" ref="AH582" si="4179">CN$6</f>
        <v>0,0,1,0,1,0,0,1,0,1</v>
      </c>
      <c r="AI582" s="26" t="str">
        <f t="shared" ref="AI582" si="4180">CO$6</f>
        <v>0,0,0,0,1,0,0,0,0,1</v>
      </c>
      <c r="AJ582" s="26" t="str">
        <f t="shared" ref="AJ582" si="4181">CP$6</f>
        <v>0,0,5,0,5,0,0,5,0,5</v>
      </c>
      <c r="AK582" s="26" t="str">
        <f t="shared" ref="AK582" si="4182">CQ$6</f>
        <v>100,1000,5,1500,5,200,1000,5,1500,5</v>
      </c>
      <c r="AL582" s="26" t="str">
        <f t="shared" ref="AL582" si="4183">CR$6</f>
        <v>5,5,5,5,5,5,5,5,5,5</v>
      </c>
      <c r="AM582" s="7">
        <v>2001</v>
      </c>
      <c r="AO582">
        <f t="shared" ref="AO582" si="4184">AQ582*100+3</f>
        <v>6503</v>
      </c>
      <c r="AP582">
        <v>578</v>
      </c>
      <c r="AQ582">
        <f t="shared" si="4167"/>
        <v>65</v>
      </c>
      <c r="AR582">
        <v>11</v>
      </c>
      <c r="AS582" s="17">
        <f t="shared" si="3782"/>
        <v>370</v>
      </c>
      <c r="AT582">
        <v>10</v>
      </c>
      <c r="AU582">
        <f t="shared" si="4168"/>
        <v>32</v>
      </c>
      <c r="AV582">
        <v>150</v>
      </c>
      <c r="AW582">
        <f t="shared" si="4169"/>
        <v>89232.998399999982</v>
      </c>
      <c r="AX582">
        <f t="shared" si="3832"/>
        <v>497952000</v>
      </c>
      <c r="AY582">
        <f t="shared" si="4170"/>
        <v>8299.1999999999989</v>
      </c>
      <c r="AZ582">
        <f t="shared" si="4171"/>
        <v>16598.399999999998</v>
      </c>
      <c r="BA582">
        <f t="shared" si="4172"/>
        <v>102143.99999999999</v>
      </c>
      <c r="BB582">
        <f t="shared" si="4173"/>
        <v>4149.5999999999995</v>
      </c>
      <c r="BC582">
        <f t="shared" si="3833"/>
        <v>497952000</v>
      </c>
      <c r="BD582">
        <f t="shared" si="4174"/>
        <v>0.29411764705882348</v>
      </c>
      <c r="BE582" s="27">
        <f t="shared" si="3834"/>
        <v>737669678.05439997</v>
      </c>
      <c r="BF582" s="30">
        <f t="shared" si="4175"/>
        <v>0.45599999999999996</v>
      </c>
      <c r="BG582" s="27"/>
      <c r="BH582" s="27"/>
      <c r="BI582" s="27"/>
      <c r="CA582" s="20">
        <f t="shared" si="4176"/>
        <v>420</v>
      </c>
      <c r="CB582" s="20">
        <f t="shared" si="4177"/>
        <v>42000</v>
      </c>
    </row>
    <row r="583" spans="1:80" x14ac:dyDescent="0.15">
      <c r="A583">
        <v>6504</v>
      </c>
      <c r="B583" s="3" t="s">
        <v>119</v>
      </c>
      <c r="C583" s="4" t="s">
        <v>109</v>
      </c>
      <c r="D583" s="6" t="s">
        <v>120</v>
      </c>
      <c r="E583" s="5">
        <v>3</v>
      </c>
      <c r="F583" s="7" t="s">
        <v>145</v>
      </c>
      <c r="G583" s="5">
        <v>3</v>
      </c>
      <c r="H583" s="7" t="s">
        <v>190</v>
      </c>
      <c r="I583" s="5">
        <v>0</v>
      </c>
      <c r="J583" s="5">
        <v>0</v>
      </c>
      <c r="K583">
        <v>2</v>
      </c>
      <c r="L583">
        <v>1.5</v>
      </c>
      <c r="M583" s="5">
        <v>1.5</v>
      </c>
      <c r="N583" s="5">
        <v>10</v>
      </c>
      <c r="O583" s="5">
        <f t="shared" si="4157"/>
        <v>90407</v>
      </c>
      <c r="P583" s="5">
        <f t="shared" si="4158"/>
        <v>504504000</v>
      </c>
      <c r="Q583" s="5">
        <f t="shared" si="4159"/>
        <v>8408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70041</v>
      </c>
      <c r="X583" s="6" t="s">
        <v>182</v>
      </c>
      <c r="Y583" s="5">
        <v>300</v>
      </c>
      <c r="Z583" s="5">
        <v>1</v>
      </c>
      <c r="AA583" s="5">
        <v>169309849</v>
      </c>
      <c r="AB583" s="16" t="s">
        <v>111</v>
      </c>
      <c r="AC583" s="7" t="s">
        <v>112</v>
      </c>
      <c r="AD583" s="7" t="s">
        <v>112</v>
      </c>
      <c r="AE583" s="7" t="s">
        <v>112</v>
      </c>
      <c r="AF583" s="6" t="s">
        <v>113</v>
      </c>
      <c r="AG583" s="26" t="str">
        <f t="shared" ref="AG583" si="4185">CM$7</f>
        <v>4,14,28,14,6,4,14,28,14,6</v>
      </c>
      <c r="AH583" s="26" t="str">
        <f t="shared" ref="AH583" si="4186">CN$7</f>
        <v>0,0,0,0,1,0,0,0,0,1</v>
      </c>
      <c r="AI583" s="26" t="str">
        <f t="shared" ref="AI583" si="4187">CO$7</f>
        <v>0,0,0,0,1,0,0,0,0,1</v>
      </c>
      <c r="AJ583" s="26" t="str">
        <f t="shared" ref="AJ583" si="4188">CP$7</f>
        <v>0,0,0,0,5,0,0,0,0,5</v>
      </c>
      <c r="AK583" s="26" t="str">
        <f t="shared" ref="AK583" si="4189">CQ$7</f>
        <v>100,1,1000,2,5,200,1,1000,2,5</v>
      </c>
      <c r="AL583" s="26" t="str">
        <f t="shared" ref="AL583" si="4190">CR$7</f>
        <v>5,5,5,5,5,5,5,5,5,5</v>
      </c>
      <c r="AM583" s="7">
        <v>2001</v>
      </c>
      <c r="AO583">
        <f t="shared" ref="AO583" si="4191">AQ583*100+4</f>
        <v>6504</v>
      </c>
      <c r="AP583">
        <v>579</v>
      </c>
      <c r="AQ583">
        <f t="shared" si="4167"/>
        <v>65</v>
      </c>
      <c r="AR583">
        <v>11</v>
      </c>
      <c r="AS583" s="17">
        <f t="shared" si="3782"/>
        <v>375</v>
      </c>
      <c r="AT583">
        <v>10</v>
      </c>
      <c r="AU583">
        <f t="shared" si="4168"/>
        <v>32</v>
      </c>
      <c r="AV583">
        <v>150</v>
      </c>
      <c r="AW583">
        <f t="shared" si="4169"/>
        <v>90407.116799999974</v>
      </c>
      <c r="AX583">
        <f t="shared" si="3832"/>
        <v>504504000</v>
      </c>
      <c r="AY583">
        <f t="shared" si="4170"/>
        <v>8408.4</v>
      </c>
      <c r="AZ583">
        <f t="shared" si="4171"/>
        <v>16816.8</v>
      </c>
      <c r="BA583">
        <f t="shared" si="4172"/>
        <v>103487.99999999999</v>
      </c>
      <c r="BB583">
        <f t="shared" si="4173"/>
        <v>4204.2</v>
      </c>
      <c r="BC583">
        <f t="shared" si="3833"/>
        <v>504504000</v>
      </c>
      <c r="BD583">
        <f t="shared" si="4174"/>
        <v>0.29411764705882354</v>
      </c>
      <c r="BE583" s="27">
        <f t="shared" si="3834"/>
        <v>757209750.89760005</v>
      </c>
      <c r="BF583" s="30">
        <f t="shared" si="4175"/>
        <v>0.45599999999999996</v>
      </c>
      <c r="BG583" s="27"/>
      <c r="BH583" s="27"/>
      <c r="BI583" s="27"/>
      <c r="CA583" s="20">
        <f t="shared" si="4176"/>
        <v>420</v>
      </c>
      <c r="CB583" s="20">
        <f t="shared" si="4177"/>
        <v>42000</v>
      </c>
    </row>
    <row r="584" spans="1:80" x14ac:dyDescent="0.15">
      <c r="A584">
        <v>6505</v>
      </c>
      <c r="B584" s="3" t="s">
        <v>122</v>
      </c>
      <c r="C584" s="4" t="s">
        <v>109</v>
      </c>
      <c r="D584" s="4" t="s">
        <v>110</v>
      </c>
      <c r="E584" s="5">
        <v>2</v>
      </c>
      <c r="F584" s="7" t="s">
        <v>146</v>
      </c>
      <c r="G584" s="5">
        <v>3</v>
      </c>
      <c r="H584" s="7" t="s">
        <v>191</v>
      </c>
      <c r="I584" s="5">
        <v>0</v>
      </c>
      <c r="J584" s="7" t="s">
        <v>148</v>
      </c>
      <c r="K584">
        <v>6</v>
      </c>
      <c r="L584">
        <v>1.5</v>
      </c>
      <c r="M584" s="5">
        <v>1.5</v>
      </c>
      <c r="N584" s="5">
        <v>10</v>
      </c>
      <c r="O584" s="5">
        <f t="shared" si="4157"/>
        <v>91581</v>
      </c>
      <c r="P584" s="5">
        <f t="shared" si="4158"/>
        <v>511056000</v>
      </c>
      <c r="Q584" s="5">
        <f t="shared" si="4159"/>
        <v>8517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70051</v>
      </c>
      <c r="X584" s="6" t="s">
        <v>183</v>
      </c>
      <c r="Y584" s="5">
        <v>300</v>
      </c>
      <c r="Z584" s="5">
        <v>1</v>
      </c>
      <c r="AA584" s="5">
        <v>174112727</v>
      </c>
      <c r="AB584" s="16" t="s">
        <v>111</v>
      </c>
      <c r="AC584" s="7" t="s">
        <v>112</v>
      </c>
      <c r="AD584" s="7" t="s">
        <v>112</v>
      </c>
      <c r="AE584" s="7" t="s">
        <v>112</v>
      </c>
      <c r="AF584" s="6" t="s">
        <v>113</v>
      </c>
      <c r="AG584" s="26" t="str">
        <f t="shared" ref="AG584" si="4192">CM$8</f>
        <v>4,19,28,19,6,4,19,28,19,6</v>
      </c>
      <c r="AH584" s="26" t="str">
        <f t="shared" ref="AH584" si="4193">CN$8</f>
        <v>0,0,0,0,1,0,0,0,0,1</v>
      </c>
      <c r="AI584" s="26" t="str">
        <f t="shared" ref="AI584" si="4194">CO$8</f>
        <v>0,0,0,0,1,0,0,0,0,1</v>
      </c>
      <c r="AJ584" s="26" t="str">
        <f t="shared" ref="AJ584" si="4195">CP$8</f>
        <v>0,0,0,0,5,0,0,0,0,5</v>
      </c>
      <c r="AK584" s="26" t="str">
        <f t="shared" ref="AK584" si="4196">CQ$8</f>
        <v>200,100,1000,200,5,200,100,1000,200,5</v>
      </c>
      <c r="AL584" s="26" t="str">
        <f t="shared" ref="AL584" si="4197">CR$8</f>
        <v>5,5,5,5,5,5,5,5,5,5</v>
      </c>
      <c r="AM584" s="7">
        <v>2001</v>
      </c>
      <c r="AO584">
        <f t="shared" ref="AO584" si="4198">AQ584*100+5</f>
        <v>6505</v>
      </c>
      <c r="AP584">
        <v>580</v>
      </c>
      <c r="AQ584">
        <f t="shared" si="4167"/>
        <v>65</v>
      </c>
      <c r="AR584">
        <v>11</v>
      </c>
      <c r="AS584" s="17">
        <f t="shared" si="3782"/>
        <v>380</v>
      </c>
      <c r="AT584">
        <v>10</v>
      </c>
      <c r="AU584">
        <f t="shared" si="4168"/>
        <v>32</v>
      </c>
      <c r="AV584">
        <v>150</v>
      </c>
      <c r="AW584">
        <f t="shared" si="4169"/>
        <v>91581.235199999981</v>
      </c>
      <c r="AX584">
        <f t="shared" si="3832"/>
        <v>511056000</v>
      </c>
      <c r="AY584">
        <f t="shared" si="4170"/>
        <v>8517.6</v>
      </c>
      <c r="AZ584">
        <f t="shared" si="4171"/>
        <v>17035.2</v>
      </c>
      <c r="BA584">
        <f t="shared" si="4172"/>
        <v>104831.99999999999</v>
      </c>
      <c r="BB584">
        <f t="shared" si="4173"/>
        <v>4258.8</v>
      </c>
      <c r="BC584">
        <f t="shared" si="3833"/>
        <v>511056000</v>
      </c>
      <c r="BD584">
        <f t="shared" si="4174"/>
        <v>0.29411764705882348</v>
      </c>
      <c r="BE584" s="27">
        <f t="shared" si="3834"/>
        <v>777005249.52959991</v>
      </c>
      <c r="BF584" s="30">
        <f t="shared" si="4175"/>
        <v>0.45599999999999996</v>
      </c>
      <c r="BG584" s="27"/>
      <c r="BH584" s="27"/>
      <c r="BI584" s="27"/>
      <c r="CA584" s="20">
        <f t="shared" si="4176"/>
        <v>420</v>
      </c>
      <c r="CB584" s="20">
        <f t="shared" si="4177"/>
        <v>42000</v>
      </c>
    </row>
    <row r="585" spans="1:80" x14ac:dyDescent="0.15">
      <c r="A585">
        <v>6506</v>
      </c>
      <c r="B585" s="3" t="s">
        <v>124</v>
      </c>
      <c r="C585" s="4" t="s">
        <v>109</v>
      </c>
      <c r="D585" s="6" t="s">
        <v>120</v>
      </c>
      <c r="E585" s="5">
        <v>1</v>
      </c>
      <c r="F585" s="7" t="s">
        <v>147</v>
      </c>
      <c r="G585" s="5">
        <v>3</v>
      </c>
      <c r="H585" s="7" t="s">
        <v>192</v>
      </c>
      <c r="I585" s="5">
        <v>0</v>
      </c>
      <c r="J585" s="7" t="s">
        <v>149</v>
      </c>
      <c r="K585">
        <v>6</v>
      </c>
      <c r="L585">
        <v>1.5</v>
      </c>
      <c r="M585" s="5">
        <v>1.5</v>
      </c>
      <c r="N585" s="5">
        <v>10</v>
      </c>
      <c r="O585" s="5">
        <f t="shared" si="4157"/>
        <v>92755</v>
      </c>
      <c r="P585" s="5">
        <f t="shared" si="4158"/>
        <v>517608000</v>
      </c>
      <c r="Q585" s="5">
        <f t="shared" si="4159"/>
        <v>8626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70061</v>
      </c>
      <c r="X585" s="6" t="s">
        <v>184</v>
      </c>
      <c r="Y585" s="5">
        <v>300</v>
      </c>
      <c r="Z585" s="5">
        <v>1</v>
      </c>
      <c r="AA585" s="5">
        <v>178982778</v>
      </c>
      <c r="AB585" s="16" t="s">
        <v>111</v>
      </c>
      <c r="AC585" s="7" t="s">
        <v>112</v>
      </c>
      <c r="AD585" s="7" t="s">
        <v>112</v>
      </c>
      <c r="AE585" s="7" t="s">
        <v>112</v>
      </c>
      <c r="AF585" s="6" t="s">
        <v>113</v>
      </c>
      <c r="AG585" s="26" t="str">
        <f t="shared" ref="AG585" si="4199">CM$9</f>
        <v>4,33,28,33,6,4,33,28,33,6</v>
      </c>
      <c r="AH585" s="26" t="str">
        <f t="shared" ref="AH585" si="4200">CN$9</f>
        <v>0,6,0,6,1,0,6,0,6,1</v>
      </c>
      <c r="AI585" s="26" t="str">
        <f t="shared" ref="AI585" si="4201">CO$9</f>
        <v>0,0,0,0,1,0,0,0,0,1</v>
      </c>
      <c r="AJ585" s="26" t="str">
        <f t="shared" ref="AJ585" si="4202">CP$9</f>
        <v>0,0,0,0,5,0,0,0,0,5</v>
      </c>
      <c r="AK585" s="26" t="str">
        <f t="shared" ref="AK585" si="4203">CQ$9</f>
        <v>200,1,1000,2,5,200,1,1000,2,5</v>
      </c>
      <c r="AL585" s="26" t="str">
        <f t="shared" ref="AL585" si="4204">CR$9</f>
        <v>5,5,5,5,5,5,5,5,5,5</v>
      </c>
      <c r="AM585" s="7">
        <v>2001</v>
      </c>
      <c r="AO585">
        <f t="shared" ref="AO585" si="4205">AQ585*100+6</f>
        <v>6506</v>
      </c>
      <c r="AP585">
        <v>581</v>
      </c>
      <c r="AQ585">
        <f t="shared" si="4167"/>
        <v>65</v>
      </c>
      <c r="AR585">
        <v>11</v>
      </c>
      <c r="AS585" s="17">
        <f t="shared" si="3782"/>
        <v>385</v>
      </c>
      <c r="AT585">
        <v>10</v>
      </c>
      <c r="AU585">
        <f t="shared" si="4168"/>
        <v>32</v>
      </c>
      <c r="AV585">
        <v>150</v>
      </c>
      <c r="AW585">
        <f t="shared" si="4169"/>
        <v>92755.353599999988</v>
      </c>
      <c r="AX585">
        <f t="shared" si="3832"/>
        <v>517608000</v>
      </c>
      <c r="AY585">
        <f t="shared" si="4170"/>
        <v>8626.7999999999993</v>
      </c>
      <c r="AZ585">
        <f t="shared" si="4171"/>
        <v>17253.599999999999</v>
      </c>
      <c r="BA585">
        <f t="shared" si="4172"/>
        <v>106175.99999999999</v>
      </c>
      <c r="BB585">
        <f t="shared" si="4173"/>
        <v>4313.3999999999996</v>
      </c>
      <c r="BC585">
        <f t="shared" si="3833"/>
        <v>517608000</v>
      </c>
      <c r="BD585">
        <f t="shared" si="4174"/>
        <v>0.29411764705882354</v>
      </c>
      <c r="BE585" s="27">
        <f t="shared" si="3834"/>
        <v>797056173.95040023</v>
      </c>
      <c r="BF585" s="30">
        <f t="shared" si="4175"/>
        <v>0.45599999999999996</v>
      </c>
      <c r="BG585" s="27"/>
      <c r="BH585" s="27"/>
      <c r="BI585" s="27"/>
      <c r="CA585" s="20">
        <f t="shared" si="4176"/>
        <v>420</v>
      </c>
      <c r="CB585" s="20">
        <f t="shared" si="4177"/>
        <v>42000</v>
      </c>
    </row>
    <row r="586" spans="1:80" x14ac:dyDescent="0.15">
      <c r="A586">
        <v>6507</v>
      </c>
      <c r="B586" s="3" t="s">
        <v>126</v>
      </c>
      <c r="C586" s="4" t="s">
        <v>109</v>
      </c>
      <c r="D586" s="4" t="s">
        <v>110</v>
      </c>
      <c r="E586" s="5">
        <v>2</v>
      </c>
      <c r="F586" s="7" t="s">
        <v>143</v>
      </c>
      <c r="G586" s="5">
        <v>3</v>
      </c>
      <c r="H586" s="7" t="s">
        <v>193</v>
      </c>
      <c r="I586" s="5">
        <v>0</v>
      </c>
      <c r="J586" s="5">
        <v>0</v>
      </c>
      <c r="K586">
        <v>2</v>
      </c>
      <c r="L586">
        <v>1.5</v>
      </c>
      <c r="M586" s="5">
        <v>1.5</v>
      </c>
      <c r="N586" s="5">
        <v>10</v>
      </c>
      <c r="O586" s="5">
        <f t="shared" si="4157"/>
        <v>93929</v>
      </c>
      <c r="P586" s="5">
        <f t="shared" si="4158"/>
        <v>524160000</v>
      </c>
      <c r="Q586" s="5">
        <f t="shared" si="4159"/>
        <v>8736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70071</v>
      </c>
      <c r="X586" s="6" t="s">
        <v>185</v>
      </c>
      <c r="Y586" s="5">
        <v>300</v>
      </c>
      <c r="Z586" s="5">
        <v>1</v>
      </c>
      <c r="AA586" s="5">
        <v>183920003</v>
      </c>
      <c r="AB586" s="16" t="s">
        <v>111</v>
      </c>
      <c r="AC586" s="7" t="s">
        <v>112</v>
      </c>
      <c r="AD586" s="7" t="s">
        <v>112</v>
      </c>
      <c r="AE586" s="7" t="s">
        <v>112</v>
      </c>
      <c r="AF586" s="6" t="s">
        <v>113</v>
      </c>
      <c r="AG586" s="26" t="str">
        <f t="shared" ref="AG586" si="4206">CM$10</f>
        <v>4,14,28,14,6,4,14,28,14,6</v>
      </c>
      <c r="AH586" s="26" t="str">
        <f t="shared" ref="AH586" si="4207">CN$10</f>
        <v>0,0,0,0,1,0,0,0,0,1</v>
      </c>
      <c r="AI586" s="26" t="str">
        <f t="shared" ref="AI586" si="4208">CO$10</f>
        <v>0,0,0,0,1,0,0,0,0,1</v>
      </c>
      <c r="AJ586" s="26" t="str">
        <f t="shared" ref="AJ586" si="4209">CP$10</f>
        <v>0,0,0,0,5,0,0,0,0,5</v>
      </c>
      <c r="AK586" s="26" t="str">
        <f t="shared" ref="AK586" si="4210">CQ$10</f>
        <v>200,1,1000,2,5,200,1,1000,2,5</v>
      </c>
      <c r="AL586" s="26" t="str">
        <f t="shared" ref="AL586" si="4211">CR$10</f>
        <v>5,5,5,5,5,5,5,5,5,5</v>
      </c>
      <c r="AM586" s="7">
        <v>2001</v>
      </c>
      <c r="AO586">
        <f t="shared" ref="AO586" si="4212">AQ586*100+7</f>
        <v>6507</v>
      </c>
      <c r="AP586">
        <v>582</v>
      </c>
      <c r="AQ586">
        <f t="shared" si="4167"/>
        <v>65</v>
      </c>
      <c r="AR586">
        <v>11</v>
      </c>
      <c r="AS586" s="17">
        <f t="shared" si="3782"/>
        <v>390</v>
      </c>
      <c r="AT586">
        <v>10</v>
      </c>
      <c r="AU586">
        <f t="shared" si="4168"/>
        <v>32</v>
      </c>
      <c r="AV586">
        <v>150</v>
      </c>
      <c r="AW586">
        <f t="shared" si="4169"/>
        <v>93929.47199999998</v>
      </c>
      <c r="AX586">
        <f t="shared" si="3832"/>
        <v>524160000</v>
      </c>
      <c r="AY586">
        <f t="shared" si="4170"/>
        <v>8736</v>
      </c>
      <c r="AZ586">
        <f t="shared" si="4171"/>
        <v>17472</v>
      </c>
      <c r="BA586">
        <f t="shared" si="4172"/>
        <v>107519.99999999999</v>
      </c>
      <c r="BB586">
        <f t="shared" si="4173"/>
        <v>4368</v>
      </c>
      <c r="BC586">
        <f t="shared" si="3833"/>
        <v>524160000</v>
      </c>
      <c r="BD586">
        <f t="shared" si="4174"/>
        <v>0.29411764705882354</v>
      </c>
      <c r="BE586" s="27">
        <f t="shared" si="3834"/>
        <v>817362524.16000009</v>
      </c>
      <c r="BF586" s="30">
        <f t="shared" si="4175"/>
        <v>0.45599999999999996</v>
      </c>
      <c r="BG586" s="27"/>
      <c r="BH586" s="27"/>
      <c r="BI586" s="27"/>
      <c r="CA586" s="20">
        <f t="shared" si="4176"/>
        <v>420</v>
      </c>
      <c r="CB586" s="20">
        <f t="shared" si="4177"/>
        <v>42000</v>
      </c>
    </row>
    <row r="587" spans="1:80" x14ac:dyDescent="0.15">
      <c r="A587">
        <v>6508</v>
      </c>
      <c r="B587" s="3" t="s">
        <v>128</v>
      </c>
      <c r="C587" s="4" t="s">
        <v>109</v>
      </c>
      <c r="D587" s="4" t="s">
        <v>110</v>
      </c>
      <c r="E587" s="5">
        <v>5</v>
      </c>
      <c r="F587" s="7" t="s">
        <v>129</v>
      </c>
      <c r="G587" s="5">
        <v>2</v>
      </c>
      <c r="H587" s="7" t="s">
        <v>130</v>
      </c>
      <c r="I587" s="5">
        <v>0</v>
      </c>
      <c r="J587" s="5">
        <v>0</v>
      </c>
      <c r="K587">
        <v>2</v>
      </c>
      <c r="L587">
        <v>1.5</v>
      </c>
      <c r="M587" s="5">
        <v>1.5</v>
      </c>
      <c r="N587" s="5">
        <v>10</v>
      </c>
      <c r="O587" s="5">
        <f t="shared" si="4157"/>
        <v>95103</v>
      </c>
      <c r="P587" s="5">
        <f t="shared" si="4158"/>
        <v>530712000</v>
      </c>
      <c r="Q587" s="5">
        <f t="shared" si="4159"/>
        <v>8845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70081</v>
      </c>
      <c r="X587" s="6" t="s">
        <v>186</v>
      </c>
      <c r="Y587" s="5">
        <v>300</v>
      </c>
      <c r="Z587" s="5">
        <v>1</v>
      </c>
      <c r="AA587" s="5">
        <v>188924400</v>
      </c>
      <c r="AB587" s="16" t="s">
        <v>111</v>
      </c>
      <c r="AC587" s="7" t="s">
        <v>112</v>
      </c>
      <c r="AD587" s="7" t="s">
        <v>112</v>
      </c>
      <c r="AE587" s="7" t="s">
        <v>112</v>
      </c>
      <c r="AF587" s="6" t="s">
        <v>113</v>
      </c>
      <c r="AG587" s="26" t="str">
        <f t="shared" ref="AG587" si="4213">CM$11</f>
        <v>4,28,6,28,6,4,28,6,28,6</v>
      </c>
      <c r="AH587" s="26" t="str">
        <f t="shared" ref="AH587" si="4214">CN$11</f>
        <v>0,0,1,0,1,0,0,1,0,1</v>
      </c>
      <c r="AI587" s="26" t="str">
        <f t="shared" ref="AI587" si="4215">CO$11</f>
        <v>0,0,1,0,1,0,0,1,0,1</v>
      </c>
      <c r="AJ587" s="26" t="str">
        <f t="shared" ref="AJ587" si="4216">CP$11</f>
        <v>0,0,5,0,5,0,0,5,0,5</v>
      </c>
      <c r="AK587" s="26" t="str">
        <f t="shared" ref="AK587" si="4217">CQ$11</f>
        <v>100,1000,5,1500,5,200,1000,5,1500,5</v>
      </c>
      <c r="AL587" s="26" t="str">
        <f t="shared" ref="AL587" si="4218">CR$11</f>
        <v>5,5,5,5,5,5,5,5,5,5</v>
      </c>
      <c r="AM587" s="7">
        <v>2001</v>
      </c>
      <c r="AO587">
        <f t="shared" ref="AO587" si="4219">AQ587*100+8</f>
        <v>6508</v>
      </c>
      <c r="AP587">
        <v>583</v>
      </c>
      <c r="AQ587">
        <f t="shared" si="4167"/>
        <v>65</v>
      </c>
      <c r="AR587">
        <v>11</v>
      </c>
      <c r="AS587" s="17">
        <f t="shared" si="3782"/>
        <v>395</v>
      </c>
      <c r="AT587">
        <v>10</v>
      </c>
      <c r="AU587">
        <f t="shared" si="4168"/>
        <v>32</v>
      </c>
      <c r="AV587">
        <v>150</v>
      </c>
      <c r="AW587">
        <f t="shared" si="4169"/>
        <v>95103.590399999972</v>
      </c>
      <c r="AX587">
        <f t="shared" si="3832"/>
        <v>530711999.99999988</v>
      </c>
      <c r="AY587">
        <f t="shared" si="4170"/>
        <v>8845.1999999999989</v>
      </c>
      <c r="AZ587">
        <f t="shared" si="4171"/>
        <v>17690.399999999998</v>
      </c>
      <c r="BA587">
        <f t="shared" si="4172"/>
        <v>108863.99999999999</v>
      </c>
      <c r="BB587">
        <f t="shared" si="4173"/>
        <v>4422.5999999999995</v>
      </c>
      <c r="BC587">
        <f t="shared" si="3833"/>
        <v>530711999.99999988</v>
      </c>
      <c r="BD587">
        <f t="shared" si="4174"/>
        <v>0.29411764705882348</v>
      </c>
      <c r="BE587" s="27">
        <f t="shared" si="3834"/>
        <v>837924300.15839982</v>
      </c>
      <c r="BF587" s="30">
        <f t="shared" si="4175"/>
        <v>0.45599999999999996</v>
      </c>
      <c r="BG587" s="27"/>
      <c r="BH587" s="27"/>
      <c r="BI587" s="27"/>
      <c r="CA587" s="20">
        <f t="shared" si="4176"/>
        <v>420</v>
      </c>
      <c r="CB587" s="20">
        <f t="shared" si="4177"/>
        <v>42000</v>
      </c>
    </row>
    <row r="588" spans="1:80" x14ac:dyDescent="0.15">
      <c r="A588">
        <v>6509</v>
      </c>
      <c r="B588" s="3" t="s">
        <v>132</v>
      </c>
      <c r="C588" s="4" t="s">
        <v>109</v>
      </c>
      <c r="D588" s="4" t="s">
        <v>110</v>
      </c>
      <c r="E588" s="5">
        <v>5</v>
      </c>
      <c r="F588" s="7" t="s">
        <v>140</v>
      </c>
      <c r="G588" s="5">
        <v>3</v>
      </c>
      <c r="H588" s="7" t="s">
        <v>140</v>
      </c>
      <c r="I588" s="5">
        <v>0</v>
      </c>
      <c r="J588" s="7">
        <v>0</v>
      </c>
      <c r="K588">
        <v>6</v>
      </c>
      <c r="L588">
        <v>1.5</v>
      </c>
      <c r="M588" s="5">
        <v>1.5</v>
      </c>
      <c r="N588" s="5">
        <v>10</v>
      </c>
      <c r="O588" s="5">
        <f t="shared" si="4157"/>
        <v>96277</v>
      </c>
      <c r="P588" s="5">
        <f t="shared" si="4158"/>
        <v>537264000</v>
      </c>
      <c r="Q588" s="5">
        <f t="shared" si="4159"/>
        <v>8954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70091</v>
      </c>
      <c r="X588" s="6" t="s">
        <v>187</v>
      </c>
      <c r="Y588" s="5">
        <v>300</v>
      </c>
      <c r="Z588" s="5">
        <v>1</v>
      </c>
      <c r="AA588" s="5">
        <v>193995971</v>
      </c>
      <c r="AB588" s="16" t="s">
        <v>111</v>
      </c>
      <c r="AC588" s="7" t="s">
        <v>112</v>
      </c>
      <c r="AD588" s="7" t="s">
        <v>112</v>
      </c>
      <c r="AE588" s="7" t="s">
        <v>112</v>
      </c>
      <c r="AF588" s="6" t="s">
        <v>113</v>
      </c>
      <c r="AG588" s="26" t="str">
        <f t="shared" ref="AG588" si="4220">CM$12</f>
        <v>4,33,28,33,6,4,33,28,33,6</v>
      </c>
      <c r="AH588" s="26" t="str">
        <f t="shared" ref="AH588" si="4221">CN$12</f>
        <v>0,5,0,5,1,0,5,0,5,1</v>
      </c>
      <c r="AI588" s="26" t="str">
        <f t="shared" ref="AI588" si="4222">CO$12</f>
        <v>0,0,0,0,1,0,0,0,0,1</v>
      </c>
      <c r="AJ588" s="26" t="str">
        <f t="shared" ref="AJ588" si="4223">CP$12</f>
        <v>0,0,0,0,5,0,0,0,0,5</v>
      </c>
      <c r="AK588" s="26" t="str">
        <f t="shared" ref="AK588" si="4224">CQ$12</f>
        <v>100,1,1000,2,5,200,1,1000,2,5</v>
      </c>
      <c r="AL588" s="26" t="str">
        <f t="shared" ref="AL588" si="4225">CR$12</f>
        <v>5,5,5,5,5,5,5,5,5,5</v>
      </c>
      <c r="AM588" s="7">
        <v>2001</v>
      </c>
      <c r="AO588">
        <f t="shared" ref="AO588" si="4226">AQ588*100+9</f>
        <v>6509</v>
      </c>
      <c r="AP588">
        <v>584</v>
      </c>
      <c r="AQ588">
        <f t="shared" si="4167"/>
        <v>65</v>
      </c>
      <c r="AR588">
        <v>11</v>
      </c>
      <c r="AS588" s="17">
        <f t="shared" si="3782"/>
        <v>400</v>
      </c>
      <c r="AT588">
        <v>10</v>
      </c>
      <c r="AU588">
        <f t="shared" si="4168"/>
        <v>32</v>
      </c>
      <c r="AV588">
        <v>150</v>
      </c>
      <c r="AW588">
        <f t="shared" si="4169"/>
        <v>96277.708799999979</v>
      </c>
      <c r="AX588">
        <f t="shared" si="3832"/>
        <v>537264000</v>
      </c>
      <c r="AY588">
        <f t="shared" si="4170"/>
        <v>8954.4</v>
      </c>
      <c r="AZ588">
        <f t="shared" si="4171"/>
        <v>17908.8</v>
      </c>
      <c r="BA588">
        <f t="shared" si="4172"/>
        <v>110207.99999999999</v>
      </c>
      <c r="BB588">
        <f t="shared" si="4173"/>
        <v>4477.2</v>
      </c>
      <c r="BC588">
        <f t="shared" si="3833"/>
        <v>537264000</v>
      </c>
      <c r="BD588">
        <f t="shared" si="4174"/>
        <v>0.29411764705882354</v>
      </c>
      <c r="BE588" s="27">
        <f t="shared" si="3834"/>
        <v>858741501.94560003</v>
      </c>
      <c r="BF588" s="30">
        <f t="shared" si="4175"/>
        <v>0.45599999999999996</v>
      </c>
      <c r="BG588" s="27"/>
      <c r="BH588" s="27"/>
      <c r="BI588" s="27"/>
      <c r="CA588" s="20">
        <f t="shared" si="4176"/>
        <v>420</v>
      </c>
      <c r="CB588" s="20">
        <f t="shared" si="4177"/>
        <v>42000</v>
      </c>
    </row>
    <row r="589" spans="1:80" x14ac:dyDescent="0.15">
      <c r="A589">
        <v>6601</v>
      </c>
      <c r="B589" s="3" t="s">
        <v>108</v>
      </c>
      <c r="C589" s="4" t="s">
        <v>109</v>
      </c>
      <c r="D589" s="4" t="s">
        <v>110</v>
      </c>
      <c r="E589" s="5">
        <v>3</v>
      </c>
      <c r="F589" s="7" t="s">
        <v>141</v>
      </c>
      <c r="G589" s="5">
        <v>2.5</v>
      </c>
      <c r="H589" s="7" t="s">
        <v>194</v>
      </c>
      <c r="I589" s="5">
        <v>0</v>
      </c>
      <c r="J589" s="5">
        <v>0</v>
      </c>
      <c r="K589">
        <v>2</v>
      </c>
      <c r="L589">
        <v>1.5</v>
      </c>
      <c r="M589" s="5">
        <v>1.5</v>
      </c>
      <c r="N589" s="5">
        <v>10</v>
      </c>
      <c r="O589" s="5">
        <f t="shared" si="4157"/>
        <v>88204</v>
      </c>
      <c r="P589" s="5">
        <f t="shared" si="4158"/>
        <v>491400000</v>
      </c>
      <c r="Q589" s="5">
        <f t="shared" si="4159"/>
        <v>8190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70011</v>
      </c>
      <c r="X589" s="6" t="s">
        <v>179</v>
      </c>
      <c r="Y589" s="5">
        <v>300</v>
      </c>
      <c r="Z589" s="5">
        <v>1</v>
      </c>
      <c r="AA589" s="5">
        <v>199134714</v>
      </c>
      <c r="AB589" s="16" t="s">
        <v>111</v>
      </c>
      <c r="AC589" s="7" t="s">
        <v>112</v>
      </c>
      <c r="AD589" s="7" t="s">
        <v>112</v>
      </c>
      <c r="AE589" s="7" t="s">
        <v>112</v>
      </c>
      <c r="AF589" s="6" t="s">
        <v>113</v>
      </c>
      <c r="AG589" s="26" t="str">
        <f t="shared" ref="AG589" si="4227">CM$4</f>
        <v>4,33,28,33,6,4,33,28,33,6</v>
      </c>
      <c r="AH589" s="26" t="str">
        <f t="shared" ref="AH589" si="4228">CN$4</f>
        <v>0,8,0,8,1,0,8,0,8,1</v>
      </c>
      <c r="AI589" s="26" t="str">
        <f t="shared" ref="AI589" si="4229">CO$4</f>
        <v>0,0,0,0,1,0,0,0,0,1</v>
      </c>
      <c r="AJ589" s="26" t="str">
        <f t="shared" ref="AJ589" si="4230">CP$4</f>
        <v>0,0,0,0,5,0,0,0,0,5</v>
      </c>
      <c r="AK589" s="26" t="str">
        <f t="shared" ref="AK589" si="4231">CQ$4</f>
        <v>100,1,1000,2,5,200,1,1000,2,5</v>
      </c>
      <c r="AL589" s="26" t="str">
        <f t="shared" ref="AL589" si="4232">CR$4</f>
        <v>5,5,5,5,5,5,5,5,5,5</v>
      </c>
      <c r="AM589" s="7">
        <v>2001</v>
      </c>
      <c r="AO589">
        <f t="shared" ref="AO589" si="4233">AQ589*100+1</f>
        <v>6601</v>
      </c>
      <c r="AP589">
        <v>585</v>
      </c>
      <c r="AQ589">
        <f t="shared" si="4167"/>
        <v>66</v>
      </c>
      <c r="AR589">
        <v>11</v>
      </c>
      <c r="AS589" s="17">
        <f t="shared" si="3782"/>
        <v>365</v>
      </c>
      <c r="AT589">
        <v>10</v>
      </c>
      <c r="AU589">
        <f t="shared" si="4168"/>
        <v>32</v>
      </c>
      <c r="AV589">
        <v>150</v>
      </c>
      <c r="AW589">
        <f t="shared" si="4169"/>
        <v>88204.031999999977</v>
      </c>
      <c r="AX589">
        <f t="shared" si="3832"/>
        <v>491400000</v>
      </c>
      <c r="AY589">
        <f t="shared" si="4170"/>
        <v>8190</v>
      </c>
      <c r="AZ589">
        <f t="shared" si="4171"/>
        <v>16380</v>
      </c>
      <c r="BA589">
        <f t="shared" si="4172"/>
        <v>100799.99999999999</v>
      </c>
      <c r="BB589">
        <f t="shared" si="4173"/>
        <v>4095</v>
      </c>
      <c r="BC589">
        <f t="shared" si="3833"/>
        <v>491400000</v>
      </c>
      <c r="BD589">
        <f t="shared" si="4174"/>
        <v>0.29411764705882354</v>
      </c>
      <c r="BE589" s="27">
        <f t="shared" si="3834"/>
        <v>718385031</v>
      </c>
      <c r="BF589" s="30">
        <f t="shared" si="4175"/>
        <v>0.45839999999999997</v>
      </c>
      <c r="BG589" s="27"/>
      <c r="BH589" s="27"/>
      <c r="BI589" s="27"/>
      <c r="CA589" s="20">
        <f t="shared" si="4176"/>
        <v>425</v>
      </c>
      <c r="CB589" s="20">
        <f t="shared" si="4177"/>
        <v>42500</v>
      </c>
    </row>
    <row r="590" spans="1:80" x14ac:dyDescent="0.15">
      <c r="A590">
        <v>6602</v>
      </c>
      <c r="B590" s="3" t="s">
        <v>115</v>
      </c>
      <c r="C590" s="4" t="s">
        <v>109</v>
      </c>
      <c r="D590" s="6" t="s">
        <v>110</v>
      </c>
      <c r="E590" s="5">
        <v>3</v>
      </c>
      <c r="F590" s="7" t="s">
        <v>142</v>
      </c>
      <c r="G590" s="5">
        <v>3</v>
      </c>
      <c r="H590" s="7" t="s">
        <v>188</v>
      </c>
      <c r="I590" s="5">
        <v>0</v>
      </c>
      <c r="J590" s="5">
        <v>0</v>
      </c>
      <c r="K590">
        <v>2</v>
      </c>
      <c r="L590">
        <v>1.5</v>
      </c>
      <c r="M590" s="5">
        <v>1.5</v>
      </c>
      <c r="N590" s="5">
        <v>10</v>
      </c>
      <c r="O590" s="5">
        <f t="shared" si="4157"/>
        <v>89380</v>
      </c>
      <c r="P590" s="5">
        <f t="shared" si="4158"/>
        <v>497952000</v>
      </c>
      <c r="Q590" s="5">
        <f t="shared" si="4159"/>
        <v>8299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70021</v>
      </c>
      <c r="X590" s="6" t="s">
        <v>180</v>
      </c>
      <c r="Y590" s="5">
        <v>300</v>
      </c>
      <c r="Z590" s="5">
        <v>1</v>
      </c>
      <c r="AA590" s="5">
        <v>164574144</v>
      </c>
      <c r="AB590" s="16" t="s">
        <v>111</v>
      </c>
      <c r="AC590" s="7" t="s">
        <v>112</v>
      </c>
      <c r="AD590" s="7" t="s">
        <v>112</v>
      </c>
      <c r="AE590" s="7" t="s">
        <v>112</v>
      </c>
      <c r="AF590" s="6" t="s">
        <v>113</v>
      </c>
      <c r="AG590" s="26" t="str">
        <f t="shared" ref="AG590" si="4234">CM$5</f>
        <v>4,33,28,33,6,4,33,28,33,6</v>
      </c>
      <c r="AH590" s="26" t="str">
        <f t="shared" ref="AH590" si="4235">CN$5</f>
        <v>0,7,0,7,1,0,7,0,7,1</v>
      </c>
      <c r="AI590" s="26" t="str">
        <f t="shared" ref="AI590" si="4236">CO$5</f>
        <v>0,0,0,0,1,0,0,0,0,1</v>
      </c>
      <c r="AJ590" s="26" t="str">
        <f t="shared" ref="AJ590" si="4237">CP$5</f>
        <v>0,0,0,0,5,0,0,0,0,5</v>
      </c>
      <c r="AK590" s="26" t="str">
        <f t="shared" ref="AK590" si="4238">CQ$5</f>
        <v>100,1,1000,2,5,200,1,1000,2,5</v>
      </c>
      <c r="AL590" s="26" t="str">
        <f t="shared" ref="AL590" si="4239">CR$5</f>
        <v>5,5,5,5,5,5,5,5,5,5</v>
      </c>
      <c r="AM590" s="7">
        <v>2001</v>
      </c>
      <c r="AO590">
        <f t="shared" ref="AO590" si="4240">AQ590*100+2</f>
        <v>6602</v>
      </c>
      <c r="AP590">
        <v>586</v>
      </c>
      <c r="AQ590">
        <f t="shared" si="4167"/>
        <v>66</v>
      </c>
      <c r="AR590">
        <v>11</v>
      </c>
      <c r="AS590" s="17">
        <f t="shared" si="3782"/>
        <v>370</v>
      </c>
      <c r="AT590">
        <v>10</v>
      </c>
      <c r="AU590">
        <f t="shared" si="4168"/>
        <v>32</v>
      </c>
      <c r="AV590">
        <v>150</v>
      </c>
      <c r="AW590">
        <f t="shared" si="4169"/>
        <v>89380.085759999973</v>
      </c>
      <c r="AX590">
        <f t="shared" si="3832"/>
        <v>497952000</v>
      </c>
      <c r="AY590">
        <f t="shared" si="4170"/>
        <v>8299.1999999999989</v>
      </c>
      <c r="AZ590">
        <f t="shared" si="4171"/>
        <v>16598.399999999998</v>
      </c>
      <c r="BA590">
        <f t="shared" si="4172"/>
        <v>102143.99999999999</v>
      </c>
      <c r="BB590">
        <f t="shared" si="4173"/>
        <v>4149.5999999999995</v>
      </c>
      <c r="BC590">
        <f t="shared" si="3833"/>
        <v>497952000</v>
      </c>
      <c r="BD590">
        <f t="shared" si="4174"/>
        <v>0.29411764705882348</v>
      </c>
      <c r="BE590" s="27">
        <f t="shared" si="3834"/>
        <v>737669678.05439997</v>
      </c>
      <c r="BF590" s="30">
        <f t="shared" si="4175"/>
        <v>0.45839999999999997</v>
      </c>
      <c r="BG590" s="27"/>
      <c r="BH590" s="27"/>
      <c r="BI590" s="27"/>
      <c r="CA590" s="20">
        <f t="shared" si="4176"/>
        <v>425</v>
      </c>
      <c r="CB590" s="20">
        <f t="shared" si="4177"/>
        <v>42500</v>
      </c>
    </row>
    <row r="591" spans="1:80" x14ac:dyDescent="0.15">
      <c r="A591">
        <v>6603</v>
      </c>
      <c r="B591" s="3" t="s">
        <v>117</v>
      </c>
      <c r="C591" s="4" t="s">
        <v>109</v>
      </c>
      <c r="D591" s="4" t="s">
        <v>110</v>
      </c>
      <c r="E591" s="5">
        <v>1</v>
      </c>
      <c r="F591" s="7" t="s">
        <v>144</v>
      </c>
      <c r="G591" s="5">
        <v>3</v>
      </c>
      <c r="H591" s="7" t="s">
        <v>189</v>
      </c>
      <c r="I591" s="5">
        <v>0</v>
      </c>
      <c r="J591" s="2">
        <v>0</v>
      </c>
      <c r="K591">
        <v>6</v>
      </c>
      <c r="L591">
        <v>1.5</v>
      </c>
      <c r="M591" s="5">
        <v>1.5</v>
      </c>
      <c r="N591" s="5">
        <v>10</v>
      </c>
      <c r="O591" s="5">
        <f t="shared" si="4157"/>
        <v>90556</v>
      </c>
      <c r="P591" s="5">
        <f t="shared" si="4158"/>
        <v>504504000</v>
      </c>
      <c r="Q591" s="5">
        <f t="shared" si="4159"/>
        <v>8408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70031</v>
      </c>
      <c r="X591" s="6" t="s">
        <v>181</v>
      </c>
      <c r="Y591" s="5">
        <v>300</v>
      </c>
      <c r="Z591" s="5">
        <v>1</v>
      </c>
      <c r="AA591" s="5">
        <v>169309849</v>
      </c>
      <c r="AB591" s="16" t="s">
        <v>111</v>
      </c>
      <c r="AC591" s="7" t="s">
        <v>112</v>
      </c>
      <c r="AD591" s="7" t="s">
        <v>112</v>
      </c>
      <c r="AE591" s="7" t="s">
        <v>112</v>
      </c>
      <c r="AF591" s="6" t="s">
        <v>113</v>
      </c>
      <c r="AG591" s="26" t="str">
        <f t="shared" ref="AG591" si="4241">CM$6</f>
        <v>4,28,6,28,6,4,28,6,28,6</v>
      </c>
      <c r="AH591" s="26" t="str">
        <f t="shared" ref="AH591" si="4242">CN$6</f>
        <v>0,0,1,0,1,0,0,1,0,1</v>
      </c>
      <c r="AI591" s="26" t="str">
        <f t="shared" ref="AI591" si="4243">CO$6</f>
        <v>0,0,0,0,1,0,0,0,0,1</v>
      </c>
      <c r="AJ591" s="26" t="str">
        <f t="shared" ref="AJ591" si="4244">CP$6</f>
        <v>0,0,5,0,5,0,0,5,0,5</v>
      </c>
      <c r="AK591" s="26" t="str">
        <f t="shared" ref="AK591" si="4245">CQ$6</f>
        <v>100,1000,5,1500,5,200,1000,5,1500,5</v>
      </c>
      <c r="AL591" s="26" t="str">
        <f t="shared" ref="AL591" si="4246">CR$6</f>
        <v>5,5,5,5,5,5,5,5,5,5</v>
      </c>
      <c r="AM591" s="7">
        <v>2001</v>
      </c>
      <c r="AO591">
        <f t="shared" ref="AO591" si="4247">AQ591*100+3</f>
        <v>6603</v>
      </c>
      <c r="AP591">
        <v>587</v>
      </c>
      <c r="AQ591">
        <f t="shared" si="4167"/>
        <v>66</v>
      </c>
      <c r="AR591">
        <v>11</v>
      </c>
      <c r="AS591" s="17">
        <f t="shared" ref="AS591:AS654" si="4248">AS582+5</f>
        <v>375</v>
      </c>
      <c r="AT591">
        <v>10</v>
      </c>
      <c r="AU591">
        <f t="shared" si="4168"/>
        <v>32</v>
      </c>
      <c r="AV591">
        <v>150</v>
      </c>
      <c r="AW591">
        <f t="shared" si="4169"/>
        <v>90556.139519999982</v>
      </c>
      <c r="AX591">
        <f t="shared" si="3832"/>
        <v>504504000</v>
      </c>
      <c r="AY591">
        <f t="shared" si="4170"/>
        <v>8408.4</v>
      </c>
      <c r="AZ591">
        <f t="shared" si="4171"/>
        <v>16816.8</v>
      </c>
      <c r="BA591">
        <f t="shared" si="4172"/>
        <v>103487.99999999999</v>
      </c>
      <c r="BB591">
        <f t="shared" si="4173"/>
        <v>4204.2</v>
      </c>
      <c r="BC591">
        <f t="shared" si="3833"/>
        <v>504504000</v>
      </c>
      <c r="BD591">
        <f t="shared" si="4174"/>
        <v>0.29411764705882354</v>
      </c>
      <c r="BE591" s="27">
        <f t="shared" si="3834"/>
        <v>757209750.89760005</v>
      </c>
      <c r="BF591" s="30">
        <f t="shared" si="4175"/>
        <v>0.45839999999999997</v>
      </c>
      <c r="BG591" s="27"/>
      <c r="BH591" s="27"/>
      <c r="BI591" s="27"/>
      <c r="CA591" s="20">
        <f t="shared" si="4176"/>
        <v>425</v>
      </c>
      <c r="CB591" s="20">
        <f t="shared" si="4177"/>
        <v>42500</v>
      </c>
    </row>
    <row r="592" spans="1:80" x14ac:dyDescent="0.15">
      <c r="A592">
        <v>6604</v>
      </c>
      <c r="B592" s="3" t="s">
        <v>119</v>
      </c>
      <c r="C592" s="4" t="s">
        <v>109</v>
      </c>
      <c r="D592" s="6" t="s">
        <v>120</v>
      </c>
      <c r="E592" s="5">
        <v>3</v>
      </c>
      <c r="F592" s="7" t="s">
        <v>145</v>
      </c>
      <c r="G592" s="5">
        <v>3</v>
      </c>
      <c r="H592" s="7" t="s">
        <v>190</v>
      </c>
      <c r="I592" s="5">
        <v>0</v>
      </c>
      <c r="J592" s="5">
        <v>0</v>
      </c>
      <c r="K592">
        <v>2</v>
      </c>
      <c r="L592">
        <v>1.5</v>
      </c>
      <c r="M592" s="5">
        <v>1.5</v>
      </c>
      <c r="N592" s="5">
        <v>10</v>
      </c>
      <c r="O592" s="5">
        <f t="shared" si="4157"/>
        <v>91732</v>
      </c>
      <c r="P592" s="5">
        <f t="shared" si="4158"/>
        <v>511056000</v>
      </c>
      <c r="Q592" s="5">
        <f t="shared" si="4159"/>
        <v>8517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70041</v>
      </c>
      <c r="X592" s="6" t="s">
        <v>182</v>
      </c>
      <c r="Y592" s="5">
        <v>300</v>
      </c>
      <c r="Z592" s="5">
        <v>1</v>
      </c>
      <c r="AA592" s="5">
        <v>174112727</v>
      </c>
      <c r="AB592" s="16" t="s">
        <v>111</v>
      </c>
      <c r="AC592" s="7" t="s">
        <v>112</v>
      </c>
      <c r="AD592" s="7" t="s">
        <v>112</v>
      </c>
      <c r="AE592" s="7" t="s">
        <v>112</v>
      </c>
      <c r="AF592" s="6" t="s">
        <v>113</v>
      </c>
      <c r="AG592" s="26" t="str">
        <f t="shared" ref="AG592" si="4249">CM$7</f>
        <v>4,14,28,14,6,4,14,28,14,6</v>
      </c>
      <c r="AH592" s="26" t="str">
        <f t="shared" ref="AH592" si="4250">CN$7</f>
        <v>0,0,0,0,1,0,0,0,0,1</v>
      </c>
      <c r="AI592" s="26" t="str">
        <f t="shared" ref="AI592" si="4251">CO$7</f>
        <v>0,0,0,0,1,0,0,0,0,1</v>
      </c>
      <c r="AJ592" s="26" t="str">
        <f t="shared" ref="AJ592" si="4252">CP$7</f>
        <v>0,0,0,0,5,0,0,0,0,5</v>
      </c>
      <c r="AK592" s="26" t="str">
        <f t="shared" ref="AK592" si="4253">CQ$7</f>
        <v>100,1,1000,2,5,200,1,1000,2,5</v>
      </c>
      <c r="AL592" s="26" t="str">
        <f t="shared" ref="AL592" si="4254">CR$7</f>
        <v>5,5,5,5,5,5,5,5,5,5</v>
      </c>
      <c r="AM592" s="7">
        <v>2001</v>
      </c>
      <c r="AO592">
        <f t="shared" ref="AO592" si="4255">AQ592*100+4</f>
        <v>6604</v>
      </c>
      <c r="AP592">
        <v>588</v>
      </c>
      <c r="AQ592">
        <f t="shared" si="4167"/>
        <v>66</v>
      </c>
      <c r="AR592">
        <v>11</v>
      </c>
      <c r="AS592" s="17">
        <f t="shared" si="4248"/>
        <v>380</v>
      </c>
      <c r="AT592">
        <v>10</v>
      </c>
      <c r="AU592">
        <f t="shared" si="4168"/>
        <v>32</v>
      </c>
      <c r="AV592">
        <v>150</v>
      </c>
      <c r="AW592">
        <f t="shared" si="4169"/>
        <v>91732.193279999978</v>
      </c>
      <c r="AX592">
        <f t="shared" si="3832"/>
        <v>511056000</v>
      </c>
      <c r="AY592">
        <f t="shared" si="4170"/>
        <v>8517.6</v>
      </c>
      <c r="AZ592">
        <f t="shared" si="4171"/>
        <v>17035.2</v>
      </c>
      <c r="BA592">
        <f t="shared" si="4172"/>
        <v>104831.99999999999</v>
      </c>
      <c r="BB592">
        <f t="shared" si="4173"/>
        <v>4258.8</v>
      </c>
      <c r="BC592">
        <f t="shared" si="3833"/>
        <v>511056000</v>
      </c>
      <c r="BD592">
        <f t="shared" si="4174"/>
        <v>0.29411764705882348</v>
      </c>
      <c r="BE592" s="27">
        <f t="shared" si="3834"/>
        <v>777005249.52959991</v>
      </c>
      <c r="BF592" s="30">
        <f t="shared" si="4175"/>
        <v>0.45839999999999997</v>
      </c>
      <c r="BG592" s="27"/>
      <c r="BH592" s="27"/>
      <c r="BI592" s="27"/>
      <c r="CA592" s="20">
        <f t="shared" si="4176"/>
        <v>425</v>
      </c>
      <c r="CB592" s="20">
        <f t="shared" si="4177"/>
        <v>42500</v>
      </c>
    </row>
    <row r="593" spans="1:80" x14ac:dyDescent="0.15">
      <c r="A593">
        <v>6605</v>
      </c>
      <c r="B593" s="3" t="s">
        <v>122</v>
      </c>
      <c r="C593" s="4" t="s">
        <v>109</v>
      </c>
      <c r="D593" s="4" t="s">
        <v>110</v>
      </c>
      <c r="E593" s="5">
        <v>2</v>
      </c>
      <c r="F593" s="7" t="s">
        <v>146</v>
      </c>
      <c r="G593" s="5">
        <v>3</v>
      </c>
      <c r="H593" s="7" t="s">
        <v>191</v>
      </c>
      <c r="I593" s="5">
        <v>0</v>
      </c>
      <c r="J593" s="7" t="s">
        <v>148</v>
      </c>
      <c r="K593">
        <v>6</v>
      </c>
      <c r="L593">
        <v>1.5</v>
      </c>
      <c r="M593" s="5">
        <v>1.5</v>
      </c>
      <c r="N593" s="5">
        <v>10</v>
      </c>
      <c r="O593" s="5">
        <f t="shared" si="4157"/>
        <v>92908</v>
      </c>
      <c r="P593" s="5">
        <f t="shared" si="4158"/>
        <v>517608000</v>
      </c>
      <c r="Q593" s="5">
        <f t="shared" si="4159"/>
        <v>8626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70051</v>
      </c>
      <c r="X593" s="6" t="s">
        <v>183</v>
      </c>
      <c r="Y593" s="5">
        <v>300</v>
      </c>
      <c r="Z593" s="5">
        <v>1</v>
      </c>
      <c r="AA593" s="5">
        <v>178982778</v>
      </c>
      <c r="AB593" s="16" t="s">
        <v>111</v>
      </c>
      <c r="AC593" s="7" t="s">
        <v>112</v>
      </c>
      <c r="AD593" s="7" t="s">
        <v>112</v>
      </c>
      <c r="AE593" s="7" t="s">
        <v>112</v>
      </c>
      <c r="AF593" s="6" t="s">
        <v>113</v>
      </c>
      <c r="AG593" s="26" t="str">
        <f t="shared" ref="AG593" si="4256">CM$8</f>
        <v>4,19,28,19,6,4,19,28,19,6</v>
      </c>
      <c r="AH593" s="26" t="str">
        <f t="shared" ref="AH593" si="4257">CN$8</f>
        <v>0,0,0,0,1,0,0,0,0,1</v>
      </c>
      <c r="AI593" s="26" t="str">
        <f t="shared" ref="AI593" si="4258">CO$8</f>
        <v>0,0,0,0,1,0,0,0,0,1</v>
      </c>
      <c r="AJ593" s="26" t="str">
        <f t="shared" ref="AJ593" si="4259">CP$8</f>
        <v>0,0,0,0,5,0,0,0,0,5</v>
      </c>
      <c r="AK593" s="26" t="str">
        <f t="shared" ref="AK593" si="4260">CQ$8</f>
        <v>200,100,1000,200,5,200,100,1000,200,5</v>
      </c>
      <c r="AL593" s="26" t="str">
        <f t="shared" ref="AL593" si="4261">CR$8</f>
        <v>5,5,5,5,5,5,5,5,5,5</v>
      </c>
      <c r="AM593" s="7">
        <v>2001</v>
      </c>
      <c r="AO593">
        <f t="shared" ref="AO593" si="4262">AQ593*100+5</f>
        <v>6605</v>
      </c>
      <c r="AP593">
        <v>589</v>
      </c>
      <c r="AQ593">
        <f t="shared" si="4167"/>
        <v>66</v>
      </c>
      <c r="AR593">
        <v>11</v>
      </c>
      <c r="AS593" s="17">
        <f t="shared" si="4248"/>
        <v>385</v>
      </c>
      <c r="AT593">
        <v>10</v>
      </c>
      <c r="AU593">
        <f t="shared" si="4168"/>
        <v>32</v>
      </c>
      <c r="AV593">
        <v>150</v>
      </c>
      <c r="AW593">
        <f t="shared" si="4169"/>
        <v>92908.247039999987</v>
      </c>
      <c r="AX593">
        <f t="shared" si="3832"/>
        <v>517608000</v>
      </c>
      <c r="AY593">
        <f t="shared" si="4170"/>
        <v>8626.7999999999993</v>
      </c>
      <c r="AZ593">
        <f t="shared" si="4171"/>
        <v>17253.599999999999</v>
      </c>
      <c r="BA593">
        <f t="shared" si="4172"/>
        <v>106175.99999999999</v>
      </c>
      <c r="BB593">
        <f t="shared" si="4173"/>
        <v>4313.3999999999996</v>
      </c>
      <c r="BC593">
        <f t="shared" si="3833"/>
        <v>517608000</v>
      </c>
      <c r="BD593">
        <f t="shared" si="4174"/>
        <v>0.29411764705882354</v>
      </c>
      <c r="BE593" s="27">
        <f t="shared" si="3834"/>
        <v>797056173.95040023</v>
      </c>
      <c r="BF593" s="30">
        <f t="shared" si="4175"/>
        <v>0.45839999999999997</v>
      </c>
      <c r="BG593" s="27"/>
      <c r="BH593" s="27"/>
      <c r="BI593" s="27"/>
      <c r="CA593" s="20">
        <f t="shared" si="4176"/>
        <v>425</v>
      </c>
      <c r="CB593" s="20">
        <f t="shared" si="4177"/>
        <v>42500</v>
      </c>
    </row>
    <row r="594" spans="1:80" x14ac:dyDescent="0.15">
      <c r="A594">
        <v>6606</v>
      </c>
      <c r="B594" s="3" t="s">
        <v>124</v>
      </c>
      <c r="C594" s="4" t="s">
        <v>109</v>
      </c>
      <c r="D594" s="6" t="s">
        <v>120</v>
      </c>
      <c r="E594" s="5">
        <v>1</v>
      </c>
      <c r="F594" s="7" t="s">
        <v>147</v>
      </c>
      <c r="G594" s="5">
        <v>3</v>
      </c>
      <c r="H594" s="7" t="s">
        <v>192</v>
      </c>
      <c r="I594" s="5">
        <v>0</v>
      </c>
      <c r="J594" s="7" t="s">
        <v>149</v>
      </c>
      <c r="K594">
        <v>6</v>
      </c>
      <c r="L594">
        <v>1.5</v>
      </c>
      <c r="M594" s="5">
        <v>1.5</v>
      </c>
      <c r="N594" s="5">
        <v>10</v>
      </c>
      <c r="O594" s="5">
        <f t="shared" si="4157"/>
        <v>94084</v>
      </c>
      <c r="P594" s="5">
        <f t="shared" si="4158"/>
        <v>524160000</v>
      </c>
      <c r="Q594" s="5">
        <f t="shared" si="4159"/>
        <v>8736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70061</v>
      </c>
      <c r="X594" s="6" t="s">
        <v>184</v>
      </c>
      <c r="Y594" s="5">
        <v>300</v>
      </c>
      <c r="Z594" s="5">
        <v>1</v>
      </c>
      <c r="AA594" s="5">
        <v>183920003</v>
      </c>
      <c r="AB594" s="16" t="s">
        <v>111</v>
      </c>
      <c r="AC594" s="7" t="s">
        <v>112</v>
      </c>
      <c r="AD594" s="7" t="s">
        <v>112</v>
      </c>
      <c r="AE594" s="7" t="s">
        <v>112</v>
      </c>
      <c r="AF594" s="6" t="s">
        <v>113</v>
      </c>
      <c r="AG594" s="26" t="str">
        <f t="shared" ref="AG594" si="4263">CM$9</f>
        <v>4,33,28,33,6,4,33,28,33,6</v>
      </c>
      <c r="AH594" s="26" t="str">
        <f t="shared" ref="AH594" si="4264">CN$9</f>
        <v>0,6,0,6,1,0,6,0,6,1</v>
      </c>
      <c r="AI594" s="26" t="str">
        <f t="shared" ref="AI594" si="4265">CO$9</f>
        <v>0,0,0,0,1,0,0,0,0,1</v>
      </c>
      <c r="AJ594" s="26" t="str">
        <f t="shared" ref="AJ594" si="4266">CP$9</f>
        <v>0,0,0,0,5,0,0,0,0,5</v>
      </c>
      <c r="AK594" s="26" t="str">
        <f t="shared" ref="AK594" si="4267">CQ$9</f>
        <v>200,1,1000,2,5,200,1,1000,2,5</v>
      </c>
      <c r="AL594" s="26" t="str">
        <f t="shared" ref="AL594" si="4268">CR$9</f>
        <v>5,5,5,5,5,5,5,5,5,5</v>
      </c>
      <c r="AM594" s="7">
        <v>2001</v>
      </c>
      <c r="AO594">
        <f t="shared" ref="AO594" si="4269">AQ594*100+6</f>
        <v>6606</v>
      </c>
      <c r="AP594">
        <v>590</v>
      </c>
      <c r="AQ594">
        <f t="shared" si="4167"/>
        <v>66</v>
      </c>
      <c r="AR594">
        <v>11</v>
      </c>
      <c r="AS594" s="17">
        <f t="shared" si="4248"/>
        <v>390</v>
      </c>
      <c r="AT594">
        <v>10</v>
      </c>
      <c r="AU594">
        <f t="shared" si="4168"/>
        <v>32</v>
      </c>
      <c r="AV594">
        <v>150</v>
      </c>
      <c r="AW594">
        <f t="shared" si="4169"/>
        <v>94084.300799999968</v>
      </c>
      <c r="AX594">
        <f t="shared" si="3832"/>
        <v>524160000</v>
      </c>
      <c r="AY594">
        <f t="shared" si="4170"/>
        <v>8736</v>
      </c>
      <c r="AZ594">
        <f t="shared" si="4171"/>
        <v>17472</v>
      </c>
      <c r="BA594">
        <f t="shared" si="4172"/>
        <v>107519.99999999999</v>
      </c>
      <c r="BB594">
        <f t="shared" si="4173"/>
        <v>4368</v>
      </c>
      <c r="BC594">
        <f t="shared" si="3833"/>
        <v>524160000</v>
      </c>
      <c r="BD594">
        <f t="shared" si="4174"/>
        <v>0.29411764705882354</v>
      </c>
      <c r="BE594" s="27">
        <f t="shared" si="3834"/>
        <v>817362524.16000009</v>
      </c>
      <c r="BF594" s="30">
        <f t="shared" si="4175"/>
        <v>0.45839999999999997</v>
      </c>
      <c r="BG594" s="27"/>
      <c r="BH594" s="27"/>
      <c r="BI594" s="27"/>
      <c r="CA594" s="20">
        <f t="shared" si="4176"/>
        <v>425</v>
      </c>
      <c r="CB594" s="20">
        <f t="shared" si="4177"/>
        <v>42500</v>
      </c>
    </row>
    <row r="595" spans="1:80" x14ac:dyDescent="0.15">
      <c r="A595">
        <v>6607</v>
      </c>
      <c r="B595" s="3" t="s">
        <v>126</v>
      </c>
      <c r="C595" s="4" t="s">
        <v>109</v>
      </c>
      <c r="D595" s="4" t="s">
        <v>110</v>
      </c>
      <c r="E595" s="5">
        <v>2</v>
      </c>
      <c r="F595" s="7" t="s">
        <v>143</v>
      </c>
      <c r="G595" s="5">
        <v>3</v>
      </c>
      <c r="H595" s="7" t="s">
        <v>193</v>
      </c>
      <c r="I595" s="5">
        <v>0</v>
      </c>
      <c r="J595" s="5">
        <v>0</v>
      </c>
      <c r="K595">
        <v>2</v>
      </c>
      <c r="L595">
        <v>1.5</v>
      </c>
      <c r="M595" s="5">
        <v>1.5</v>
      </c>
      <c r="N595" s="5">
        <v>10</v>
      </c>
      <c r="O595" s="5">
        <f t="shared" si="4157"/>
        <v>95260</v>
      </c>
      <c r="P595" s="5">
        <f t="shared" si="4158"/>
        <v>530712000</v>
      </c>
      <c r="Q595" s="5">
        <f t="shared" si="4159"/>
        <v>8845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70071</v>
      </c>
      <c r="X595" s="6" t="s">
        <v>185</v>
      </c>
      <c r="Y595" s="5">
        <v>300</v>
      </c>
      <c r="Z595" s="5">
        <v>1</v>
      </c>
      <c r="AA595" s="5">
        <v>188924400</v>
      </c>
      <c r="AB595" s="16" t="s">
        <v>111</v>
      </c>
      <c r="AC595" s="7" t="s">
        <v>112</v>
      </c>
      <c r="AD595" s="7" t="s">
        <v>112</v>
      </c>
      <c r="AE595" s="7" t="s">
        <v>112</v>
      </c>
      <c r="AF595" s="6" t="s">
        <v>113</v>
      </c>
      <c r="AG595" s="26" t="str">
        <f t="shared" ref="AG595" si="4270">CM$10</f>
        <v>4,14,28,14,6,4,14,28,14,6</v>
      </c>
      <c r="AH595" s="26" t="str">
        <f t="shared" ref="AH595" si="4271">CN$10</f>
        <v>0,0,0,0,1,0,0,0,0,1</v>
      </c>
      <c r="AI595" s="26" t="str">
        <f t="shared" ref="AI595" si="4272">CO$10</f>
        <v>0,0,0,0,1,0,0,0,0,1</v>
      </c>
      <c r="AJ595" s="26" t="str">
        <f t="shared" ref="AJ595" si="4273">CP$10</f>
        <v>0,0,0,0,5,0,0,0,0,5</v>
      </c>
      <c r="AK595" s="26" t="str">
        <f t="shared" ref="AK595" si="4274">CQ$10</f>
        <v>200,1,1000,2,5,200,1,1000,2,5</v>
      </c>
      <c r="AL595" s="26" t="str">
        <f t="shared" ref="AL595" si="4275">CR$10</f>
        <v>5,5,5,5,5,5,5,5,5,5</v>
      </c>
      <c r="AM595" s="7">
        <v>2001</v>
      </c>
      <c r="AO595">
        <f t="shared" ref="AO595" si="4276">AQ595*100+7</f>
        <v>6607</v>
      </c>
      <c r="AP595">
        <v>591</v>
      </c>
      <c r="AQ595">
        <f t="shared" si="4167"/>
        <v>66</v>
      </c>
      <c r="AR595">
        <v>11</v>
      </c>
      <c r="AS595" s="17">
        <f t="shared" si="4248"/>
        <v>395</v>
      </c>
      <c r="AT595">
        <v>10</v>
      </c>
      <c r="AU595">
        <f t="shared" si="4168"/>
        <v>32</v>
      </c>
      <c r="AV595">
        <v>150</v>
      </c>
      <c r="AW595">
        <f t="shared" si="4169"/>
        <v>95260.354559999978</v>
      </c>
      <c r="AX595">
        <f t="shared" si="3832"/>
        <v>530711999.99999988</v>
      </c>
      <c r="AY595">
        <f t="shared" si="4170"/>
        <v>8845.1999999999989</v>
      </c>
      <c r="AZ595">
        <f t="shared" si="4171"/>
        <v>17690.399999999998</v>
      </c>
      <c r="BA595">
        <f t="shared" si="4172"/>
        <v>108863.99999999999</v>
      </c>
      <c r="BB595">
        <f t="shared" si="4173"/>
        <v>4422.5999999999995</v>
      </c>
      <c r="BC595">
        <f t="shared" si="3833"/>
        <v>530711999.99999988</v>
      </c>
      <c r="BD595">
        <f t="shared" si="4174"/>
        <v>0.29411764705882348</v>
      </c>
      <c r="BE595" s="27">
        <f t="shared" si="3834"/>
        <v>837924300.15839982</v>
      </c>
      <c r="BF595" s="30">
        <f t="shared" si="4175"/>
        <v>0.45839999999999997</v>
      </c>
      <c r="BG595" s="27"/>
      <c r="BH595" s="27"/>
      <c r="BI595" s="27"/>
      <c r="CA595" s="20">
        <f t="shared" si="4176"/>
        <v>425</v>
      </c>
      <c r="CB595" s="20">
        <f t="shared" si="4177"/>
        <v>42500</v>
      </c>
    </row>
    <row r="596" spans="1:80" x14ac:dyDescent="0.15">
      <c r="A596">
        <v>6608</v>
      </c>
      <c r="B596" s="3" t="s">
        <v>128</v>
      </c>
      <c r="C596" s="4" t="s">
        <v>109</v>
      </c>
      <c r="D596" s="4" t="s">
        <v>110</v>
      </c>
      <c r="E596" s="5">
        <v>5</v>
      </c>
      <c r="F596" s="7" t="s">
        <v>129</v>
      </c>
      <c r="G596" s="5">
        <v>2</v>
      </c>
      <c r="H596" s="7" t="s">
        <v>130</v>
      </c>
      <c r="I596" s="5">
        <v>0</v>
      </c>
      <c r="J596" s="5">
        <v>0</v>
      </c>
      <c r="K596">
        <v>2</v>
      </c>
      <c r="L596">
        <v>1.5</v>
      </c>
      <c r="M596" s="5">
        <v>1.5</v>
      </c>
      <c r="N596" s="5">
        <v>10</v>
      </c>
      <c r="O596" s="5">
        <f t="shared" si="4157"/>
        <v>96436</v>
      </c>
      <c r="P596" s="5">
        <f t="shared" si="4158"/>
        <v>537264000</v>
      </c>
      <c r="Q596" s="5">
        <f t="shared" si="4159"/>
        <v>8954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70081</v>
      </c>
      <c r="X596" s="6" t="s">
        <v>186</v>
      </c>
      <c r="Y596" s="5">
        <v>300</v>
      </c>
      <c r="Z596" s="5">
        <v>1</v>
      </c>
      <c r="AA596" s="5">
        <v>193995971</v>
      </c>
      <c r="AB596" s="16" t="s">
        <v>111</v>
      </c>
      <c r="AC596" s="7" t="s">
        <v>112</v>
      </c>
      <c r="AD596" s="7" t="s">
        <v>112</v>
      </c>
      <c r="AE596" s="7" t="s">
        <v>112</v>
      </c>
      <c r="AF596" s="6" t="s">
        <v>113</v>
      </c>
      <c r="AG596" s="26" t="str">
        <f t="shared" ref="AG596" si="4277">CM$11</f>
        <v>4,28,6,28,6,4,28,6,28,6</v>
      </c>
      <c r="AH596" s="26" t="str">
        <f t="shared" ref="AH596" si="4278">CN$11</f>
        <v>0,0,1,0,1,0,0,1,0,1</v>
      </c>
      <c r="AI596" s="26" t="str">
        <f t="shared" ref="AI596" si="4279">CO$11</f>
        <v>0,0,1,0,1,0,0,1,0,1</v>
      </c>
      <c r="AJ596" s="26" t="str">
        <f t="shared" ref="AJ596" si="4280">CP$11</f>
        <v>0,0,5,0,5,0,0,5,0,5</v>
      </c>
      <c r="AK596" s="26" t="str">
        <f t="shared" ref="AK596" si="4281">CQ$11</f>
        <v>100,1000,5,1500,5,200,1000,5,1500,5</v>
      </c>
      <c r="AL596" s="26" t="str">
        <f t="shared" ref="AL596" si="4282">CR$11</f>
        <v>5,5,5,5,5,5,5,5,5,5</v>
      </c>
      <c r="AM596" s="7">
        <v>2001</v>
      </c>
      <c r="AO596">
        <f t="shared" ref="AO596" si="4283">AQ596*100+8</f>
        <v>6608</v>
      </c>
      <c r="AP596">
        <v>592</v>
      </c>
      <c r="AQ596">
        <f t="shared" si="4167"/>
        <v>66</v>
      </c>
      <c r="AR596">
        <v>11</v>
      </c>
      <c r="AS596" s="17">
        <f t="shared" si="4248"/>
        <v>400</v>
      </c>
      <c r="AT596">
        <v>10</v>
      </c>
      <c r="AU596">
        <f t="shared" si="4168"/>
        <v>32</v>
      </c>
      <c r="AV596">
        <v>150</v>
      </c>
      <c r="AW596">
        <f t="shared" si="4169"/>
        <v>96436.408319999973</v>
      </c>
      <c r="AX596">
        <f t="shared" si="3832"/>
        <v>537264000</v>
      </c>
      <c r="AY596">
        <f t="shared" si="4170"/>
        <v>8954.4</v>
      </c>
      <c r="AZ596">
        <f t="shared" si="4171"/>
        <v>17908.8</v>
      </c>
      <c r="BA596">
        <f t="shared" si="4172"/>
        <v>110207.99999999999</v>
      </c>
      <c r="BB596">
        <f t="shared" si="4173"/>
        <v>4477.2</v>
      </c>
      <c r="BC596">
        <f t="shared" si="3833"/>
        <v>537264000</v>
      </c>
      <c r="BD596">
        <f t="shared" si="4174"/>
        <v>0.29411764705882354</v>
      </c>
      <c r="BE596" s="27">
        <f t="shared" si="3834"/>
        <v>858741501.94560003</v>
      </c>
      <c r="BF596" s="30">
        <f t="shared" si="4175"/>
        <v>0.45839999999999997</v>
      </c>
      <c r="BG596" s="27"/>
      <c r="BH596" s="27"/>
      <c r="BI596" s="27"/>
      <c r="CA596" s="20">
        <f t="shared" si="4176"/>
        <v>425</v>
      </c>
      <c r="CB596" s="20">
        <f t="shared" si="4177"/>
        <v>42500</v>
      </c>
    </row>
    <row r="597" spans="1:80" x14ac:dyDescent="0.15">
      <c r="A597">
        <v>6609</v>
      </c>
      <c r="B597" s="3" t="s">
        <v>132</v>
      </c>
      <c r="C597" s="4" t="s">
        <v>109</v>
      </c>
      <c r="D597" s="4" t="s">
        <v>110</v>
      </c>
      <c r="E597" s="5">
        <v>5</v>
      </c>
      <c r="F597" s="7" t="s">
        <v>140</v>
      </c>
      <c r="G597" s="5">
        <v>3</v>
      </c>
      <c r="H597" s="7" t="s">
        <v>140</v>
      </c>
      <c r="I597" s="5">
        <v>0</v>
      </c>
      <c r="J597" s="7">
        <v>0</v>
      </c>
      <c r="K597">
        <v>6</v>
      </c>
      <c r="L597">
        <v>1.5</v>
      </c>
      <c r="M597" s="5">
        <v>1.5</v>
      </c>
      <c r="N597" s="5">
        <v>10</v>
      </c>
      <c r="O597" s="5">
        <f t="shared" si="4157"/>
        <v>97612</v>
      </c>
      <c r="P597" s="5">
        <f t="shared" si="4158"/>
        <v>543816000</v>
      </c>
      <c r="Q597" s="5">
        <f t="shared" si="4159"/>
        <v>9063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70091</v>
      </c>
      <c r="X597" s="6" t="s">
        <v>187</v>
      </c>
      <c r="Y597" s="5">
        <v>300</v>
      </c>
      <c r="Z597" s="5">
        <v>1</v>
      </c>
      <c r="AA597" s="5">
        <v>199134714</v>
      </c>
      <c r="AB597" s="16" t="s">
        <v>111</v>
      </c>
      <c r="AC597" s="7" t="s">
        <v>112</v>
      </c>
      <c r="AD597" s="7" t="s">
        <v>112</v>
      </c>
      <c r="AE597" s="7" t="s">
        <v>112</v>
      </c>
      <c r="AF597" s="6" t="s">
        <v>113</v>
      </c>
      <c r="AG597" s="26" t="str">
        <f t="shared" ref="AG597" si="4284">CM$12</f>
        <v>4,33,28,33,6,4,33,28,33,6</v>
      </c>
      <c r="AH597" s="26" t="str">
        <f t="shared" ref="AH597" si="4285">CN$12</f>
        <v>0,5,0,5,1,0,5,0,5,1</v>
      </c>
      <c r="AI597" s="26" t="str">
        <f t="shared" ref="AI597" si="4286">CO$12</f>
        <v>0,0,0,0,1,0,0,0,0,1</v>
      </c>
      <c r="AJ597" s="26" t="str">
        <f t="shared" ref="AJ597" si="4287">CP$12</f>
        <v>0,0,0,0,5,0,0,0,0,5</v>
      </c>
      <c r="AK597" s="26" t="str">
        <f t="shared" ref="AK597" si="4288">CQ$12</f>
        <v>100,1,1000,2,5,200,1,1000,2,5</v>
      </c>
      <c r="AL597" s="26" t="str">
        <f t="shared" ref="AL597" si="4289">CR$12</f>
        <v>5,5,5,5,5,5,5,5,5,5</v>
      </c>
      <c r="AM597" s="7">
        <v>2001</v>
      </c>
      <c r="AO597">
        <f t="shared" ref="AO597" si="4290">AQ597*100+9</f>
        <v>6609</v>
      </c>
      <c r="AP597">
        <v>593</v>
      </c>
      <c r="AQ597">
        <f t="shared" si="4167"/>
        <v>66</v>
      </c>
      <c r="AR597">
        <v>11</v>
      </c>
      <c r="AS597" s="17">
        <f t="shared" si="4248"/>
        <v>405</v>
      </c>
      <c r="AT597">
        <v>10</v>
      </c>
      <c r="AU597">
        <f t="shared" si="4168"/>
        <v>32</v>
      </c>
      <c r="AV597">
        <v>150</v>
      </c>
      <c r="AW597">
        <f t="shared" si="4169"/>
        <v>97612.462079999968</v>
      </c>
      <c r="AX597">
        <f t="shared" si="3832"/>
        <v>543816000</v>
      </c>
      <c r="AY597">
        <f t="shared" si="4170"/>
        <v>9063.6</v>
      </c>
      <c r="AZ597">
        <f t="shared" si="4171"/>
        <v>18127.2</v>
      </c>
      <c r="BA597">
        <f t="shared" si="4172"/>
        <v>111551.99999999999</v>
      </c>
      <c r="BB597">
        <f t="shared" si="4173"/>
        <v>4531.8</v>
      </c>
      <c r="BC597">
        <f t="shared" si="3833"/>
        <v>543816000</v>
      </c>
      <c r="BD597">
        <f t="shared" si="4174"/>
        <v>0.29411764705882348</v>
      </c>
      <c r="BE597" s="27">
        <f t="shared" si="3834"/>
        <v>879814129.52160001</v>
      </c>
      <c r="BF597" s="30">
        <f t="shared" si="4175"/>
        <v>0.45839999999999997</v>
      </c>
      <c r="BG597" s="27"/>
      <c r="BH597" s="27"/>
      <c r="BI597" s="27"/>
      <c r="CA597" s="20">
        <f t="shared" si="4176"/>
        <v>425</v>
      </c>
      <c r="CB597" s="20">
        <f t="shared" si="4177"/>
        <v>42500</v>
      </c>
    </row>
    <row r="598" spans="1:80" x14ac:dyDescent="0.15">
      <c r="A598">
        <v>6701</v>
      </c>
      <c r="B598" s="3" t="s">
        <v>108</v>
      </c>
      <c r="C598" s="4" t="s">
        <v>109</v>
      </c>
      <c r="D598" s="4" t="s">
        <v>110</v>
      </c>
      <c r="E598" s="5">
        <v>3</v>
      </c>
      <c r="F598" s="7" t="s">
        <v>141</v>
      </c>
      <c r="G598" s="5">
        <v>2.5</v>
      </c>
      <c r="H598" s="7" t="s">
        <v>194</v>
      </c>
      <c r="I598" s="5">
        <v>0</v>
      </c>
      <c r="J598" s="5">
        <v>0</v>
      </c>
      <c r="K598">
        <v>2</v>
      </c>
      <c r="L598">
        <v>1.5</v>
      </c>
      <c r="M598" s="5">
        <v>1.5</v>
      </c>
      <c r="N598" s="5">
        <v>10</v>
      </c>
      <c r="O598" s="5">
        <f t="shared" si="4157"/>
        <v>89527</v>
      </c>
      <c r="P598" s="5">
        <f t="shared" si="4158"/>
        <v>497952000</v>
      </c>
      <c r="Q598" s="5">
        <f t="shared" si="4159"/>
        <v>8299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70011</v>
      </c>
      <c r="X598" s="6" t="s">
        <v>179</v>
      </c>
      <c r="Y598" s="5">
        <v>300</v>
      </c>
      <c r="Z598" s="5">
        <v>1</v>
      </c>
      <c r="AA598" s="5">
        <v>204340631</v>
      </c>
      <c r="AB598" s="16" t="s">
        <v>111</v>
      </c>
      <c r="AC598" s="7" t="s">
        <v>112</v>
      </c>
      <c r="AD598" s="7" t="s">
        <v>112</v>
      </c>
      <c r="AE598" s="7" t="s">
        <v>112</v>
      </c>
      <c r="AF598" s="6" t="s">
        <v>113</v>
      </c>
      <c r="AG598" s="26" t="str">
        <f t="shared" ref="AG598" si="4291">CM$4</f>
        <v>4,33,28,33,6,4,33,28,33,6</v>
      </c>
      <c r="AH598" s="26" t="str">
        <f t="shared" ref="AH598" si="4292">CN$4</f>
        <v>0,8,0,8,1,0,8,0,8,1</v>
      </c>
      <c r="AI598" s="26" t="str">
        <f t="shared" ref="AI598" si="4293">CO$4</f>
        <v>0,0,0,0,1,0,0,0,0,1</v>
      </c>
      <c r="AJ598" s="26" t="str">
        <f t="shared" ref="AJ598" si="4294">CP$4</f>
        <v>0,0,0,0,5,0,0,0,0,5</v>
      </c>
      <c r="AK598" s="26" t="str">
        <f t="shared" ref="AK598" si="4295">CQ$4</f>
        <v>100,1,1000,2,5,200,1,1000,2,5</v>
      </c>
      <c r="AL598" s="26" t="str">
        <f t="shared" ref="AL598" si="4296">CR$4</f>
        <v>5,5,5,5,5,5,5,5,5,5</v>
      </c>
      <c r="AM598" s="7">
        <v>2001</v>
      </c>
      <c r="AO598">
        <f t="shared" ref="AO598" si="4297">AQ598*100+1</f>
        <v>6701</v>
      </c>
      <c r="AP598">
        <v>594</v>
      </c>
      <c r="AQ598">
        <f t="shared" si="4167"/>
        <v>67</v>
      </c>
      <c r="AR598">
        <v>11</v>
      </c>
      <c r="AS598" s="17">
        <f t="shared" si="4248"/>
        <v>370</v>
      </c>
      <c r="AT598">
        <v>10</v>
      </c>
      <c r="AU598">
        <f t="shared" si="4168"/>
        <v>32</v>
      </c>
      <c r="AV598">
        <v>150</v>
      </c>
      <c r="AW598">
        <f t="shared" si="4169"/>
        <v>89527.173119999978</v>
      </c>
      <c r="AX598">
        <f t="shared" ref="AX598:AX661" si="4298">BC598</f>
        <v>497952000</v>
      </c>
      <c r="AY598">
        <f t="shared" si="4170"/>
        <v>8299.1999999999989</v>
      </c>
      <c r="AZ598">
        <f t="shared" si="4171"/>
        <v>16598.399999999998</v>
      </c>
      <c r="BA598">
        <f t="shared" si="4172"/>
        <v>102143.99999999999</v>
      </c>
      <c r="BB598">
        <f t="shared" si="4173"/>
        <v>4149.5999999999995</v>
      </c>
      <c r="BC598">
        <f t="shared" ref="BC598:BC661" si="4299">90/1.5*AZ598*(1/(1+AZ598/(5*BB598)))*6*AV598</f>
        <v>497952000</v>
      </c>
      <c r="BD598">
        <f t="shared" si="4174"/>
        <v>0.29411764705882348</v>
      </c>
      <c r="BE598" s="27">
        <f t="shared" ref="BE598:BE661" si="4300">BC598/10000/(1-BD598)/1*AZ598/L598*(1+0.1*0.5)*0.9*1</f>
        <v>737669678.05439997</v>
      </c>
      <c r="BF598" s="30">
        <f t="shared" si="4175"/>
        <v>0.46079999999999999</v>
      </c>
      <c r="BG598" s="27"/>
      <c r="BH598" s="27"/>
      <c r="BI598" s="27"/>
      <c r="CA598" s="20">
        <f t="shared" si="4176"/>
        <v>430</v>
      </c>
      <c r="CB598" s="20">
        <f t="shared" si="4177"/>
        <v>43000</v>
      </c>
    </row>
    <row r="599" spans="1:80" x14ac:dyDescent="0.15">
      <c r="A599">
        <v>6702</v>
      </c>
      <c r="B599" s="3" t="s">
        <v>115</v>
      </c>
      <c r="C599" s="4" t="s">
        <v>109</v>
      </c>
      <c r="D599" s="6" t="s">
        <v>110</v>
      </c>
      <c r="E599" s="5">
        <v>3</v>
      </c>
      <c r="F599" s="7" t="s">
        <v>142</v>
      </c>
      <c r="G599" s="5">
        <v>3</v>
      </c>
      <c r="H599" s="7" t="s">
        <v>188</v>
      </c>
      <c r="I599" s="5">
        <v>0</v>
      </c>
      <c r="J599" s="5">
        <v>0</v>
      </c>
      <c r="K599">
        <v>2</v>
      </c>
      <c r="L599">
        <v>1.5</v>
      </c>
      <c r="M599" s="5">
        <v>1.5</v>
      </c>
      <c r="N599" s="5">
        <v>10</v>
      </c>
      <c r="O599" s="5">
        <f t="shared" si="4157"/>
        <v>90705</v>
      </c>
      <c r="P599" s="5">
        <f t="shared" si="4158"/>
        <v>504504000</v>
      </c>
      <c r="Q599" s="5">
        <f t="shared" si="4159"/>
        <v>8408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70021</v>
      </c>
      <c r="X599" s="6" t="s">
        <v>180</v>
      </c>
      <c r="Y599" s="5">
        <v>300</v>
      </c>
      <c r="Z599" s="5">
        <v>1</v>
      </c>
      <c r="AA599" s="5">
        <v>169309849</v>
      </c>
      <c r="AB599" s="16" t="s">
        <v>111</v>
      </c>
      <c r="AC599" s="7" t="s">
        <v>112</v>
      </c>
      <c r="AD599" s="7" t="s">
        <v>112</v>
      </c>
      <c r="AE599" s="7" t="s">
        <v>112</v>
      </c>
      <c r="AF599" s="6" t="s">
        <v>113</v>
      </c>
      <c r="AG599" s="26" t="str">
        <f t="shared" ref="AG599" si="4301">CM$5</f>
        <v>4,33,28,33,6,4,33,28,33,6</v>
      </c>
      <c r="AH599" s="26" t="str">
        <f t="shared" ref="AH599" si="4302">CN$5</f>
        <v>0,7,0,7,1,0,7,0,7,1</v>
      </c>
      <c r="AI599" s="26" t="str">
        <f t="shared" ref="AI599" si="4303">CO$5</f>
        <v>0,0,0,0,1,0,0,0,0,1</v>
      </c>
      <c r="AJ599" s="26" t="str">
        <f t="shared" ref="AJ599" si="4304">CP$5</f>
        <v>0,0,0,0,5,0,0,0,0,5</v>
      </c>
      <c r="AK599" s="26" t="str">
        <f t="shared" ref="AK599" si="4305">CQ$5</f>
        <v>100,1,1000,2,5,200,1,1000,2,5</v>
      </c>
      <c r="AL599" s="26" t="str">
        <f t="shared" ref="AL599" si="4306">CR$5</f>
        <v>5,5,5,5,5,5,5,5,5,5</v>
      </c>
      <c r="AM599" s="7">
        <v>2001</v>
      </c>
      <c r="AO599">
        <f t="shared" ref="AO599" si="4307">AQ599*100+2</f>
        <v>6702</v>
      </c>
      <c r="AP599">
        <v>595</v>
      </c>
      <c r="AQ599">
        <f t="shared" si="4167"/>
        <v>67</v>
      </c>
      <c r="AR599">
        <v>11</v>
      </c>
      <c r="AS599" s="17">
        <f t="shared" si="4248"/>
        <v>375</v>
      </c>
      <c r="AT599">
        <v>10</v>
      </c>
      <c r="AU599">
        <f t="shared" si="4168"/>
        <v>32</v>
      </c>
      <c r="AV599">
        <v>150</v>
      </c>
      <c r="AW599">
        <f t="shared" si="4169"/>
        <v>90705.162239999976</v>
      </c>
      <c r="AX599">
        <f t="shared" si="4298"/>
        <v>504504000</v>
      </c>
      <c r="AY599">
        <f t="shared" si="4170"/>
        <v>8408.4</v>
      </c>
      <c r="AZ599">
        <f t="shared" si="4171"/>
        <v>16816.8</v>
      </c>
      <c r="BA599">
        <f t="shared" si="4172"/>
        <v>103487.99999999999</v>
      </c>
      <c r="BB599">
        <f t="shared" si="4173"/>
        <v>4204.2</v>
      </c>
      <c r="BC599">
        <f t="shared" si="4299"/>
        <v>504504000</v>
      </c>
      <c r="BD599">
        <f t="shared" si="4174"/>
        <v>0.29411764705882354</v>
      </c>
      <c r="BE599" s="27">
        <f t="shared" si="4300"/>
        <v>757209750.89760005</v>
      </c>
      <c r="BF599" s="30">
        <f t="shared" si="4175"/>
        <v>0.46079999999999999</v>
      </c>
      <c r="BG599" s="27"/>
      <c r="BH599" s="27"/>
      <c r="BI599" s="27"/>
      <c r="CA599" s="20">
        <f t="shared" si="4176"/>
        <v>430</v>
      </c>
      <c r="CB599" s="20">
        <f t="shared" si="4177"/>
        <v>43000</v>
      </c>
    </row>
    <row r="600" spans="1:80" x14ac:dyDescent="0.15">
      <c r="A600">
        <v>6703</v>
      </c>
      <c r="B600" s="3" t="s">
        <v>117</v>
      </c>
      <c r="C600" s="4" t="s">
        <v>109</v>
      </c>
      <c r="D600" s="4" t="s">
        <v>110</v>
      </c>
      <c r="E600" s="5">
        <v>1</v>
      </c>
      <c r="F600" s="7" t="s">
        <v>144</v>
      </c>
      <c r="G600" s="5">
        <v>3</v>
      </c>
      <c r="H600" s="7" t="s">
        <v>189</v>
      </c>
      <c r="I600" s="5">
        <v>0</v>
      </c>
      <c r="J600" s="2">
        <v>0</v>
      </c>
      <c r="K600">
        <v>6</v>
      </c>
      <c r="L600">
        <v>1.5</v>
      </c>
      <c r="M600" s="5">
        <v>1.5</v>
      </c>
      <c r="N600" s="5">
        <v>10</v>
      </c>
      <c r="O600" s="5">
        <f t="shared" si="4157"/>
        <v>91883</v>
      </c>
      <c r="P600" s="5">
        <f t="shared" si="4158"/>
        <v>511056000</v>
      </c>
      <c r="Q600" s="5">
        <f t="shared" si="4159"/>
        <v>8517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70031</v>
      </c>
      <c r="X600" s="6" t="s">
        <v>181</v>
      </c>
      <c r="Y600" s="5">
        <v>300</v>
      </c>
      <c r="Z600" s="5">
        <v>1</v>
      </c>
      <c r="AA600" s="5">
        <v>174112727</v>
      </c>
      <c r="AB600" s="16" t="s">
        <v>111</v>
      </c>
      <c r="AC600" s="7" t="s">
        <v>112</v>
      </c>
      <c r="AD600" s="7" t="s">
        <v>112</v>
      </c>
      <c r="AE600" s="7" t="s">
        <v>112</v>
      </c>
      <c r="AF600" s="6" t="s">
        <v>113</v>
      </c>
      <c r="AG600" s="26" t="str">
        <f t="shared" ref="AG600" si="4308">CM$6</f>
        <v>4,28,6,28,6,4,28,6,28,6</v>
      </c>
      <c r="AH600" s="26" t="str">
        <f t="shared" ref="AH600" si="4309">CN$6</f>
        <v>0,0,1,0,1,0,0,1,0,1</v>
      </c>
      <c r="AI600" s="26" t="str">
        <f t="shared" ref="AI600" si="4310">CO$6</f>
        <v>0,0,0,0,1,0,0,0,0,1</v>
      </c>
      <c r="AJ600" s="26" t="str">
        <f t="shared" ref="AJ600" si="4311">CP$6</f>
        <v>0,0,5,0,5,0,0,5,0,5</v>
      </c>
      <c r="AK600" s="26" t="str">
        <f t="shared" ref="AK600" si="4312">CQ$6</f>
        <v>100,1000,5,1500,5,200,1000,5,1500,5</v>
      </c>
      <c r="AL600" s="26" t="str">
        <f t="shared" ref="AL600" si="4313">CR$6</f>
        <v>5,5,5,5,5,5,5,5,5,5</v>
      </c>
      <c r="AM600" s="7">
        <v>2001</v>
      </c>
      <c r="AO600">
        <f t="shared" ref="AO600" si="4314">AQ600*100+3</f>
        <v>6703</v>
      </c>
      <c r="AP600">
        <v>596</v>
      </c>
      <c r="AQ600">
        <f t="shared" si="4167"/>
        <v>67</v>
      </c>
      <c r="AR600">
        <v>11</v>
      </c>
      <c r="AS600" s="17">
        <f t="shared" si="4248"/>
        <v>380</v>
      </c>
      <c r="AT600">
        <v>10</v>
      </c>
      <c r="AU600">
        <f t="shared" si="4168"/>
        <v>32</v>
      </c>
      <c r="AV600">
        <v>150</v>
      </c>
      <c r="AW600">
        <f t="shared" si="4169"/>
        <v>91883.151359999974</v>
      </c>
      <c r="AX600">
        <f t="shared" si="4298"/>
        <v>511056000</v>
      </c>
      <c r="AY600">
        <f t="shared" si="4170"/>
        <v>8517.6</v>
      </c>
      <c r="AZ600">
        <f t="shared" si="4171"/>
        <v>17035.2</v>
      </c>
      <c r="BA600">
        <f t="shared" si="4172"/>
        <v>104831.99999999999</v>
      </c>
      <c r="BB600">
        <f t="shared" si="4173"/>
        <v>4258.8</v>
      </c>
      <c r="BC600">
        <f t="shared" si="4299"/>
        <v>511056000</v>
      </c>
      <c r="BD600">
        <f t="shared" si="4174"/>
        <v>0.29411764705882348</v>
      </c>
      <c r="BE600" s="27">
        <f t="shared" si="4300"/>
        <v>777005249.52959991</v>
      </c>
      <c r="BF600" s="30">
        <f t="shared" si="4175"/>
        <v>0.46079999999999999</v>
      </c>
      <c r="BG600" s="27"/>
      <c r="BH600" s="27"/>
      <c r="BI600" s="27"/>
      <c r="CA600" s="20">
        <f t="shared" si="4176"/>
        <v>430</v>
      </c>
      <c r="CB600" s="20">
        <f t="shared" si="4177"/>
        <v>43000</v>
      </c>
    </row>
    <row r="601" spans="1:80" x14ac:dyDescent="0.15">
      <c r="A601">
        <v>6704</v>
      </c>
      <c r="B601" s="3" t="s">
        <v>119</v>
      </c>
      <c r="C601" s="4" t="s">
        <v>109</v>
      </c>
      <c r="D601" s="6" t="s">
        <v>120</v>
      </c>
      <c r="E601" s="5">
        <v>3</v>
      </c>
      <c r="F601" s="7" t="s">
        <v>145</v>
      </c>
      <c r="G601" s="5">
        <v>3</v>
      </c>
      <c r="H601" s="7" t="s">
        <v>190</v>
      </c>
      <c r="I601" s="5">
        <v>0</v>
      </c>
      <c r="J601" s="5">
        <v>0</v>
      </c>
      <c r="K601">
        <v>2</v>
      </c>
      <c r="L601">
        <v>1.5</v>
      </c>
      <c r="M601" s="5">
        <v>1.5</v>
      </c>
      <c r="N601" s="5">
        <v>10</v>
      </c>
      <c r="O601" s="5">
        <f t="shared" si="4157"/>
        <v>93061</v>
      </c>
      <c r="P601" s="5">
        <f t="shared" si="4158"/>
        <v>517608000</v>
      </c>
      <c r="Q601" s="5">
        <f t="shared" si="4159"/>
        <v>8626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70041</v>
      </c>
      <c r="X601" s="6" t="s">
        <v>182</v>
      </c>
      <c r="Y601" s="5">
        <v>300</v>
      </c>
      <c r="Z601" s="5">
        <v>1</v>
      </c>
      <c r="AA601" s="5">
        <v>178982778</v>
      </c>
      <c r="AB601" s="16" t="s">
        <v>111</v>
      </c>
      <c r="AC601" s="7" t="s">
        <v>112</v>
      </c>
      <c r="AD601" s="7" t="s">
        <v>112</v>
      </c>
      <c r="AE601" s="7" t="s">
        <v>112</v>
      </c>
      <c r="AF601" s="6" t="s">
        <v>113</v>
      </c>
      <c r="AG601" s="26" t="str">
        <f t="shared" ref="AG601" si="4315">CM$7</f>
        <v>4,14,28,14,6,4,14,28,14,6</v>
      </c>
      <c r="AH601" s="26" t="str">
        <f t="shared" ref="AH601" si="4316">CN$7</f>
        <v>0,0,0,0,1,0,0,0,0,1</v>
      </c>
      <c r="AI601" s="26" t="str">
        <f t="shared" ref="AI601" si="4317">CO$7</f>
        <v>0,0,0,0,1,0,0,0,0,1</v>
      </c>
      <c r="AJ601" s="26" t="str">
        <f t="shared" ref="AJ601" si="4318">CP$7</f>
        <v>0,0,0,0,5,0,0,0,0,5</v>
      </c>
      <c r="AK601" s="26" t="str">
        <f t="shared" ref="AK601" si="4319">CQ$7</f>
        <v>100,1,1000,2,5,200,1,1000,2,5</v>
      </c>
      <c r="AL601" s="26" t="str">
        <f t="shared" ref="AL601" si="4320">CR$7</f>
        <v>5,5,5,5,5,5,5,5,5,5</v>
      </c>
      <c r="AM601" s="7">
        <v>2001</v>
      </c>
      <c r="AO601">
        <f t="shared" ref="AO601" si="4321">AQ601*100+4</f>
        <v>6704</v>
      </c>
      <c r="AP601">
        <v>597</v>
      </c>
      <c r="AQ601">
        <f t="shared" si="4167"/>
        <v>67</v>
      </c>
      <c r="AR601">
        <v>11</v>
      </c>
      <c r="AS601" s="17">
        <f t="shared" si="4248"/>
        <v>385</v>
      </c>
      <c r="AT601">
        <v>10</v>
      </c>
      <c r="AU601">
        <f t="shared" si="4168"/>
        <v>32</v>
      </c>
      <c r="AV601">
        <v>150</v>
      </c>
      <c r="AW601">
        <f t="shared" si="4169"/>
        <v>93061.140479999973</v>
      </c>
      <c r="AX601">
        <f t="shared" si="4298"/>
        <v>517608000</v>
      </c>
      <c r="AY601">
        <f t="shared" si="4170"/>
        <v>8626.7999999999993</v>
      </c>
      <c r="AZ601">
        <f t="shared" si="4171"/>
        <v>17253.599999999999</v>
      </c>
      <c r="BA601">
        <f t="shared" si="4172"/>
        <v>106175.99999999999</v>
      </c>
      <c r="BB601">
        <f t="shared" si="4173"/>
        <v>4313.3999999999996</v>
      </c>
      <c r="BC601">
        <f t="shared" si="4299"/>
        <v>517608000</v>
      </c>
      <c r="BD601">
        <f t="shared" si="4174"/>
        <v>0.29411764705882354</v>
      </c>
      <c r="BE601" s="27">
        <f t="shared" si="4300"/>
        <v>797056173.95040023</v>
      </c>
      <c r="BF601" s="30">
        <f t="shared" si="4175"/>
        <v>0.46079999999999999</v>
      </c>
      <c r="BG601" s="27"/>
      <c r="BH601" s="27"/>
      <c r="BI601" s="27"/>
      <c r="CA601" s="20">
        <f t="shared" si="4176"/>
        <v>430</v>
      </c>
      <c r="CB601" s="20">
        <f t="shared" si="4177"/>
        <v>43000</v>
      </c>
    </row>
    <row r="602" spans="1:80" x14ac:dyDescent="0.15">
      <c r="A602">
        <v>6705</v>
      </c>
      <c r="B602" s="3" t="s">
        <v>122</v>
      </c>
      <c r="C602" s="4" t="s">
        <v>109</v>
      </c>
      <c r="D602" s="4" t="s">
        <v>110</v>
      </c>
      <c r="E602" s="5">
        <v>2</v>
      </c>
      <c r="F602" s="7" t="s">
        <v>146</v>
      </c>
      <c r="G602" s="5">
        <v>3</v>
      </c>
      <c r="H602" s="7" t="s">
        <v>191</v>
      </c>
      <c r="I602" s="5">
        <v>0</v>
      </c>
      <c r="J602" s="7" t="s">
        <v>148</v>
      </c>
      <c r="K602">
        <v>6</v>
      </c>
      <c r="L602">
        <v>1.5</v>
      </c>
      <c r="M602" s="5">
        <v>1.5</v>
      </c>
      <c r="N602" s="5">
        <v>10</v>
      </c>
      <c r="O602" s="5">
        <f t="shared" si="4157"/>
        <v>94239</v>
      </c>
      <c r="P602" s="5">
        <f t="shared" si="4158"/>
        <v>524160000</v>
      </c>
      <c r="Q602" s="5">
        <f t="shared" si="4159"/>
        <v>8736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70051</v>
      </c>
      <c r="X602" s="6" t="s">
        <v>183</v>
      </c>
      <c r="Y602" s="5">
        <v>300</v>
      </c>
      <c r="Z602" s="5">
        <v>1</v>
      </c>
      <c r="AA602" s="5">
        <v>183920003</v>
      </c>
      <c r="AB602" s="16" t="s">
        <v>111</v>
      </c>
      <c r="AC602" s="7" t="s">
        <v>112</v>
      </c>
      <c r="AD602" s="7" t="s">
        <v>112</v>
      </c>
      <c r="AE602" s="7" t="s">
        <v>112</v>
      </c>
      <c r="AF602" s="6" t="s">
        <v>113</v>
      </c>
      <c r="AG602" s="26" t="str">
        <f t="shared" ref="AG602" si="4322">CM$8</f>
        <v>4,19,28,19,6,4,19,28,19,6</v>
      </c>
      <c r="AH602" s="26" t="str">
        <f t="shared" ref="AH602" si="4323">CN$8</f>
        <v>0,0,0,0,1,0,0,0,0,1</v>
      </c>
      <c r="AI602" s="26" t="str">
        <f t="shared" ref="AI602" si="4324">CO$8</f>
        <v>0,0,0,0,1,0,0,0,0,1</v>
      </c>
      <c r="AJ602" s="26" t="str">
        <f t="shared" ref="AJ602" si="4325">CP$8</f>
        <v>0,0,0,0,5,0,0,0,0,5</v>
      </c>
      <c r="AK602" s="26" t="str">
        <f t="shared" ref="AK602" si="4326">CQ$8</f>
        <v>200,100,1000,200,5,200,100,1000,200,5</v>
      </c>
      <c r="AL602" s="26" t="str">
        <f t="shared" ref="AL602" si="4327">CR$8</f>
        <v>5,5,5,5,5,5,5,5,5,5</v>
      </c>
      <c r="AM602" s="7">
        <v>2001</v>
      </c>
      <c r="AO602">
        <f t="shared" ref="AO602" si="4328">AQ602*100+5</f>
        <v>6705</v>
      </c>
      <c r="AP602">
        <v>598</v>
      </c>
      <c r="AQ602">
        <f t="shared" si="4167"/>
        <v>67</v>
      </c>
      <c r="AR602">
        <v>11</v>
      </c>
      <c r="AS602" s="17">
        <f t="shared" si="4248"/>
        <v>390</v>
      </c>
      <c r="AT602">
        <v>10</v>
      </c>
      <c r="AU602">
        <f t="shared" si="4168"/>
        <v>32</v>
      </c>
      <c r="AV602">
        <v>150</v>
      </c>
      <c r="AW602">
        <f t="shared" si="4169"/>
        <v>94239.129599999971</v>
      </c>
      <c r="AX602">
        <f t="shared" si="4298"/>
        <v>524160000</v>
      </c>
      <c r="AY602">
        <f t="shared" si="4170"/>
        <v>8736</v>
      </c>
      <c r="AZ602">
        <f t="shared" si="4171"/>
        <v>17472</v>
      </c>
      <c r="BA602">
        <f t="shared" si="4172"/>
        <v>107519.99999999999</v>
      </c>
      <c r="BB602">
        <f t="shared" si="4173"/>
        <v>4368</v>
      </c>
      <c r="BC602">
        <f t="shared" si="4299"/>
        <v>524160000</v>
      </c>
      <c r="BD602">
        <f t="shared" si="4174"/>
        <v>0.29411764705882354</v>
      </c>
      <c r="BE602" s="27">
        <f t="shared" si="4300"/>
        <v>817362524.16000009</v>
      </c>
      <c r="BF602" s="30">
        <f t="shared" si="4175"/>
        <v>0.46079999999999999</v>
      </c>
      <c r="BG602" s="27"/>
      <c r="BH602" s="27"/>
      <c r="BI602" s="27"/>
      <c r="CA602" s="20">
        <f t="shared" si="4176"/>
        <v>430</v>
      </c>
      <c r="CB602" s="20">
        <f t="shared" si="4177"/>
        <v>43000</v>
      </c>
    </row>
    <row r="603" spans="1:80" x14ac:dyDescent="0.15">
      <c r="A603">
        <v>6706</v>
      </c>
      <c r="B603" s="3" t="s">
        <v>124</v>
      </c>
      <c r="C603" s="4" t="s">
        <v>109</v>
      </c>
      <c r="D603" s="6" t="s">
        <v>120</v>
      </c>
      <c r="E603" s="5">
        <v>1</v>
      </c>
      <c r="F603" s="7" t="s">
        <v>147</v>
      </c>
      <c r="G603" s="5">
        <v>3</v>
      </c>
      <c r="H603" s="7" t="s">
        <v>192</v>
      </c>
      <c r="I603" s="5">
        <v>0</v>
      </c>
      <c r="J603" s="7" t="s">
        <v>149</v>
      </c>
      <c r="K603">
        <v>6</v>
      </c>
      <c r="L603">
        <v>1.5</v>
      </c>
      <c r="M603" s="5">
        <v>1.5</v>
      </c>
      <c r="N603" s="5">
        <v>10</v>
      </c>
      <c r="O603" s="5">
        <f t="shared" si="4157"/>
        <v>95417</v>
      </c>
      <c r="P603" s="5">
        <f t="shared" si="4158"/>
        <v>530712000</v>
      </c>
      <c r="Q603" s="5">
        <f t="shared" si="4159"/>
        <v>8845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70061</v>
      </c>
      <c r="X603" s="6" t="s">
        <v>184</v>
      </c>
      <c r="Y603" s="5">
        <v>300</v>
      </c>
      <c r="Z603" s="5">
        <v>1</v>
      </c>
      <c r="AA603" s="5">
        <v>188924400</v>
      </c>
      <c r="AB603" s="16" t="s">
        <v>111</v>
      </c>
      <c r="AC603" s="7" t="s">
        <v>112</v>
      </c>
      <c r="AD603" s="7" t="s">
        <v>112</v>
      </c>
      <c r="AE603" s="7" t="s">
        <v>112</v>
      </c>
      <c r="AF603" s="6" t="s">
        <v>113</v>
      </c>
      <c r="AG603" s="26" t="str">
        <f t="shared" ref="AG603" si="4329">CM$9</f>
        <v>4,33,28,33,6,4,33,28,33,6</v>
      </c>
      <c r="AH603" s="26" t="str">
        <f t="shared" ref="AH603" si="4330">CN$9</f>
        <v>0,6,0,6,1,0,6,0,6,1</v>
      </c>
      <c r="AI603" s="26" t="str">
        <f t="shared" ref="AI603" si="4331">CO$9</f>
        <v>0,0,0,0,1,0,0,0,0,1</v>
      </c>
      <c r="AJ603" s="26" t="str">
        <f t="shared" ref="AJ603" si="4332">CP$9</f>
        <v>0,0,0,0,5,0,0,0,0,5</v>
      </c>
      <c r="AK603" s="26" t="str">
        <f t="shared" ref="AK603" si="4333">CQ$9</f>
        <v>200,1,1000,2,5,200,1,1000,2,5</v>
      </c>
      <c r="AL603" s="26" t="str">
        <f t="shared" ref="AL603" si="4334">CR$9</f>
        <v>5,5,5,5,5,5,5,5,5,5</v>
      </c>
      <c r="AM603" s="7">
        <v>2001</v>
      </c>
      <c r="AO603">
        <f t="shared" ref="AO603" si="4335">AQ603*100+6</f>
        <v>6706</v>
      </c>
      <c r="AP603">
        <v>599</v>
      </c>
      <c r="AQ603">
        <f t="shared" si="4167"/>
        <v>67</v>
      </c>
      <c r="AR603">
        <v>11</v>
      </c>
      <c r="AS603" s="17">
        <f t="shared" si="4248"/>
        <v>395</v>
      </c>
      <c r="AT603">
        <v>10</v>
      </c>
      <c r="AU603">
        <f t="shared" si="4168"/>
        <v>32</v>
      </c>
      <c r="AV603">
        <v>150</v>
      </c>
      <c r="AW603">
        <f t="shared" si="4169"/>
        <v>95417.118719999969</v>
      </c>
      <c r="AX603">
        <f t="shared" si="4298"/>
        <v>530711999.99999988</v>
      </c>
      <c r="AY603">
        <f t="shared" si="4170"/>
        <v>8845.1999999999989</v>
      </c>
      <c r="AZ603">
        <f t="shared" si="4171"/>
        <v>17690.399999999998</v>
      </c>
      <c r="BA603">
        <f t="shared" si="4172"/>
        <v>108863.99999999999</v>
      </c>
      <c r="BB603">
        <f t="shared" si="4173"/>
        <v>4422.5999999999995</v>
      </c>
      <c r="BC603">
        <f t="shared" si="4299"/>
        <v>530711999.99999988</v>
      </c>
      <c r="BD603">
        <f t="shared" si="4174"/>
        <v>0.29411764705882348</v>
      </c>
      <c r="BE603" s="27">
        <f t="shared" si="4300"/>
        <v>837924300.15839982</v>
      </c>
      <c r="BF603" s="30">
        <f t="shared" si="4175"/>
        <v>0.46079999999999999</v>
      </c>
      <c r="BG603" s="27"/>
      <c r="BH603" s="27"/>
      <c r="BI603" s="27"/>
      <c r="CA603" s="20">
        <f t="shared" si="4176"/>
        <v>430</v>
      </c>
      <c r="CB603" s="20">
        <f t="shared" si="4177"/>
        <v>43000</v>
      </c>
    </row>
    <row r="604" spans="1:80" x14ac:dyDescent="0.15">
      <c r="A604">
        <v>6707</v>
      </c>
      <c r="B604" s="3" t="s">
        <v>126</v>
      </c>
      <c r="C604" s="4" t="s">
        <v>109</v>
      </c>
      <c r="D604" s="4" t="s">
        <v>110</v>
      </c>
      <c r="E604" s="5">
        <v>2</v>
      </c>
      <c r="F604" s="7" t="s">
        <v>143</v>
      </c>
      <c r="G604" s="5">
        <v>3</v>
      </c>
      <c r="H604" s="7" t="s">
        <v>193</v>
      </c>
      <c r="I604" s="5">
        <v>0</v>
      </c>
      <c r="J604" s="5">
        <v>0</v>
      </c>
      <c r="K604">
        <v>2</v>
      </c>
      <c r="L604">
        <v>1.5</v>
      </c>
      <c r="M604" s="5">
        <v>1.5</v>
      </c>
      <c r="N604" s="5">
        <v>10</v>
      </c>
      <c r="O604" s="5">
        <f t="shared" si="4157"/>
        <v>96595</v>
      </c>
      <c r="P604" s="5">
        <f t="shared" si="4158"/>
        <v>537264000</v>
      </c>
      <c r="Q604" s="5">
        <f t="shared" si="4159"/>
        <v>8954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70071</v>
      </c>
      <c r="X604" s="6" t="s">
        <v>185</v>
      </c>
      <c r="Y604" s="5">
        <v>300</v>
      </c>
      <c r="Z604" s="5">
        <v>1</v>
      </c>
      <c r="AA604" s="5">
        <v>193995971</v>
      </c>
      <c r="AB604" s="16" t="s">
        <v>111</v>
      </c>
      <c r="AC604" s="7" t="s">
        <v>112</v>
      </c>
      <c r="AD604" s="7" t="s">
        <v>112</v>
      </c>
      <c r="AE604" s="7" t="s">
        <v>112</v>
      </c>
      <c r="AF604" s="6" t="s">
        <v>113</v>
      </c>
      <c r="AG604" s="26" t="str">
        <f t="shared" ref="AG604" si="4336">CM$10</f>
        <v>4,14,28,14,6,4,14,28,14,6</v>
      </c>
      <c r="AH604" s="26" t="str">
        <f t="shared" ref="AH604" si="4337">CN$10</f>
        <v>0,0,0,0,1,0,0,0,0,1</v>
      </c>
      <c r="AI604" s="26" t="str">
        <f t="shared" ref="AI604" si="4338">CO$10</f>
        <v>0,0,0,0,1,0,0,0,0,1</v>
      </c>
      <c r="AJ604" s="26" t="str">
        <f t="shared" ref="AJ604" si="4339">CP$10</f>
        <v>0,0,0,0,5,0,0,0,0,5</v>
      </c>
      <c r="AK604" s="26" t="str">
        <f t="shared" ref="AK604" si="4340">CQ$10</f>
        <v>200,1,1000,2,5,200,1,1000,2,5</v>
      </c>
      <c r="AL604" s="26" t="str">
        <f t="shared" ref="AL604" si="4341">CR$10</f>
        <v>5,5,5,5,5,5,5,5,5,5</v>
      </c>
      <c r="AM604" s="7">
        <v>2001</v>
      </c>
      <c r="AO604">
        <f t="shared" ref="AO604" si="4342">AQ604*100+7</f>
        <v>6707</v>
      </c>
      <c r="AP604">
        <v>600</v>
      </c>
      <c r="AQ604">
        <f t="shared" si="4167"/>
        <v>67</v>
      </c>
      <c r="AR604">
        <v>11</v>
      </c>
      <c r="AS604" s="17">
        <f t="shared" si="4248"/>
        <v>400</v>
      </c>
      <c r="AT604">
        <v>10</v>
      </c>
      <c r="AU604">
        <f t="shared" si="4168"/>
        <v>32</v>
      </c>
      <c r="AV604">
        <v>150</v>
      </c>
      <c r="AW604">
        <f t="shared" si="4169"/>
        <v>96595.107839999968</v>
      </c>
      <c r="AX604">
        <f t="shared" si="4298"/>
        <v>537264000</v>
      </c>
      <c r="AY604">
        <f t="shared" si="4170"/>
        <v>8954.4</v>
      </c>
      <c r="AZ604">
        <f t="shared" si="4171"/>
        <v>17908.8</v>
      </c>
      <c r="BA604">
        <f t="shared" si="4172"/>
        <v>110207.99999999999</v>
      </c>
      <c r="BB604">
        <f t="shared" si="4173"/>
        <v>4477.2</v>
      </c>
      <c r="BC604">
        <f t="shared" si="4299"/>
        <v>537264000</v>
      </c>
      <c r="BD604">
        <f t="shared" si="4174"/>
        <v>0.29411764705882354</v>
      </c>
      <c r="BE604" s="27">
        <f t="shared" si="4300"/>
        <v>858741501.94560003</v>
      </c>
      <c r="BF604" s="30">
        <f t="shared" si="4175"/>
        <v>0.46079999999999999</v>
      </c>
      <c r="BG604" s="27"/>
      <c r="BH604" s="27"/>
      <c r="BI604" s="27"/>
      <c r="CA604" s="20">
        <f t="shared" si="4176"/>
        <v>430</v>
      </c>
      <c r="CB604" s="20">
        <f t="shared" si="4177"/>
        <v>43000</v>
      </c>
    </row>
    <row r="605" spans="1:80" x14ac:dyDescent="0.15">
      <c r="A605">
        <v>6708</v>
      </c>
      <c r="B605" s="3" t="s">
        <v>128</v>
      </c>
      <c r="C605" s="4" t="s">
        <v>109</v>
      </c>
      <c r="D605" s="4" t="s">
        <v>110</v>
      </c>
      <c r="E605" s="5">
        <v>5</v>
      </c>
      <c r="F605" s="7" t="s">
        <v>129</v>
      </c>
      <c r="G605" s="5">
        <v>2</v>
      </c>
      <c r="H605" s="7" t="s">
        <v>130</v>
      </c>
      <c r="I605" s="5">
        <v>0</v>
      </c>
      <c r="J605" s="5">
        <v>0</v>
      </c>
      <c r="K605">
        <v>2</v>
      </c>
      <c r="L605">
        <v>1.5</v>
      </c>
      <c r="M605" s="5">
        <v>1.5</v>
      </c>
      <c r="N605" s="5">
        <v>10</v>
      </c>
      <c r="O605" s="5">
        <f t="shared" si="4157"/>
        <v>97773</v>
      </c>
      <c r="P605" s="5">
        <f t="shared" si="4158"/>
        <v>543816000</v>
      </c>
      <c r="Q605" s="5">
        <f t="shared" si="4159"/>
        <v>9063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70081</v>
      </c>
      <c r="X605" s="6" t="s">
        <v>186</v>
      </c>
      <c r="Y605" s="5">
        <v>300</v>
      </c>
      <c r="Z605" s="5">
        <v>1</v>
      </c>
      <c r="AA605" s="5">
        <v>199134714</v>
      </c>
      <c r="AB605" s="16" t="s">
        <v>111</v>
      </c>
      <c r="AC605" s="7" t="s">
        <v>112</v>
      </c>
      <c r="AD605" s="7" t="s">
        <v>112</v>
      </c>
      <c r="AE605" s="7" t="s">
        <v>112</v>
      </c>
      <c r="AF605" s="6" t="s">
        <v>113</v>
      </c>
      <c r="AG605" s="26" t="str">
        <f t="shared" ref="AG605" si="4343">CM$11</f>
        <v>4,28,6,28,6,4,28,6,28,6</v>
      </c>
      <c r="AH605" s="26" t="str">
        <f t="shared" ref="AH605" si="4344">CN$11</f>
        <v>0,0,1,0,1,0,0,1,0,1</v>
      </c>
      <c r="AI605" s="26" t="str">
        <f t="shared" ref="AI605" si="4345">CO$11</f>
        <v>0,0,1,0,1,0,0,1,0,1</v>
      </c>
      <c r="AJ605" s="26" t="str">
        <f t="shared" ref="AJ605" si="4346">CP$11</f>
        <v>0,0,5,0,5,0,0,5,0,5</v>
      </c>
      <c r="AK605" s="26" t="str">
        <f t="shared" ref="AK605" si="4347">CQ$11</f>
        <v>100,1000,5,1500,5,200,1000,5,1500,5</v>
      </c>
      <c r="AL605" s="26" t="str">
        <f t="shared" ref="AL605" si="4348">CR$11</f>
        <v>5,5,5,5,5,5,5,5,5,5</v>
      </c>
      <c r="AM605" s="7">
        <v>2001</v>
      </c>
      <c r="AO605">
        <f t="shared" ref="AO605" si="4349">AQ605*100+8</f>
        <v>6708</v>
      </c>
      <c r="AP605">
        <v>601</v>
      </c>
      <c r="AQ605">
        <f t="shared" si="4167"/>
        <v>67</v>
      </c>
      <c r="AR605">
        <v>11</v>
      </c>
      <c r="AS605" s="17">
        <f t="shared" si="4248"/>
        <v>405</v>
      </c>
      <c r="AT605">
        <v>10</v>
      </c>
      <c r="AU605">
        <f t="shared" si="4168"/>
        <v>32</v>
      </c>
      <c r="AV605">
        <v>150</v>
      </c>
      <c r="AW605">
        <f t="shared" si="4169"/>
        <v>97773.096959999966</v>
      </c>
      <c r="AX605">
        <f t="shared" si="4298"/>
        <v>543816000</v>
      </c>
      <c r="AY605">
        <f t="shared" si="4170"/>
        <v>9063.6</v>
      </c>
      <c r="AZ605">
        <f t="shared" si="4171"/>
        <v>18127.2</v>
      </c>
      <c r="BA605">
        <f t="shared" si="4172"/>
        <v>111551.99999999999</v>
      </c>
      <c r="BB605">
        <f t="shared" si="4173"/>
        <v>4531.8</v>
      </c>
      <c r="BC605">
        <f t="shared" si="4299"/>
        <v>543816000</v>
      </c>
      <c r="BD605">
        <f t="shared" si="4174"/>
        <v>0.29411764705882348</v>
      </c>
      <c r="BE605" s="27">
        <f t="shared" si="4300"/>
        <v>879814129.52160001</v>
      </c>
      <c r="BF605" s="30">
        <f t="shared" si="4175"/>
        <v>0.46079999999999999</v>
      </c>
      <c r="BG605" s="27"/>
      <c r="BH605" s="27"/>
      <c r="BI605" s="27"/>
      <c r="CA605" s="20">
        <f t="shared" si="4176"/>
        <v>430</v>
      </c>
      <c r="CB605" s="20">
        <f t="shared" si="4177"/>
        <v>43000</v>
      </c>
    </row>
    <row r="606" spans="1:80" x14ac:dyDescent="0.15">
      <c r="A606">
        <v>6709</v>
      </c>
      <c r="B606" s="3" t="s">
        <v>132</v>
      </c>
      <c r="C606" s="4" t="s">
        <v>109</v>
      </c>
      <c r="D606" s="4" t="s">
        <v>110</v>
      </c>
      <c r="E606" s="5">
        <v>5</v>
      </c>
      <c r="F606" s="7" t="s">
        <v>140</v>
      </c>
      <c r="G606" s="5">
        <v>3</v>
      </c>
      <c r="H606" s="7" t="s">
        <v>140</v>
      </c>
      <c r="I606" s="5">
        <v>0</v>
      </c>
      <c r="J606" s="7">
        <v>0</v>
      </c>
      <c r="K606">
        <v>6</v>
      </c>
      <c r="L606">
        <v>1.5</v>
      </c>
      <c r="M606" s="5">
        <v>1.5</v>
      </c>
      <c r="N606" s="5">
        <v>10</v>
      </c>
      <c r="O606" s="5">
        <f t="shared" si="4157"/>
        <v>98951</v>
      </c>
      <c r="P606" s="5">
        <f t="shared" si="4158"/>
        <v>550368000</v>
      </c>
      <c r="Q606" s="5">
        <f t="shared" si="4159"/>
        <v>9172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70091</v>
      </c>
      <c r="X606" s="6" t="s">
        <v>187</v>
      </c>
      <c r="Y606" s="5">
        <v>300</v>
      </c>
      <c r="Z606" s="5">
        <v>1</v>
      </c>
      <c r="AA606" s="5">
        <v>204340631</v>
      </c>
      <c r="AB606" s="16" t="s">
        <v>111</v>
      </c>
      <c r="AC606" s="7" t="s">
        <v>112</v>
      </c>
      <c r="AD606" s="7" t="s">
        <v>112</v>
      </c>
      <c r="AE606" s="7" t="s">
        <v>112</v>
      </c>
      <c r="AF606" s="6" t="s">
        <v>113</v>
      </c>
      <c r="AG606" s="26" t="str">
        <f t="shared" ref="AG606" si="4350">CM$12</f>
        <v>4,33,28,33,6,4,33,28,33,6</v>
      </c>
      <c r="AH606" s="26" t="str">
        <f t="shared" ref="AH606" si="4351">CN$12</f>
        <v>0,5,0,5,1,0,5,0,5,1</v>
      </c>
      <c r="AI606" s="26" t="str">
        <f t="shared" ref="AI606" si="4352">CO$12</f>
        <v>0,0,0,0,1,0,0,0,0,1</v>
      </c>
      <c r="AJ606" s="26" t="str">
        <f t="shared" ref="AJ606" si="4353">CP$12</f>
        <v>0,0,0,0,5,0,0,0,0,5</v>
      </c>
      <c r="AK606" s="26" t="str">
        <f t="shared" ref="AK606" si="4354">CQ$12</f>
        <v>100,1,1000,2,5,200,1,1000,2,5</v>
      </c>
      <c r="AL606" s="26" t="str">
        <f t="shared" ref="AL606" si="4355">CR$12</f>
        <v>5,5,5,5,5,5,5,5,5,5</v>
      </c>
      <c r="AM606" s="7">
        <v>2001</v>
      </c>
      <c r="AO606">
        <f t="shared" ref="AO606" si="4356">AQ606*100+9</f>
        <v>6709</v>
      </c>
      <c r="AP606">
        <v>602</v>
      </c>
      <c r="AQ606">
        <f t="shared" si="4167"/>
        <v>67</v>
      </c>
      <c r="AR606">
        <v>11</v>
      </c>
      <c r="AS606" s="17">
        <f t="shared" si="4248"/>
        <v>410</v>
      </c>
      <c r="AT606">
        <v>10</v>
      </c>
      <c r="AU606">
        <f t="shared" si="4168"/>
        <v>32</v>
      </c>
      <c r="AV606">
        <v>150</v>
      </c>
      <c r="AW606">
        <f t="shared" si="4169"/>
        <v>98951.086079999979</v>
      </c>
      <c r="AX606">
        <f t="shared" si="4298"/>
        <v>550368000</v>
      </c>
      <c r="AY606">
        <f t="shared" si="4170"/>
        <v>9172.7999999999993</v>
      </c>
      <c r="AZ606">
        <f t="shared" si="4171"/>
        <v>18345.599999999999</v>
      </c>
      <c r="BA606">
        <f t="shared" si="4172"/>
        <v>112895.99999999999</v>
      </c>
      <c r="BB606">
        <f t="shared" si="4173"/>
        <v>4586.3999999999996</v>
      </c>
      <c r="BC606">
        <f t="shared" si="4299"/>
        <v>550368000</v>
      </c>
      <c r="BD606">
        <f t="shared" si="4174"/>
        <v>0.29411764705882354</v>
      </c>
      <c r="BE606" s="27">
        <f t="shared" si="4300"/>
        <v>901142182.88640022</v>
      </c>
      <c r="BF606" s="30">
        <f t="shared" si="4175"/>
        <v>0.46079999999999999</v>
      </c>
      <c r="BG606" s="27"/>
      <c r="BH606" s="27"/>
      <c r="BI606" s="27"/>
      <c r="CA606" s="20">
        <f t="shared" si="4176"/>
        <v>430</v>
      </c>
      <c r="CB606" s="20">
        <f t="shared" si="4177"/>
        <v>43000</v>
      </c>
    </row>
    <row r="607" spans="1:80" x14ac:dyDescent="0.15">
      <c r="A607">
        <v>6801</v>
      </c>
      <c r="B607" s="3" t="s">
        <v>108</v>
      </c>
      <c r="C607" s="4" t="s">
        <v>109</v>
      </c>
      <c r="D607" s="4" t="s">
        <v>110</v>
      </c>
      <c r="E607" s="5">
        <v>3</v>
      </c>
      <c r="F607" s="7" t="s">
        <v>141</v>
      </c>
      <c r="G607" s="5">
        <v>2.5</v>
      </c>
      <c r="H607" s="7" t="s">
        <v>194</v>
      </c>
      <c r="I607" s="5">
        <v>0</v>
      </c>
      <c r="J607" s="5">
        <v>0</v>
      </c>
      <c r="K607">
        <v>2</v>
      </c>
      <c r="L607">
        <v>1.5</v>
      </c>
      <c r="M607" s="5">
        <v>1.5</v>
      </c>
      <c r="N607" s="5">
        <v>10</v>
      </c>
      <c r="O607" s="5">
        <f t="shared" si="4157"/>
        <v>90854</v>
      </c>
      <c r="P607" s="5">
        <f t="shared" si="4158"/>
        <v>504504000</v>
      </c>
      <c r="Q607" s="5">
        <f t="shared" si="4159"/>
        <v>8408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70011</v>
      </c>
      <c r="X607" s="6" t="s">
        <v>179</v>
      </c>
      <c r="Y607" s="5">
        <v>300</v>
      </c>
      <c r="Z607" s="5">
        <v>1</v>
      </c>
      <c r="AA607" s="5">
        <v>209613721</v>
      </c>
      <c r="AB607" s="16" t="s">
        <v>111</v>
      </c>
      <c r="AC607" s="7" t="s">
        <v>112</v>
      </c>
      <c r="AD607" s="7" t="s">
        <v>112</v>
      </c>
      <c r="AE607" s="7" t="s">
        <v>112</v>
      </c>
      <c r="AF607" s="6" t="s">
        <v>113</v>
      </c>
      <c r="AG607" s="26" t="str">
        <f t="shared" ref="AG607" si="4357">CM$4</f>
        <v>4,33,28,33,6,4,33,28,33,6</v>
      </c>
      <c r="AH607" s="26" t="str">
        <f t="shared" ref="AH607" si="4358">CN$4</f>
        <v>0,8,0,8,1,0,8,0,8,1</v>
      </c>
      <c r="AI607" s="26" t="str">
        <f t="shared" ref="AI607" si="4359">CO$4</f>
        <v>0,0,0,0,1,0,0,0,0,1</v>
      </c>
      <c r="AJ607" s="26" t="str">
        <f t="shared" ref="AJ607" si="4360">CP$4</f>
        <v>0,0,0,0,5,0,0,0,0,5</v>
      </c>
      <c r="AK607" s="26" t="str">
        <f t="shared" ref="AK607" si="4361">CQ$4</f>
        <v>100,1,1000,2,5,200,1,1000,2,5</v>
      </c>
      <c r="AL607" s="26" t="str">
        <f t="shared" ref="AL607" si="4362">CR$4</f>
        <v>5,5,5,5,5,5,5,5,5,5</v>
      </c>
      <c r="AM607" s="7">
        <v>2001</v>
      </c>
      <c r="AO607">
        <f t="shared" ref="AO607" si="4363">AQ607*100+1</f>
        <v>6801</v>
      </c>
      <c r="AP607">
        <v>603</v>
      </c>
      <c r="AQ607">
        <f t="shared" si="4167"/>
        <v>68</v>
      </c>
      <c r="AR607">
        <v>11</v>
      </c>
      <c r="AS607" s="17">
        <f t="shared" si="4248"/>
        <v>375</v>
      </c>
      <c r="AT607">
        <v>10</v>
      </c>
      <c r="AU607">
        <f t="shared" si="4168"/>
        <v>32</v>
      </c>
      <c r="AV607">
        <v>150</v>
      </c>
      <c r="AW607">
        <f t="shared" si="4169"/>
        <v>90854.184959999984</v>
      </c>
      <c r="AX607">
        <f t="shared" si="4298"/>
        <v>504504000</v>
      </c>
      <c r="AY607">
        <f t="shared" si="4170"/>
        <v>8408.4</v>
      </c>
      <c r="AZ607">
        <f t="shared" si="4171"/>
        <v>16816.8</v>
      </c>
      <c r="BA607">
        <f t="shared" si="4172"/>
        <v>103487.99999999999</v>
      </c>
      <c r="BB607">
        <f t="shared" si="4173"/>
        <v>4204.2</v>
      </c>
      <c r="BC607">
        <f t="shared" si="4299"/>
        <v>504504000</v>
      </c>
      <c r="BD607">
        <f t="shared" si="4174"/>
        <v>0.29411764705882354</v>
      </c>
      <c r="BE607" s="27">
        <f t="shared" si="4300"/>
        <v>757209750.89760005</v>
      </c>
      <c r="BF607" s="30">
        <f t="shared" si="4175"/>
        <v>0.46319999999999995</v>
      </c>
      <c r="BG607" s="27"/>
      <c r="BH607" s="27"/>
      <c r="BI607" s="27"/>
      <c r="CA607" s="20">
        <f t="shared" si="4176"/>
        <v>435</v>
      </c>
      <c r="CB607" s="20">
        <f t="shared" si="4177"/>
        <v>43500</v>
      </c>
    </row>
    <row r="608" spans="1:80" x14ac:dyDescent="0.15">
      <c r="A608">
        <v>6802</v>
      </c>
      <c r="B608" s="3" t="s">
        <v>115</v>
      </c>
      <c r="C608" s="4" t="s">
        <v>109</v>
      </c>
      <c r="D608" s="6" t="s">
        <v>110</v>
      </c>
      <c r="E608" s="5">
        <v>3</v>
      </c>
      <c r="F608" s="7" t="s">
        <v>142</v>
      </c>
      <c r="G608" s="5">
        <v>3</v>
      </c>
      <c r="H608" s="7" t="s">
        <v>188</v>
      </c>
      <c r="I608" s="5">
        <v>0</v>
      </c>
      <c r="J608" s="5">
        <v>0</v>
      </c>
      <c r="K608">
        <v>2</v>
      </c>
      <c r="L608">
        <v>1.5</v>
      </c>
      <c r="M608" s="5">
        <v>1.5</v>
      </c>
      <c r="N608" s="5">
        <v>10</v>
      </c>
      <c r="O608" s="5">
        <f t="shared" si="4157"/>
        <v>92034</v>
      </c>
      <c r="P608" s="5">
        <f t="shared" si="4158"/>
        <v>511056000</v>
      </c>
      <c r="Q608" s="5">
        <f t="shared" si="4159"/>
        <v>8517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70021</v>
      </c>
      <c r="X608" s="6" t="s">
        <v>180</v>
      </c>
      <c r="Y608" s="5">
        <v>300</v>
      </c>
      <c r="Z608" s="5">
        <v>1</v>
      </c>
      <c r="AA608" s="5">
        <v>174112727</v>
      </c>
      <c r="AB608" s="16" t="s">
        <v>111</v>
      </c>
      <c r="AC608" s="7" t="s">
        <v>112</v>
      </c>
      <c r="AD608" s="7" t="s">
        <v>112</v>
      </c>
      <c r="AE608" s="7" t="s">
        <v>112</v>
      </c>
      <c r="AF608" s="6" t="s">
        <v>113</v>
      </c>
      <c r="AG608" s="26" t="str">
        <f t="shared" ref="AG608" si="4364">CM$5</f>
        <v>4,33,28,33,6,4,33,28,33,6</v>
      </c>
      <c r="AH608" s="26" t="str">
        <f t="shared" ref="AH608" si="4365">CN$5</f>
        <v>0,7,0,7,1,0,7,0,7,1</v>
      </c>
      <c r="AI608" s="26" t="str">
        <f t="shared" ref="AI608" si="4366">CO$5</f>
        <v>0,0,0,0,1,0,0,0,0,1</v>
      </c>
      <c r="AJ608" s="26" t="str">
        <f t="shared" ref="AJ608" si="4367">CP$5</f>
        <v>0,0,0,0,5,0,0,0,0,5</v>
      </c>
      <c r="AK608" s="26" t="str">
        <f t="shared" ref="AK608" si="4368">CQ$5</f>
        <v>100,1,1000,2,5,200,1,1000,2,5</v>
      </c>
      <c r="AL608" s="26" t="str">
        <f t="shared" ref="AL608" si="4369">CR$5</f>
        <v>5,5,5,5,5,5,5,5,5,5</v>
      </c>
      <c r="AM608" s="7">
        <v>2001</v>
      </c>
      <c r="AO608">
        <f t="shared" ref="AO608" si="4370">AQ608*100+2</f>
        <v>6802</v>
      </c>
      <c r="AP608">
        <v>604</v>
      </c>
      <c r="AQ608">
        <f t="shared" si="4167"/>
        <v>68</v>
      </c>
      <c r="AR608">
        <v>11</v>
      </c>
      <c r="AS608" s="17">
        <f t="shared" si="4248"/>
        <v>380</v>
      </c>
      <c r="AT608">
        <v>10</v>
      </c>
      <c r="AU608">
        <f t="shared" si="4168"/>
        <v>32</v>
      </c>
      <c r="AV608">
        <v>150</v>
      </c>
      <c r="AW608">
        <f t="shared" si="4169"/>
        <v>92034.109439999986</v>
      </c>
      <c r="AX608">
        <f t="shared" si="4298"/>
        <v>511056000</v>
      </c>
      <c r="AY608">
        <f t="shared" si="4170"/>
        <v>8517.6</v>
      </c>
      <c r="AZ608">
        <f t="shared" si="4171"/>
        <v>17035.2</v>
      </c>
      <c r="BA608">
        <f t="shared" si="4172"/>
        <v>104831.99999999999</v>
      </c>
      <c r="BB608">
        <f t="shared" si="4173"/>
        <v>4258.8</v>
      </c>
      <c r="BC608">
        <f t="shared" si="4299"/>
        <v>511056000</v>
      </c>
      <c r="BD608">
        <f t="shared" si="4174"/>
        <v>0.29411764705882348</v>
      </c>
      <c r="BE608" s="27">
        <f t="shared" si="4300"/>
        <v>777005249.52959991</v>
      </c>
      <c r="BF608" s="30">
        <f t="shared" si="4175"/>
        <v>0.46319999999999995</v>
      </c>
      <c r="BG608" s="27"/>
      <c r="BH608" s="27"/>
      <c r="BI608" s="27"/>
      <c r="CA608" s="20">
        <f t="shared" si="4176"/>
        <v>435</v>
      </c>
      <c r="CB608" s="20">
        <f t="shared" si="4177"/>
        <v>43500</v>
      </c>
    </row>
    <row r="609" spans="1:80" x14ac:dyDescent="0.15">
      <c r="A609">
        <v>6803</v>
      </c>
      <c r="B609" s="3" t="s">
        <v>117</v>
      </c>
      <c r="C609" s="4" t="s">
        <v>109</v>
      </c>
      <c r="D609" s="4" t="s">
        <v>110</v>
      </c>
      <c r="E609" s="5">
        <v>1</v>
      </c>
      <c r="F609" s="7" t="s">
        <v>144</v>
      </c>
      <c r="G609" s="5">
        <v>3</v>
      </c>
      <c r="H609" s="7" t="s">
        <v>189</v>
      </c>
      <c r="I609" s="5">
        <v>0</v>
      </c>
      <c r="J609" s="2">
        <v>0</v>
      </c>
      <c r="K609">
        <v>6</v>
      </c>
      <c r="L609">
        <v>1.5</v>
      </c>
      <c r="M609" s="5">
        <v>1.5</v>
      </c>
      <c r="N609" s="5">
        <v>10</v>
      </c>
      <c r="O609" s="5">
        <f t="shared" si="4157"/>
        <v>93214</v>
      </c>
      <c r="P609" s="5">
        <f t="shared" si="4158"/>
        <v>517608000</v>
      </c>
      <c r="Q609" s="5">
        <f t="shared" si="4159"/>
        <v>8626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70031</v>
      </c>
      <c r="X609" s="6" t="s">
        <v>181</v>
      </c>
      <c r="Y609" s="5">
        <v>300</v>
      </c>
      <c r="Z609" s="5">
        <v>1</v>
      </c>
      <c r="AA609" s="5">
        <v>178982778</v>
      </c>
      <c r="AB609" s="16" t="s">
        <v>111</v>
      </c>
      <c r="AC609" s="7" t="s">
        <v>112</v>
      </c>
      <c r="AD609" s="7" t="s">
        <v>112</v>
      </c>
      <c r="AE609" s="7" t="s">
        <v>112</v>
      </c>
      <c r="AF609" s="6" t="s">
        <v>113</v>
      </c>
      <c r="AG609" s="26" t="str">
        <f t="shared" ref="AG609" si="4371">CM$6</f>
        <v>4,28,6,28,6,4,28,6,28,6</v>
      </c>
      <c r="AH609" s="26" t="str">
        <f t="shared" ref="AH609" si="4372">CN$6</f>
        <v>0,0,1,0,1,0,0,1,0,1</v>
      </c>
      <c r="AI609" s="26" t="str">
        <f t="shared" ref="AI609" si="4373">CO$6</f>
        <v>0,0,0,0,1,0,0,0,0,1</v>
      </c>
      <c r="AJ609" s="26" t="str">
        <f t="shared" ref="AJ609" si="4374">CP$6</f>
        <v>0,0,5,0,5,0,0,5,0,5</v>
      </c>
      <c r="AK609" s="26" t="str">
        <f t="shared" ref="AK609" si="4375">CQ$6</f>
        <v>100,1000,5,1500,5,200,1000,5,1500,5</v>
      </c>
      <c r="AL609" s="26" t="str">
        <f t="shared" ref="AL609" si="4376">CR$6</f>
        <v>5,5,5,5,5,5,5,5,5,5</v>
      </c>
      <c r="AM609" s="7">
        <v>2001</v>
      </c>
      <c r="AO609">
        <f t="shared" ref="AO609" si="4377">AQ609*100+3</f>
        <v>6803</v>
      </c>
      <c r="AP609">
        <v>605</v>
      </c>
      <c r="AQ609">
        <f t="shared" si="4167"/>
        <v>68</v>
      </c>
      <c r="AR609">
        <v>11</v>
      </c>
      <c r="AS609" s="17">
        <f t="shared" si="4248"/>
        <v>385</v>
      </c>
      <c r="AT609">
        <v>10</v>
      </c>
      <c r="AU609">
        <f t="shared" si="4168"/>
        <v>32</v>
      </c>
      <c r="AV609">
        <v>150</v>
      </c>
      <c r="AW609">
        <f t="shared" si="4169"/>
        <v>93214.033919999987</v>
      </c>
      <c r="AX609">
        <f t="shared" si="4298"/>
        <v>517608000</v>
      </c>
      <c r="AY609">
        <f t="shared" si="4170"/>
        <v>8626.7999999999993</v>
      </c>
      <c r="AZ609">
        <f t="shared" si="4171"/>
        <v>17253.599999999999</v>
      </c>
      <c r="BA609">
        <f t="shared" si="4172"/>
        <v>106175.99999999999</v>
      </c>
      <c r="BB609">
        <f t="shared" si="4173"/>
        <v>4313.3999999999996</v>
      </c>
      <c r="BC609">
        <f t="shared" si="4299"/>
        <v>517608000</v>
      </c>
      <c r="BD609">
        <f t="shared" si="4174"/>
        <v>0.29411764705882354</v>
      </c>
      <c r="BE609" s="27">
        <f t="shared" si="4300"/>
        <v>797056173.95040023</v>
      </c>
      <c r="BF609" s="30">
        <f t="shared" si="4175"/>
        <v>0.46319999999999995</v>
      </c>
      <c r="BG609" s="27"/>
      <c r="BH609" s="27"/>
      <c r="BI609" s="27"/>
      <c r="CA609" s="20">
        <f t="shared" si="4176"/>
        <v>435</v>
      </c>
      <c r="CB609" s="20">
        <f t="shared" si="4177"/>
        <v>43500</v>
      </c>
    </row>
    <row r="610" spans="1:80" x14ac:dyDescent="0.15">
      <c r="A610">
        <v>6804</v>
      </c>
      <c r="B610" s="3" t="s">
        <v>119</v>
      </c>
      <c r="C610" s="4" t="s">
        <v>109</v>
      </c>
      <c r="D610" s="6" t="s">
        <v>120</v>
      </c>
      <c r="E610" s="5">
        <v>3</v>
      </c>
      <c r="F610" s="7" t="s">
        <v>145</v>
      </c>
      <c r="G610" s="5">
        <v>3</v>
      </c>
      <c r="H610" s="7" t="s">
        <v>190</v>
      </c>
      <c r="I610" s="5">
        <v>0</v>
      </c>
      <c r="J610" s="5">
        <v>0</v>
      </c>
      <c r="K610">
        <v>2</v>
      </c>
      <c r="L610">
        <v>1.5</v>
      </c>
      <c r="M610" s="5">
        <v>1.5</v>
      </c>
      <c r="N610" s="5">
        <v>10</v>
      </c>
      <c r="O610" s="5">
        <f t="shared" si="4157"/>
        <v>94393</v>
      </c>
      <c r="P610" s="5">
        <f t="shared" si="4158"/>
        <v>524160000</v>
      </c>
      <c r="Q610" s="5">
        <f t="shared" si="4159"/>
        <v>8736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70041</v>
      </c>
      <c r="X610" s="6" t="s">
        <v>182</v>
      </c>
      <c r="Y610" s="5">
        <v>300</v>
      </c>
      <c r="Z610" s="5">
        <v>1</v>
      </c>
      <c r="AA610" s="5">
        <v>183920003</v>
      </c>
      <c r="AB610" s="16" t="s">
        <v>111</v>
      </c>
      <c r="AC610" s="7" t="s">
        <v>112</v>
      </c>
      <c r="AD610" s="7" t="s">
        <v>112</v>
      </c>
      <c r="AE610" s="7" t="s">
        <v>112</v>
      </c>
      <c r="AF610" s="6" t="s">
        <v>113</v>
      </c>
      <c r="AG610" s="26" t="str">
        <f t="shared" ref="AG610" si="4378">CM$7</f>
        <v>4,14,28,14,6,4,14,28,14,6</v>
      </c>
      <c r="AH610" s="26" t="str">
        <f t="shared" ref="AH610" si="4379">CN$7</f>
        <v>0,0,0,0,1,0,0,0,0,1</v>
      </c>
      <c r="AI610" s="26" t="str">
        <f t="shared" ref="AI610" si="4380">CO$7</f>
        <v>0,0,0,0,1,0,0,0,0,1</v>
      </c>
      <c r="AJ610" s="26" t="str">
        <f t="shared" ref="AJ610" si="4381">CP$7</f>
        <v>0,0,0,0,5,0,0,0,0,5</v>
      </c>
      <c r="AK610" s="26" t="str">
        <f t="shared" ref="AK610" si="4382">CQ$7</f>
        <v>100,1,1000,2,5,200,1,1000,2,5</v>
      </c>
      <c r="AL610" s="26" t="str">
        <f t="shared" ref="AL610" si="4383">CR$7</f>
        <v>5,5,5,5,5,5,5,5,5,5</v>
      </c>
      <c r="AM610" s="7">
        <v>2001</v>
      </c>
      <c r="AO610">
        <f t="shared" ref="AO610" si="4384">AQ610*100+4</f>
        <v>6804</v>
      </c>
      <c r="AP610">
        <v>606</v>
      </c>
      <c r="AQ610">
        <f t="shared" si="4167"/>
        <v>68</v>
      </c>
      <c r="AR610">
        <v>11</v>
      </c>
      <c r="AS610" s="17">
        <f t="shared" si="4248"/>
        <v>390</v>
      </c>
      <c r="AT610">
        <v>10</v>
      </c>
      <c r="AU610">
        <f t="shared" si="4168"/>
        <v>32</v>
      </c>
      <c r="AV610">
        <v>150</v>
      </c>
      <c r="AW610">
        <f t="shared" si="4169"/>
        <v>94393.958399999989</v>
      </c>
      <c r="AX610">
        <f t="shared" si="4298"/>
        <v>524160000</v>
      </c>
      <c r="AY610">
        <f t="shared" si="4170"/>
        <v>8736</v>
      </c>
      <c r="AZ610">
        <f t="shared" si="4171"/>
        <v>17472</v>
      </c>
      <c r="BA610">
        <f t="shared" si="4172"/>
        <v>107519.99999999999</v>
      </c>
      <c r="BB610">
        <f t="shared" si="4173"/>
        <v>4368</v>
      </c>
      <c r="BC610">
        <f t="shared" si="4299"/>
        <v>524160000</v>
      </c>
      <c r="BD610">
        <f t="shared" si="4174"/>
        <v>0.29411764705882354</v>
      </c>
      <c r="BE610" s="27">
        <f t="shared" si="4300"/>
        <v>817362524.16000009</v>
      </c>
      <c r="BF610" s="30">
        <f t="shared" si="4175"/>
        <v>0.46319999999999995</v>
      </c>
      <c r="BG610" s="27"/>
      <c r="BH610" s="27"/>
      <c r="BI610" s="27"/>
      <c r="CA610" s="20">
        <f t="shared" si="4176"/>
        <v>435</v>
      </c>
      <c r="CB610" s="20">
        <f t="shared" si="4177"/>
        <v>43500</v>
      </c>
    </row>
    <row r="611" spans="1:80" x14ac:dyDescent="0.15">
      <c r="A611">
        <v>6805</v>
      </c>
      <c r="B611" s="3" t="s">
        <v>122</v>
      </c>
      <c r="C611" s="4" t="s">
        <v>109</v>
      </c>
      <c r="D611" s="4" t="s">
        <v>110</v>
      </c>
      <c r="E611" s="5">
        <v>2</v>
      </c>
      <c r="F611" s="7" t="s">
        <v>146</v>
      </c>
      <c r="G611" s="5">
        <v>3</v>
      </c>
      <c r="H611" s="7" t="s">
        <v>191</v>
      </c>
      <c r="I611" s="5">
        <v>0</v>
      </c>
      <c r="J611" s="7" t="s">
        <v>148</v>
      </c>
      <c r="K611">
        <v>6</v>
      </c>
      <c r="L611">
        <v>1.5</v>
      </c>
      <c r="M611" s="5">
        <v>1.5</v>
      </c>
      <c r="N611" s="5">
        <v>10</v>
      </c>
      <c r="O611" s="5">
        <f t="shared" si="4157"/>
        <v>95573</v>
      </c>
      <c r="P611" s="5">
        <f t="shared" si="4158"/>
        <v>530712000</v>
      </c>
      <c r="Q611" s="5">
        <f t="shared" si="4159"/>
        <v>8845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70051</v>
      </c>
      <c r="X611" s="6" t="s">
        <v>183</v>
      </c>
      <c r="Y611" s="5">
        <v>300</v>
      </c>
      <c r="Z611" s="5">
        <v>1</v>
      </c>
      <c r="AA611" s="5">
        <v>188924400</v>
      </c>
      <c r="AB611" s="16" t="s">
        <v>111</v>
      </c>
      <c r="AC611" s="7" t="s">
        <v>112</v>
      </c>
      <c r="AD611" s="7" t="s">
        <v>112</v>
      </c>
      <c r="AE611" s="7" t="s">
        <v>112</v>
      </c>
      <c r="AF611" s="6" t="s">
        <v>113</v>
      </c>
      <c r="AG611" s="26" t="str">
        <f t="shared" ref="AG611" si="4385">CM$8</f>
        <v>4,19,28,19,6,4,19,28,19,6</v>
      </c>
      <c r="AH611" s="26" t="str">
        <f t="shared" ref="AH611" si="4386">CN$8</f>
        <v>0,0,0,0,1,0,0,0,0,1</v>
      </c>
      <c r="AI611" s="26" t="str">
        <f t="shared" ref="AI611" si="4387">CO$8</f>
        <v>0,0,0,0,1,0,0,0,0,1</v>
      </c>
      <c r="AJ611" s="26" t="str">
        <f t="shared" ref="AJ611" si="4388">CP$8</f>
        <v>0,0,0,0,5,0,0,0,0,5</v>
      </c>
      <c r="AK611" s="26" t="str">
        <f t="shared" ref="AK611" si="4389">CQ$8</f>
        <v>200,100,1000,200,5,200,100,1000,200,5</v>
      </c>
      <c r="AL611" s="26" t="str">
        <f t="shared" ref="AL611" si="4390">CR$8</f>
        <v>5,5,5,5,5,5,5,5,5,5</v>
      </c>
      <c r="AM611" s="7">
        <v>2001</v>
      </c>
      <c r="AO611">
        <f t="shared" ref="AO611" si="4391">AQ611*100+5</f>
        <v>6805</v>
      </c>
      <c r="AP611">
        <v>607</v>
      </c>
      <c r="AQ611">
        <f t="shared" si="4167"/>
        <v>68</v>
      </c>
      <c r="AR611">
        <v>11</v>
      </c>
      <c r="AS611" s="17">
        <f t="shared" si="4248"/>
        <v>395</v>
      </c>
      <c r="AT611">
        <v>10</v>
      </c>
      <c r="AU611">
        <f t="shared" si="4168"/>
        <v>32</v>
      </c>
      <c r="AV611">
        <v>150</v>
      </c>
      <c r="AW611">
        <f t="shared" si="4169"/>
        <v>95573.88287999999</v>
      </c>
      <c r="AX611">
        <f t="shared" si="4298"/>
        <v>530711999.99999988</v>
      </c>
      <c r="AY611">
        <f t="shared" si="4170"/>
        <v>8845.1999999999989</v>
      </c>
      <c r="AZ611">
        <f t="shared" si="4171"/>
        <v>17690.399999999998</v>
      </c>
      <c r="BA611">
        <f t="shared" si="4172"/>
        <v>108863.99999999999</v>
      </c>
      <c r="BB611">
        <f t="shared" si="4173"/>
        <v>4422.5999999999995</v>
      </c>
      <c r="BC611">
        <f t="shared" si="4299"/>
        <v>530711999.99999988</v>
      </c>
      <c r="BD611">
        <f t="shared" si="4174"/>
        <v>0.29411764705882348</v>
      </c>
      <c r="BE611" s="27">
        <f t="shared" si="4300"/>
        <v>837924300.15839982</v>
      </c>
      <c r="BF611" s="30">
        <f t="shared" si="4175"/>
        <v>0.46319999999999995</v>
      </c>
      <c r="BG611" s="27"/>
      <c r="BH611" s="27"/>
      <c r="BI611" s="27"/>
      <c r="CA611" s="20">
        <f t="shared" si="4176"/>
        <v>435</v>
      </c>
      <c r="CB611" s="20">
        <f t="shared" si="4177"/>
        <v>43500</v>
      </c>
    </row>
    <row r="612" spans="1:80" x14ac:dyDescent="0.15">
      <c r="A612">
        <v>6806</v>
      </c>
      <c r="B612" s="3" t="s">
        <v>124</v>
      </c>
      <c r="C612" s="4" t="s">
        <v>109</v>
      </c>
      <c r="D612" s="6" t="s">
        <v>120</v>
      </c>
      <c r="E612" s="5">
        <v>1</v>
      </c>
      <c r="F612" s="7" t="s">
        <v>147</v>
      </c>
      <c r="G612" s="5">
        <v>3</v>
      </c>
      <c r="H612" s="7" t="s">
        <v>192</v>
      </c>
      <c r="I612" s="5">
        <v>0</v>
      </c>
      <c r="J612" s="7" t="s">
        <v>149</v>
      </c>
      <c r="K612">
        <v>6</v>
      </c>
      <c r="L612">
        <v>1.5</v>
      </c>
      <c r="M612" s="5">
        <v>1.5</v>
      </c>
      <c r="N612" s="5">
        <v>10</v>
      </c>
      <c r="O612" s="5">
        <f t="shared" si="4157"/>
        <v>96753</v>
      </c>
      <c r="P612" s="5">
        <f t="shared" si="4158"/>
        <v>537264000</v>
      </c>
      <c r="Q612" s="5">
        <f t="shared" si="4159"/>
        <v>8954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70061</v>
      </c>
      <c r="X612" s="6" t="s">
        <v>184</v>
      </c>
      <c r="Y612" s="5">
        <v>300</v>
      </c>
      <c r="Z612" s="5">
        <v>1</v>
      </c>
      <c r="AA612" s="5">
        <v>193995971</v>
      </c>
      <c r="AB612" s="16" t="s">
        <v>111</v>
      </c>
      <c r="AC612" s="7" t="s">
        <v>112</v>
      </c>
      <c r="AD612" s="7" t="s">
        <v>112</v>
      </c>
      <c r="AE612" s="7" t="s">
        <v>112</v>
      </c>
      <c r="AF612" s="6" t="s">
        <v>113</v>
      </c>
      <c r="AG612" s="26" t="str">
        <f t="shared" ref="AG612" si="4392">CM$9</f>
        <v>4,33,28,33,6,4,33,28,33,6</v>
      </c>
      <c r="AH612" s="26" t="str">
        <f t="shared" ref="AH612" si="4393">CN$9</f>
        <v>0,6,0,6,1,0,6,0,6,1</v>
      </c>
      <c r="AI612" s="26" t="str">
        <f t="shared" ref="AI612" si="4394">CO$9</f>
        <v>0,0,0,0,1,0,0,0,0,1</v>
      </c>
      <c r="AJ612" s="26" t="str">
        <f t="shared" ref="AJ612" si="4395">CP$9</f>
        <v>0,0,0,0,5,0,0,0,0,5</v>
      </c>
      <c r="AK612" s="26" t="str">
        <f t="shared" ref="AK612" si="4396">CQ$9</f>
        <v>200,1,1000,2,5,200,1,1000,2,5</v>
      </c>
      <c r="AL612" s="26" t="str">
        <f t="shared" ref="AL612" si="4397">CR$9</f>
        <v>5,5,5,5,5,5,5,5,5,5</v>
      </c>
      <c r="AM612" s="7">
        <v>2001</v>
      </c>
      <c r="AO612">
        <f t="shared" ref="AO612" si="4398">AQ612*100+6</f>
        <v>6806</v>
      </c>
      <c r="AP612">
        <v>608</v>
      </c>
      <c r="AQ612">
        <f t="shared" si="4167"/>
        <v>68</v>
      </c>
      <c r="AR612">
        <v>11</v>
      </c>
      <c r="AS612" s="17">
        <f t="shared" si="4248"/>
        <v>400</v>
      </c>
      <c r="AT612">
        <v>10</v>
      </c>
      <c r="AU612">
        <f t="shared" si="4168"/>
        <v>32</v>
      </c>
      <c r="AV612">
        <v>150</v>
      </c>
      <c r="AW612">
        <f t="shared" si="4169"/>
        <v>96753.807359999992</v>
      </c>
      <c r="AX612">
        <f t="shared" si="4298"/>
        <v>537264000</v>
      </c>
      <c r="AY612">
        <f t="shared" si="4170"/>
        <v>8954.4</v>
      </c>
      <c r="AZ612">
        <f t="shared" si="4171"/>
        <v>17908.8</v>
      </c>
      <c r="BA612">
        <f t="shared" si="4172"/>
        <v>110207.99999999999</v>
      </c>
      <c r="BB612">
        <f t="shared" si="4173"/>
        <v>4477.2</v>
      </c>
      <c r="BC612">
        <f t="shared" si="4299"/>
        <v>537264000</v>
      </c>
      <c r="BD612">
        <f t="shared" si="4174"/>
        <v>0.29411764705882354</v>
      </c>
      <c r="BE612" s="27">
        <f t="shared" si="4300"/>
        <v>858741501.94560003</v>
      </c>
      <c r="BF612" s="30">
        <f t="shared" si="4175"/>
        <v>0.46319999999999995</v>
      </c>
      <c r="BG612" s="27"/>
      <c r="BH612" s="27"/>
      <c r="BI612" s="27"/>
      <c r="CA612" s="20">
        <f t="shared" si="4176"/>
        <v>435</v>
      </c>
      <c r="CB612" s="20">
        <f t="shared" si="4177"/>
        <v>43500</v>
      </c>
    </row>
    <row r="613" spans="1:80" x14ac:dyDescent="0.15">
      <c r="A613">
        <v>6807</v>
      </c>
      <c r="B613" s="3" t="s">
        <v>126</v>
      </c>
      <c r="C613" s="4" t="s">
        <v>109</v>
      </c>
      <c r="D613" s="4" t="s">
        <v>110</v>
      </c>
      <c r="E613" s="5">
        <v>2</v>
      </c>
      <c r="F613" s="7" t="s">
        <v>143</v>
      </c>
      <c r="G613" s="5">
        <v>3</v>
      </c>
      <c r="H613" s="7" t="s">
        <v>193</v>
      </c>
      <c r="I613" s="5">
        <v>0</v>
      </c>
      <c r="J613" s="5">
        <v>0</v>
      </c>
      <c r="K613">
        <v>2</v>
      </c>
      <c r="L613">
        <v>1.5</v>
      </c>
      <c r="M613" s="5">
        <v>1.5</v>
      </c>
      <c r="N613" s="5">
        <v>10</v>
      </c>
      <c r="O613" s="5">
        <f t="shared" si="4157"/>
        <v>97933</v>
      </c>
      <c r="P613" s="5">
        <f t="shared" si="4158"/>
        <v>543816000</v>
      </c>
      <c r="Q613" s="5">
        <f t="shared" si="4159"/>
        <v>9063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70071</v>
      </c>
      <c r="X613" s="6" t="s">
        <v>185</v>
      </c>
      <c r="Y613" s="5">
        <v>300</v>
      </c>
      <c r="Z613" s="5">
        <v>1</v>
      </c>
      <c r="AA613" s="5">
        <v>199134714</v>
      </c>
      <c r="AB613" s="16" t="s">
        <v>111</v>
      </c>
      <c r="AC613" s="7" t="s">
        <v>112</v>
      </c>
      <c r="AD613" s="7" t="s">
        <v>112</v>
      </c>
      <c r="AE613" s="7" t="s">
        <v>112</v>
      </c>
      <c r="AF613" s="6" t="s">
        <v>113</v>
      </c>
      <c r="AG613" s="26" t="str">
        <f t="shared" ref="AG613" si="4399">CM$10</f>
        <v>4,14,28,14,6,4,14,28,14,6</v>
      </c>
      <c r="AH613" s="26" t="str">
        <f t="shared" ref="AH613" si="4400">CN$10</f>
        <v>0,0,0,0,1,0,0,0,0,1</v>
      </c>
      <c r="AI613" s="26" t="str">
        <f t="shared" ref="AI613" si="4401">CO$10</f>
        <v>0,0,0,0,1,0,0,0,0,1</v>
      </c>
      <c r="AJ613" s="26" t="str">
        <f t="shared" ref="AJ613" si="4402">CP$10</f>
        <v>0,0,0,0,5,0,0,0,0,5</v>
      </c>
      <c r="AK613" s="26" t="str">
        <f t="shared" ref="AK613" si="4403">CQ$10</f>
        <v>200,1,1000,2,5,200,1,1000,2,5</v>
      </c>
      <c r="AL613" s="26" t="str">
        <f t="shared" ref="AL613" si="4404">CR$10</f>
        <v>5,5,5,5,5,5,5,5,5,5</v>
      </c>
      <c r="AM613" s="7">
        <v>2001</v>
      </c>
      <c r="AO613">
        <f t="shared" ref="AO613" si="4405">AQ613*100+7</f>
        <v>6807</v>
      </c>
      <c r="AP613">
        <v>609</v>
      </c>
      <c r="AQ613">
        <f t="shared" si="4167"/>
        <v>68</v>
      </c>
      <c r="AR613">
        <v>11</v>
      </c>
      <c r="AS613" s="17">
        <f t="shared" si="4248"/>
        <v>405</v>
      </c>
      <c r="AT613">
        <v>10</v>
      </c>
      <c r="AU613">
        <f t="shared" si="4168"/>
        <v>32</v>
      </c>
      <c r="AV613">
        <v>150</v>
      </c>
      <c r="AW613">
        <f t="shared" si="4169"/>
        <v>97933.731839999979</v>
      </c>
      <c r="AX613">
        <f t="shared" si="4298"/>
        <v>543816000</v>
      </c>
      <c r="AY613">
        <f t="shared" si="4170"/>
        <v>9063.6</v>
      </c>
      <c r="AZ613">
        <f t="shared" si="4171"/>
        <v>18127.2</v>
      </c>
      <c r="BA613">
        <f t="shared" si="4172"/>
        <v>111551.99999999999</v>
      </c>
      <c r="BB613">
        <f t="shared" si="4173"/>
        <v>4531.8</v>
      </c>
      <c r="BC613">
        <f t="shared" si="4299"/>
        <v>543816000</v>
      </c>
      <c r="BD613">
        <f t="shared" si="4174"/>
        <v>0.29411764705882348</v>
      </c>
      <c r="BE613" s="27">
        <f t="shared" si="4300"/>
        <v>879814129.52160001</v>
      </c>
      <c r="BF613" s="30">
        <f t="shared" si="4175"/>
        <v>0.46319999999999995</v>
      </c>
      <c r="BG613" s="27"/>
      <c r="BH613" s="27"/>
      <c r="BI613" s="27"/>
      <c r="CA613" s="20">
        <f t="shared" si="4176"/>
        <v>435</v>
      </c>
      <c r="CB613" s="20">
        <f t="shared" si="4177"/>
        <v>43500</v>
      </c>
    </row>
    <row r="614" spans="1:80" x14ac:dyDescent="0.15">
      <c r="A614">
        <v>6808</v>
      </c>
      <c r="B614" s="3" t="s">
        <v>128</v>
      </c>
      <c r="C614" s="4" t="s">
        <v>109</v>
      </c>
      <c r="D614" s="4" t="s">
        <v>110</v>
      </c>
      <c r="E614" s="5">
        <v>5</v>
      </c>
      <c r="F614" s="7" t="s">
        <v>129</v>
      </c>
      <c r="G614" s="5">
        <v>2</v>
      </c>
      <c r="H614" s="7" t="s">
        <v>130</v>
      </c>
      <c r="I614" s="5">
        <v>0</v>
      </c>
      <c r="J614" s="5">
        <v>0</v>
      </c>
      <c r="K614">
        <v>2</v>
      </c>
      <c r="L614">
        <v>1.5</v>
      </c>
      <c r="M614" s="5">
        <v>1.5</v>
      </c>
      <c r="N614" s="5">
        <v>10</v>
      </c>
      <c r="O614" s="5">
        <f t="shared" si="4157"/>
        <v>99113</v>
      </c>
      <c r="P614" s="5">
        <f t="shared" si="4158"/>
        <v>550368000</v>
      </c>
      <c r="Q614" s="5">
        <f t="shared" si="4159"/>
        <v>9172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70081</v>
      </c>
      <c r="X614" s="6" t="s">
        <v>186</v>
      </c>
      <c r="Y614" s="5">
        <v>300</v>
      </c>
      <c r="Z614" s="5">
        <v>1</v>
      </c>
      <c r="AA614" s="5">
        <v>204340631</v>
      </c>
      <c r="AB614" s="16" t="s">
        <v>111</v>
      </c>
      <c r="AC614" s="7" t="s">
        <v>112</v>
      </c>
      <c r="AD614" s="7" t="s">
        <v>112</v>
      </c>
      <c r="AE614" s="7" t="s">
        <v>112</v>
      </c>
      <c r="AF614" s="6" t="s">
        <v>113</v>
      </c>
      <c r="AG614" s="26" t="str">
        <f t="shared" ref="AG614" si="4406">CM$11</f>
        <v>4,28,6,28,6,4,28,6,28,6</v>
      </c>
      <c r="AH614" s="26" t="str">
        <f t="shared" ref="AH614" si="4407">CN$11</f>
        <v>0,0,1,0,1,0,0,1,0,1</v>
      </c>
      <c r="AI614" s="26" t="str">
        <f t="shared" ref="AI614" si="4408">CO$11</f>
        <v>0,0,1,0,1,0,0,1,0,1</v>
      </c>
      <c r="AJ614" s="26" t="str">
        <f t="shared" ref="AJ614" si="4409">CP$11</f>
        <v>0,0,5,0,5,0,0,5,0,5</v>
      </c>
      <c r="AK614" s="26" t="str">
        <f t="shared" ref="AK614" si="4410">CQ$11</f>
        <v>100,1000,5,1500,5,200,1000,5,1500,5</v>
      </c>
      <c r="AL614" s="26" t="str">
        <f t="shared" ref="AL614" si="4411">CR$11</f>
        <v>5,5,5,5,5,5,5,5,5,5</v>
      </c>
      <c r="AM614" s="7">
        <v>2001</v>
      </c>
      <c r="AO614">
        <f t="shared" ref="AO614" si="4412">AQ614*100+8</f>
        <v>6808</v>
      </c>
      <c r="AP614">
        <v>610</v>
      </c>
      <c r="AQ614">
        <f t="shared" si="4167"/>
        <v>68</v>
      </c>
      <c r="AR614">
        <v>11</v>
      </c>
      <c r="AS614" s="17">
        <f t="shared" si="4248"/>
        <v>410</v>
      </c>
      <c r="AT614">
        <v>10</v>
      </c>
      <c r="AU614">
        <f t="shared" si="4168"/>
        <v>32</v>
      </c>
      <c r="AV614">
        <v>150</v>
      </c>
      <c r="AW614">
        <f t="shared" si="4169"/>
        <v>99113.656319999995</v>
      </c>
      <c r="AX614">
        <f t="shared" si="4298"/>
        <v>550368000</v>
      </c>
      <c r="AY614">
        <f t="shared" si="4170"/>
        <v>9172.7999999999993</v>
      </c>
      <c r="AZ614">
        <f t="shared" si="4171"/>
        <v>18345.599999999999</v>
      </c>
      <c r="BA614">
        <f t="shared" si="4172"/>
        <v>112895.99999999999</v>
      </c>
      <c r="BB614">
        <f t="shared" si="4173"/>
        <v>4586.3999999999996</v>
      </c>
      <c r="BC614">
        <f t="shared" si="4299"/>
        <v>550368000</v>
      </c>
      <c r="BD614">
        <f t="shared" si="4174"/>
        <v>0.29411764705882354</v>
      </c>
      <c r="BE614" s="27">
        <f t="shared" si="4300"/>
        <v>901142182.88640022</v>
      </c>
      <c r="BF614" s="30">
        <f t="shared" si="4175"/>
        <v>0.46319999999999995</v>
      </c>
      <c r="BG614" s="27"/>
      <c r="BH614" s="27"/>
      <c r="BI614" s="27"/>
      <c r="CA614" s="20">
        <f t="shared" si="4176"/>
        <v>435</v>
      </c>
      <c r="CB614" s="20">
        <f t="shared" si="4177"/>
        <v>43500</v>
      </c>
    </row>
    <row r="615" spans="1:80" x14ac:dyDescent="0.15">
      <c r="A615">
        <v>6809</v>
      </c>
      <c r="B615" s="3" t="s">
        <v>132</v>
      </c>
      <c r="C615" s="4" t="s">
        <v>109</v>
      </c>
      <c r="D615" s="4" t="s">
        <v>110</v>
      </c>
      <c r="E615" s="5">
        <v>5</v>
      </c>
      <c r="F615" s="7" t="s">
        <v>140</v>
      </c>
      <c r="G615" s="5">
        <v>3</v>
      </c>
      <c r="H615" s="7" t="s">
        <v>140</v>
      </c>
      <c r="I615" s="5">
        <v>0</v>
      </c>
      <c r="J615" s="7">
        <v>0</v>
      </c>
      <c r="K615">
        <v>6</v>
      </c>
      <c r="L615">
        <v>1.5</v>
      </c>
      <c r="M615" s="5">
        <v>1.5</v>
      </c>
      <c r="N615" s="5">
        <v>10</v>
      </c>
      <c r="O615" s="5">
        <f t="shared" si="4157"/>
        <v>100293</v>
      </c>
      <c r="P615" s="5">
        <f t="shared" si="4158"/>
        <v>556920000</v>
      </c>
      <c r="Q615" s="5">
        <f t="shared" si="4159"/>
        <v>9282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70091</v>
      </c>
      <c r="X615" s="6" t="s">
        <v>187</v>
      </c>
      <c r="Y615" s="5">
        <v>300</v>
      </c>
      <c r="Z615" s="5">
        <v>1</v>
      </c>
      <c r="AA615" s="5">
        <v>209613721</v>
      </c>
      <c r="AB615" s="16" t="s">
        <v>111</v>
      </c>
      <c r="AC615" s="7" t="s">
        <v>112</v>
      </c>
      <c r="AD615" s="7" t="s">
        <v>112</v>
      </c>
      <c r="AE615" s="7" t="s">
        <v>112</v>
      </c>
      <c r="AF615" s="6" t="s">
        <v>113</v>
      </c>
      <c r="AG615" s="26" t="str">
        <f t="shared" ref="AG615" si="4413">CM$12</f>
        <v>4,33,28,33,6,4,33,28,33,6</v>
      </c>
      <c r="AH615" s="26" t="str">
        <f t="shared" ref="AH615" si="4414">CN$12</f>
        <v>0,5,0,5,1,0,5,0,5,1</v>
      </c>
      <c r="AI615" s="26" t="str">
        <f t="shared" ref="AI615" si="4415">CO$12</f>
        <v>0,0,0,0,1,0,0,0,0,1</v>
      </c>
      <c r="AJ615" s="26" t="str">
        <f t="shared" ref="AJ615" si="4416">CP$12</f>
        <v>0,0,0,0,5,0,0,0,0,5</v>
      </c>
      <c r="AK615" s="26" t="str">
        <f t="shared" ref="AK615" si="4417">CQ$12</f>
        <v>100,1,1000,2,5,200,1,1000,2,5</v>
      </c>
      <c r="AL615" s="26" t="str">
        <f t="shared" ref="AL615" si="4418">CR$12</f>
        <v>5,5,5,5,5,5,5,5,5,5</v>
      </c>
      <c r="AM615" s="7">
        <v>2001</v>
      </c>
      <c r="AO615">
        <f t="shared" ref="AO615" si="4419">AQ615*100+9</f>
        <v>6809</v>
      </c>
      <c r="AP615">
        <v>611</v>
      </c>
      <c r="AQ615">
        <f t="shared" si="4167"/>
        <v>68</v>
      </c>
      <c r="AR615">
        <v>11</v>
      </c>
      <c r="AS615" s="17">
        <f t="shared" si="4248"/>
        <v>415</v>
      </c>
      <c r="AT615">
        <v>10</v>
      </c>
      <c r="AU615">
        <f t="shared" si="4168"/>
        <v>32</v>
      </c>
      <c r="AV615">
        <v>150</v>
      </c>
      <c r="AW615">
        <f t="shared" si="4169"/>
        <v>100293.58079999998</v>
      </c>
      <c r="AX615">
        <f t="shared" si="4298"/>
        <v>556920000</v>
      </c>
      <c r="AY615">
        <f t="shared" si="4170"/>
        <v>9282</v>
      </c>
      <c r="AZ615">
        <f t="shared" si="4171"/>
        <v>18564</v>
      </c>
      <c r="BA615">
        <f t="shared" si="4172"/>
        <v>114239.99999999999</v>
      </c>
      <c r="BB615">
        <f t="shared" si="4173"/>
        <v>4641</v>
      </c>
      <c r="BC615">
        <f t="shared" si="4299"/>
        <v>556920000</v>
      </c>
      <c r="BD615">
        <f t="shared" si="4174"/>
        <v>0.29411764705882354</v>
      </c>
      <c r="BE615" s="27">
        <f t="shared" si="4300"/>
        <v>922725662.0400002</v>
      </c>
      <c r="BF615" s="30">
        <f t="shared" si="4175"/>
        <v>0.46319999999999995</v>
      </c>
      <c r="BG615" s="27"/>
      <c r="BH615" s="27"/>
      <c r="BI615" s="27"/>
      <c r="CA615" s="20">
        <f t="shared" si="4176"/>
        <v>435</v>
      </c>
      <c r="CB615" s="20">
        <f t="shared" si="4177"/>
        <v>43500</v>
      </c>
    </row>
    <row r="616" spans="1:80" x14ac:dyDescent="0.15">
      <c r="A616">
        <v>6901</v>
      </c>
      <c r="B616" s="3" t="s">
        <v>108</v>
      </c>
      <c r="C616" s="4" t="s">
        <v>109</v>
      </c>
      <c r="D616" s="4" t="s">
        <v>110</v>
      </c>
      <c r="E616" s="5">
        <v>3</v>
      </c>
      <c r="F616" s="7" t="s">
        <v>141</v>
      </c>
      <c r="G616" s="5">
        <v>2.5</v>
      </c>
      <c r="H616" s="7" t="s">
        <v>194</v>
      </c>
      <c r="I616" s="5">
        <v>0</v>
      </c>
      <c r="J616" s="5">
        <v>0</v>
      </c>
      <c r="K616">
        <v>2</v>
      </c>
      <c r="L616">
        <v>1.5</v>
      </c>
      <c r="M616" s="5">
        <v>1.5</v>
      </c>
      <c r="N616" s="5">
        <v>10</v>
      </c>
      <c r="O616" s="5">
        <f t="shared" si="4157"/>
        <v>92185</v>
      </c>
      <c r="P616" s="5">
        <f t="shared" si="4158"/>
        <v>511056000</v>
      </c>
      <c r="Q616" s="5">
        <f t="shared" si="4159"/>
        <v>8517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70011</v>
      </c>
      <c r="X616" s="6" t="s">
        <v>179</v>
      </c>
      <c r="Y616" s="5">
        <v>300</v>
      </c>
      <c r="Z616" s="5">
        <v>1</v>
      </c>
      <c r="AA616" s="5">
        <v>214953984</v>
      </c>
      <c r="AB616" s="16" t="s">
        <v>111</v>
      </c>
      <c r="AC616" s="7" t="s">
        <v>112</v>
      </c>
      <c r="AD616" s="7" t="s">
        <v>112</v>
      </c>
      <c r="AE616" s="7" t="s">
        <v>112</v>
      </c>
      <c r="AF616" s="6" t="s">
        <v>113</v>
      </c>
      <c r="AG616" s="26" t="str">
        <f t="shared" ref="AG616" si="4420">CM$4</f>
        <v>4,33,28,33,6,4,33,28,33,6</v>
      </c>
      <c r="AH616" s="26" t="str">
        <f t="shared" ref="AH616" si="4421">CN$4</f>
        <v>0,8,0,8,1,0,8,0,8,1</v>
      </c>
      <c r="AI616" s="26" t="str">
        <f t="shared" ref="AI616" si="4422">CO$4</f>
        <v>0,0,0,0,1,0,0,0,0,1</v>
      </c>
      <c r="AJ616" s="26" t="str">
        <f t="shared" ref="AJ616" si="4423">CP$4</f>
        <v>0,0,0,0,5,0,0,0,0,5</v>
      </c>
      <c r="AK616" s="26" t="str">
        <f t="shared" ref="AK616" si="4424">CQ$4</f>
        <v>100,1,1000,2,5,200,1,1000,2,5</v>
      </c>
      <c r="AL616" s="26" t="str">
        <f t="shared" ref="AL616" si="4425">CR$4</f>
        <v>5,5,5,5,5,5,5,5,5,5</v>
      </c>
      <c r="AM616" s="7">
        <v>2001</v>
      </c>
      <c r="AO616">
        <f t="shared" ref="AO616" si="4426">AQ616*100+1</f>
        <v>6901</v>
      </c>
      <c r="AP616">
        <v>612</v>
      </c>
      <c r="AQ616">
        <f t="shared" si="4167"/>
        <v>69</v>
      </c>
      <c r="AR616">
        <v>11</v>
      </c>
      <c r="AS616" s="17">
        <f t="shared" si="4248"/>
        <v>380</v>
      </c>
      <c r="AT616">
        <v>10</v>
      </c>
      <c r="AU616">
        <f t="shared" si="4168"/>
        <v>32</v>
      </c>
      <c r="AV616">
        <v>150</v>
      </c>
      <c r="AW616">
        <f t="shared" si="4169"/>
        <v>92185.067519999982</v>
      </c>
      <c r="AX616">
        <f t="shared" si="4298"/>
        <v>511056000</v>
      </c>
      <c r="AY616">
        <f t="shared" si="4170"/>
        <v>8517.6</v>
      </c>
      <c r="AZ616">
        <f t="shared" si="4171"/>
        <v>17035.2</v>
      </c>
      <c r="BA616">
        <f t="shared" si="4172"/>
        <v>104831.99999999999</v>
      </c>
      <c r="BB616">
        <f t="shared" si="4173"/>
        <v>4258.8</v>
      </c>
      <c r="BC616">
        <f t="shared" si="4299"/>
        <v>511056000</v>
      </c>
      <c r="BD616">
        <f t="shared" si="4174"/>
        <v>0.29411764705882348</v>
      </c>
      <c r="BE616" s="27">
        <f t="shared" si="4300"/>
        <v>777005249.52959991</v>
      </c>
      <c r="BF616" s="30">
        <f t="shared" si="4175"/>
        <v>0.46560000000000001</v>
      </c>
      <c r="BG616" s="27"/>
      <c r="BH616" s="27"/>
      <c r="BI616" s="27"/>
      <c r="CA616" s="20">
        <f t="shared" si="4176"/>
        <v>440</v>
      </c>
      <c r="CB616" s="20">
        <f t="shared" si="4177"/>
        <v>44000</v>
      </c>
    </row>
    <row r="617" spans="1:80" x14ac:dyDescent="0.15">
      <c r="A617">
        <v>6902</v>
      </c>
      <c r="B617" s="3" t="s">
        <v>115</v>
      </c>
      <c r="C617" s="4" t="s">
        <v>109</v>
      </c>
      <c r="D617" s="6" t="s">
        <v>110</v>
      </c>
      <c r="E617" s="5">
        <v>3</v>
      </c>
      <c r="F617" s="7" t="s">
        <v>142</v>
      </c>
      <c r="G617" s="5">
        <v>3</v>
      </c>
      <c r="H617" s="7" t="s">
        <v>188</v>
      </c>
      <c r="I617" s="5">
        <v>0</v>
      </c>
      <c r="J617" s="5">
        <v>0</v>
      </c>
      <c r="K617">
        <v>2</v>
      </c>
      <c r="L617">
        <v>1.5</v>
      </c>
      <c r="M617" s="5">
        <v>1.5</v>
      </c>
      <c r="N617" s="5">
        <v>10</v>
      </c>
      <c r="O617" s="5">
        <f t="shared" si="4157"/>
        <v>93366</v>
      </c>
      <c r="P617" s="5">
        <f t="shared" si="4158"/>
        <v>517608000</v>
      </c>
      <c r="Q617" s="5">
        <f t="shared" si="4159"/>
        <v>8626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70021</v>
      </c>
      <c r="X617" s="6" t="s">
        <v>180</v>
      </c>
      <c r="Y617" s="5">
        <v>300</v>
      </c>
      <c r="Z617" s="5">
        <v>1</v>
      </c>
      <c r="AA617" s="5">
        <v>178982778</v>
      </c>
      <c r="AB617" s="16" t="s">
        <v>111</v>
      </c>
      <c r="AC617" s="7" t="s">
        <v>112</v>
      </c>
      <c r="AD617" s="7" t="s">
        <v>112</v>
      </c>
      <c r="AE617" s="7" t="s">
        <v>112</v>
      </c>
      <c r="AF617" s="6" t="s">
        <v>113</v>
      </c>
      <c r="AG617" s="26" t="str">
        <f t="shared" ref="AG617" si="4427">CM$5</f>
        <v>4,33,28,33,6,4,33,28,33,6</v>
      </c>
      <c r="AH617" s="26" t="str">
        <f t="shared" ref="AH617" si="4428">CN$5</f>
        <v>0,7,0,7,1,0,7,0,7,1</v>
      </c>
      <c r="AI617" s="26" t="str">
        <f t="shared" ref="AI617" si="4429">CO$5</f>
        <v>0,0,0,0,1,0,0,0,0,1</v>
      </c>
      <c r="AJ617" s="26" t="str">
        <f t="shared" ref="AJ617" si="4430">CP$5</f>
        <v>0,0,0,0,5,0,0,0,0,5</v>
      </c>
      <c r="AK617" s="26" t="str">
        <f t="shared" ref="AK617" si="4431">CQ$5</f>
        <v>100,1,1000,2,5,200,1,1000,2,5</v>
      </c>
      <c r="AL617" s="26" t="str">
        <f t="shared" ref="AL617" si="4432">CR$5</f>
        <v>5,5,5,5,5,5,5,5,5,5</v>
      </c>
      <c r="AM617" s="7">
        <v>2001</v>
      </c>
      <c r="AO617">
        <f t="shared" ref="AO617" si="4433">AQ617*100+2</f>
        <v>6902</v>
      </c>
      <c r="AP617">
        <v>613</v>
      </c>
      <c r="AQ617">
        <f t="shared" si="4167"/>
        <v>69</v>
      </c>
      <c r="AR617">
        <v>11</v>
      </c>
      <c r="AS617" s="17">
        <f t="shared" si="4248"/>
        <v>385</v>
      </c>
      <c r="AT617">
        <v>10</v>
      </c>
      <c r="AU617">
        <f t="shared" si="4168"/>
        <v>32</v>
      </c>
      <c r="AV617">
        <v>150</v>
      </c>
      <c r="AW617">
        <f t="shared" si="4169"/>
        <v>93366.927359999987</v>
      </c>
      <c r="AX617">
        <f t="shared" si="4298"/>
        <v>517608000</v>
      </c>
      <c r="AY617">
        <f t="shared" si="4170"/>
        <v>8626.7999999999993</v>
      </c>
      <c r="AZ617">
        <f t="shared" si="4171"/>
        <v>17253.599999999999</v>
      </c>
      <c r="BA617">
        <f t="shared" si="4172"/>
        <v>106175.99999999999</v>
      </c>
      <c r="BB617">
        <f t="shared" si="4173"/>
        <v>4313.3999999999996</v>
      </c>
      <c r="BC617">
        <f t="shared" si="4299"/>
        <v>517608000</v>
      </c>
      <c r="BD617">
        <f t="shared" si="4174"/>
        <v>0.29411764705882354</v>
      </c>
      <c r="BE617" s="27">
        <f t="shared" si="4300"/>
        <v>797056173.95040023</v>
      </c>
      <c r="BF617" s="30">
        <f t="shared" si="4175"/>
        <v>0.46560000000000001</v>
      </c>
      <c r="BG617" s="27"/>
      <c r="BH617" s="27"/>
      <c r="BI617" s="27"/>
      <c r="CA617" s="20">
        <f t="shared" si="4176"/>
        <v>440</v>
      </c>
      <c r="CB617" s="20">
        <f t="shared" si="4177"/>
        <v>44000</v>
      </c>
    </row>
    <row r="618" spans="1:80" x14ac:dyDescent="0.15">
      <c r="A618">
        <v>6903</v>
      </c>
      <c r="B618" s="3" t="s">
        <v>117</v>
      </c>
      <c r="C618" s="4" t="s">
        <v>109</v>
      </c>
      <c r="D618" s="4" t="s">
        <v>110</v>
      </c>
      <c r="E618" s="5">
        <v>1</v>
      </c>
      <c r="F618" s="7" t="s">
        <v>144</v>
      </c>
      <c r="G618" s="5">
        <v>3</v>
      </c>
      <c r="H618" s="7" t="s">
        <v>189</v>
      </c>
      <c r="I618" s="5">
        <v>0</v>
      </c>
      <c r="J618" s="2">
        <v>0</v>
      </c>
      <c r="K618">
        <v>6</v>
      </c>
      <c r="L618">
        <v>1.5</v>
      </c>
      <c r="M618" s="5">
        <v>1.5</v>
      </c>
      <c r="N618" s="5">
        <v>10</v>
      </c>
      <c r="O618" s="5">
        <f t="shared" si="4157"/>
        <v>94548</v>
      </c>
      <c r="P618" s="5">
        <f t="shared" si="4158"/>
        <v>524160000</v>
      </c>
      <c r="Q618" s="5">
        <f t="shared" si="4159"/>
        <v>8736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70031</v>
      </c>
      <c r="X618" s="6" t="s">
        <v>181</v>
      </c>
      <c r="Y618" s="5">
        <v>300</v>
      </c>
      <c r="Z618" s="5">
        <v>1</v>
      </c>
      <c r="AA618" s="5">
        <v>183920003</v>
      </c>
      <c r="AB618" s="16" t="s">
        <v>111</v>
      </c>
      <c r="AC618" s="7" t="s">
        <v>112</v>
      </c>
      <c r="AD618" s="7" t="s">
        <v>112</v>
      </c>
      <c r="AE618" s="7" t="s">
        <v>112</v>
      </c>
      <c r="AF618" s="6" t="s">
        <v>113</v>
      </c>
      <c r="AG618" s="26" t="str">
        <f t="shared" ref="AG618" si="4434">CM$6</f>
        <v>4,28,6,28,6,4,28,6,28,6</v>
      </c>
      <c r="AH618" s="26" t="str">
        <f t="shared" ref="AH618" si="4435">CN$6</f>
        <v>0,0,1,0,1,0,0,1,0,1</v>
      </c>
      <c r="AI618" s="26" t="str">
        <f t="shared" ref="AI618" si="4436">CO$6</f>
        <v>0,0,0,0,1,0,0,0,0,1</v>
      </c>
      <c r="AJ618" s="26" t="str">
        <f t="shared" ref="AJ618" si="4437">CP$6</f>
        <v>0,0,5,0,5,0,0,5,0,5</v>
      </c>
      <c r="AK618" s="26" t="str">
        <f t="shared" ref="AK618" si="4438">CQ$6</f>
        <v>100,1000,5,1500,5,200,1000,5,1500,5</v>
      </c>
      <c r="AL618" s="26" t="str">
        <f t="shared" ref="AL618" si="4439">CR$6</f>
        <v>5,5,5,5,5,5,5,5,5,5</v>
      </c>
      <c r="AM618" s="7">
        <v>2001</v>
      </c>
      <c r="AO618">
        <f t="shared" ref="AO618" si="4440">AQ618*100+3</f>
        <v>6903</v>
      </c>
      <c r="AP618">
        <v>614</v>
      </c>
      <c r="AQ618">
        <f t="shared" si="4167"/>
        <v>69</v>
      </c>
      <c r="AR618">
        <v>11</v>
      </c>
      <c r="AS618" s="17">
        <f t="shared" si="4248"/>
        <v>390</v>
      </c>
      <c r="AT618">
        <v>10</v>
      </c>
      <c r="AU618">
        <f t="shared" si="4168"/>
        <v>32</v>
      </c>
      <c r="AV618">
        <v>150</v>
      </c>
      <c r="AW618">
        <f t="shared" si="4169"/>
        <v>94548.787199999977</v>
      </c>
      <c r="AX618">
        <f t="shared" si="4298"/>
        <v>524160000</v>
      </c>
      <c r="AY618">
        <f t="shared" si="4170"/>
        <v>8736</v>
      </c>
      <c r="AZ618">
        <f t="shared" si="4171"/>
        <v>17472</v>
      </c>
      <c r="BA618">
        <f t="shared" si="4172"/>
        <v>107519.99999999999</v>
      </c>
      <c r="BB618">
        <f t="shared" si="4173"/>
        <v>4368</v>
      </c>
      <c r="BC618">
        <f t="shared" si="4299"/>
        <v>524160000</v>
      </c>
      <c r="BD618">
        <f t="shared" si="4174"/>
        <v>0.29411764705882354</v>
      </c>
      <c r="BE618" s="27">
        <f t="shared" si="4300"/>
        <v>817362524.16000009</v>
      </c>
      <c r="BF618" s="30">
        <f t="shared" si="4175"/>
        <v>0.46560000000000001</v>
      </c>
      <c r="BG618" s="27"/>
      <c r="BH618" s="27"/>
      <c r="BI618" s="27"/>
      <c r="CA618" s="20">
        <f t="shared" si="4176"/>
        <v>440</v>
      </c>
      <c r="CB618" s="20">
        <f t="shared" si="4177"/>
        <v>44000</v>
      </c>
    </row>
    <row r="619" spans="1:80" x14ac:dyDescent="0.15">
      <c r="A619">
        <v>6904</v>
      </c>
      <c r="B619" s="3" t="s">
        <v>119</v>
      </c>
      <c r="C619" s="4" t="s">
        <v>109</v>
      </c>
      <c r="D619" s="6" t="s">
        <v>120</v>
      </c>
      <c r="E619" s="5">
        <v>3</v>
      </c>
      <c r="F619" s="7" t="s">
        <v>145</v>
      </c>
      <c r="G619" s="5">
        <v>3</v>
      </c>
      <c r="H619" s="7" t="s">
        <v>190</v>
      </c>
      <c r="I619" s="5">
        <v>0</v>
      </c>
      <c r="J619" s="5">
        <v>0</v>
      </c>
      <c r="K619">
        <v>2</v>
      </c>
      <c r="L619">
        <v>1.5</v>
      </c>
      <c r="M619" s="5">
        <v>1.5</v>
      </c>
      <c r="N619" s="5">
        <v>10</v>
      </c>
      <c r="O619" s="5">
        <f t="shared" si="4157"/>
        <v>95730</v>
      </c>
      <c r="P619" s="5">
        <f t="shared" si="4158"/>
        <v>530712000</v>
      </c>
      <c r="Q619" s="5">
        <f t="shared" si="4159"/>
        <v>8845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70041</v>
      </c>
      <c r="X619" s="6" t="s">
        <v>182</v>
      </c>
      <c r="Y619" s="5">
        <v>300</v>
      </c>
      <c r="Z619" s="5">
        <v>1</v>
      </c>
      <c r="AA619" s="5">
        <v>188924400</v>
      </c>
      <c r="AB619" s="16" t="s">
        <v>111</v>
      </c>
      <c r="AC619" s="7" t="s">
        <v>112</v>
      </c>
      <c r="AD619" s="7" t="s">
        <v>112</v>
      </c>
      <c r="AE619" s="7" t="s">
        <v>112</v>
      </c>
      <c r="AF619" s="6" t="s">
        <v>113</v>
      </c>
      <c r="AG619" s="26" t="str">
        <f t="shared" ref="AG619" si="4441">CM$7</f>
        <v>4,14,28,14,6,4,14,28,14,6</v>
      </c>
      <c r="AH619" s="26" t="str">
        <f t="shared" ref="AH619" si="4442">CN$7</f>
        <v>0,0,0,0,1,0,0,0,0,1</v>
      </c>
      <c r="AI619" s="26" t="str">
        <f t="shared" ref="AI619" si="4443">CO$7</f>
        <v>0,0,0,0,1,0,0,0,0,1</v>
      </c>
      <c r="AJ619" s="26" t="str">
        <f t="shared" ref="AJ619" si="4444">CP$7</f>
        <v>0,0,0,0,5,0,0,0,0,5</v>
      </c>
      <c r="AK619" s="26" t="str">
        <f t="shared" ref="AK619" si="4445">CQ$7</f>
        <v>100,1,1000,2,5,200,1,1000,2,5</v>
      </c>
      <c r="AL619" s="26" t="str">
        <f t="shared" ref="AL619" si="4446">CR$7</f>
        <v>5,5,5,5,5,5,5,5,5,5</v>
      </c>
      <c r="AM619" s="7">
        <v>2001</v>
      </c>
      <c r="AO619">
        <f t="shared" ref="AO619" si="4447">AQ619*100+4</f>
        <v>6904</v>
      </c>
      <c r="AP619">
        <v>615</v>
      </c>
      <c r="AQ619">
        <f t="shared" si="4167"/>
        <v>69</v>
      </c>
      <c r="AR619">
        <v>11</v>
      </c>
      <c r="AS619" s="17">
        <f t="shared" si="4248"/>
        <v>395</v>
      </c>
      <c r="AT619">
        <v>10</v>
      </c>
      <c r="AU619">
        <f t="shared" si="4168"/>
        <v>32</v>
      </c>
      <c r="AV619">
        <v>150</v>
      </c>
      <c r="AW619">
        <f t="shared" si="4169"/>
        <v>95730.647039999982</v>
      </c>
      <c r="AX619">
        <f t="shared" si="4298"/>
        <v>530711999.99999988</v>
      </c>
      <c r="AY619">
        <f t="shared" si="4170"/>
        <v>8845.1999999999989</v>
      </c>
      <c r="AZ619">
        <f t="shared" si="4171"/>
        <v>17690.399999999998</v>
      </c>
      <c r="BA619">
        <f t="shared" si="4172"/>
        <v>108863.99999999999</v>
      </c>
      <c r="BB619">
        <f t="shared" si="4173"/>
        <v>4422.5999999999995</v>
      </c>
      <c r="BC619">
        <f t="shared" si="4299"/>
        <v>530711999.99999988</v>
      </c>
      <c r="BD619">
        <f t="shared" si="4174"/>
        <v>0.29411764705882348</v>
      </c>
      <c r="BE619" s="27">
        <f t="shared" si="4300"/>
        <v>837924300.15839982</v>
      </c>
      <c r="BF619" s="30">
        <f t="shared" si="4175"/>
        <v>0.46560000000000001</v>
      </c>
      <c r="BG619" s="27"/>
      <c r="BH619" s="27"/>
      <c r="BI619" s="27"/>
      <c r="CA619" s="20">
        <f t="shared" si="4176"/>
        <v>440</v>
      </c>
      <c r="CB619" s="20">
        <f t="shared" si="4177"/>
        <v>44000</v>
      </c>
    </row>
    <row r="620" spans="1:80" x14ac:dyDescent="0.15">
      <c r="A620">
        <v>6905</v>
      </c>
      <c r="B620" s="3" t="s">
        <v>122</v>
      </c>
      <c r="C620" s="4" t="s">
        <v>109</v>
      </c>
      <c r="D620" s="4" t="s">
        <v>110</v>
      </c>
      <c r="E620" s="5">
        <v>2</v>
      </c>
      <c r="F620" s="7" t="s">
        <v>146</v>
      </c>
      <c r="G620" s="5">
        <v>3</v>
      </c>
      <c r="H620" s="7" t="s">
        <v>191</v>
      </c>
      <c r="I620" s="5">
        <v>0</v>
      </c>
      <c r="J620" s="7" t="s">
        <v>148</v>
      </c>
      <c r="K620">
        <v>6</v>
      </c>
      <c r="L620">
        <v>1.5</v>
      </c>
      <c r="M620" s="5">
        <v>1.5</v>
      </c>
      <c r="N620" s="5">
        <v>10</v>
      </c>
      <c r="O620" s="5">
        <f t="shared" si="4157"/>
        <v>96912</v>
      </c>
      <c r="P620" s="5">
        <f t="shared" si="4158"/>
        <v>537264000</v>
      </c>
      <c r="Q620" s="5">
        <f t="shared" si="4159"/>
        <v>8954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70051</v>
      </c>
      <c r="X620" s="6" t="s">
        <v>183</v>
      </c>
      <c r="Y620" s="5">
        <v>300</v>
      </c>
      <c r="Z620" s="5">
        <v>1</v>
      </c>
      <c r="AA620" s="5">
        <v>193995971</v>
      </c>
      <c r="AB620" s="16" t="s">
        <v>111</v>
      </c>
      <c r="AC620" s="7" t="s">
        <v>112</v>
      </c>
      <c r="AD620" s="7" t="s">
        <v>112</v>
      </c>
      <c r="AE620" s="7" t="s">
        <v>112</v>
      </c>
      <c r="AF620" s="6" t="s">
        <v>113</v>
      </c>
      <c r="AG620" s="26" t="str">
        <f t="shared" ref="AG620" si="4448">CM$8</f>
        <v>4,19,28,19,6,4,19,28,19,6</v>
      </c>
      <c r="AH620" s="26" t="str">
        <f t="shared" ref="AH620" si="4449">CN$8</f>
        <v>0,0,0,0,1,0,0,0,0,1</v>
      </c>
      <c r="AI620" s="26" t="str">
        <f t="shared" ref="AI620" si="4450">CO$8</f>
        <v>0,0,0,0,1,0,0,0,0,1</v>
      </c>
      <c r="AJ620" s="26" t="str">
        <f t="shared" ref="AJ620" si="4451">CP$8</f>
        <v>0,0,0,0,5,0,0,0,0,5</v>
      </c>
      <c r="AK620" s="26" t="str">
        <f t="shared" ref="AK620" si="4452">CQ$8</f>
        <v>200,100,1000,200,5,200,100,1000,200,5</v>
      </c>
      <c r="AL620" s="26" t="str">
        <f t="shared" ref="AL620" si="4453">CR$8</f>
        <v>5,5,5,5,5,5,5,5,5,5</v>
      </c>
      <c r="AM620" s="7">
        <v>2001</v>
      </c>
      <c r="AO620">
        <f t="shared" ref="AO620" si="4454">AQ620*100+5</f>
        <v>6905</v>
      </c>
      <c r="AP620">
        <v>616</v>
      </c>
      <c r="AQ620">
        <f t="shared" si="4167"/>
        <v>69</v>
      </c>
      <c r="AR620">
        <v>11</v>
      </c>
      <c r="AS620" s="17">
        <f t="shared" si="4248"/>
        <v>400</v>
      </c>
      <c r="AT620">
        <v>10</v>
      </c>
      <c r="AU620">
        <f t="shared" si="4168"/>
        <v>32</v>
      </c>
      <c r="AV620">
        <v>150</v>
      </c>
      <c r="AW620">
        <f t="shared" si="4169"/>
        <v>96912.506879999986</v>
      </c>
      <c r="AX620">
        <f t="shared" si="4298"/>
        <v>537264000</v>
      </c>
      <c r="AY620">
        <f t="shared" si="4170"/>
        <v>8954.4</v>
      </c>
      <c r="AZ620">
        <f t="shared" si="4171"/>
        <v>17908.8</v>
      </c>
      <c r="BA620">
        <f t="shared" si="4172"/>
        <v>110207.99999999999</v>
      </c>
      <c r="BB620">
        <f t="shared" si="4173"/>
        <v>4477.2</v>
      </c>
      <c r="BC620">
        <f t="shared" si="4299"/>
        <v>537264000</v>
      </c>
      <c r="BD620">
        <f t="shared" si="4174"/>
        <v>0.29411764705882354</v>
      </c>
      <c r="BE620" s="27">
        <f t="shared" si="4300"/>
        <v>858741501.94560003</v>
      </c>
      <c r="BF620" s="30">
        <f t="shared" si="4175"/>
        <v>0.46560000000000001</v>
      </c>
      <c r="BG620" s="27"/>
      <c r="BH620" s="27"/>
      <c r="BI620" s="27"/>
      <c r="CA620" s="20">
        <f t="shared" si="4176"/>
        <v>440</v>
      </c>
      <c r="CB620" s="20">
        <f t="shared" si="4177"/>
        <v>44000</v>
      </c>
    </row>
    <row r="621" spans="1:80" x14ac:dyDescent="0.15">
      <c r="A621">
        <v>6906</v>
      </c>
      <c r="B621" s="3" t="s">
        <v>124</v>
      </c>
      <c r="C621" s="4" t="s">
        <v>109</v>
      </c>
      <c r="D621" s="6" t="s">
        <v>120</v>
      </c>
      <c r="E621" s="5">
        <v>1</v>
      </c>
      <c r="F621" s="7" t="s">
        <v>147</v>
      </c>
      <c r="G621" s="5">
        <v>3</v>
      </c>
      <c r="H621" s="7" t="s">
        <v>192</v>
      </c>
      <c r="I621" s="5">
        <v>0</v>
      </c>
      <c r="J621" s="7" t="s">
        <v>149</v>
      </c>
      <c r="K621">
        <v>6</v>
      </c>
      <c r="L621">
        <v>1.5</v>
      </c>
      <c r="M621" s="5">
        <v>1.5</v>
      </c>
      <c r="N621" s="5">
        <v>10</v>
      </c>
      <c r="O621" s="5">
        <f t="shared" si="4157"/>
        <v>98094</v>
      </c>
      <c r="P621" s="5">
        <f t="shared" si="4158"/>
        <v>543816000</v>
      </c>
      <c r="Q621" s="5">
        <f t="shared" si="4159"/>
        <v>9063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70061</v>
      </c>
      <c r="X621" s="6" t="s">
        <v>184</v>
      </c>
      <c r="Y621" s="5">
        <v>300</v>
      </c>
      <c r="Z621" s="5">
        <v>1</v>
      </c>
      <c r="AA621" s="5">
        <v>199134714</v>
      </c>
      <c r="AB621" s="16" t="s">
        <v>111</v>
      </c>
      <c r="AC621" s="7" t="s">
        <v>112</v>
      </c>
      <c r="AD621" s="7" t="s">
        <v>112</v>
      </c>
      <c r="AE621" s="7" t="s">
        <v>112</v>
      </c>
      <c r="AF621" s="6" t="s">
        <v>113</v>
      </c>
      <c r="AG621" s="26" t="str">
        <f t="shared" ref="AG621" si="4455">CM$9</f>
        <v>4,33,28,33,6,4,33,28,33,6</v>
      </c>
      <c r="AH621" s="26" t="str">
        <f t="shared" ref="AH621" si="4456">CN$9</f>
        <v>0,6,0,6,1,0,6,0,6,1</v>
      </c>
      <c r="AI621" s="26" t="str">
        <f t="shared" ref="AI621" si="4457">CO$9</f>
        <v>0,0,0,0,1,0,0,0,0,1</v>
      </c>
      <c r="AJ621" s="26" t="str">
        <f t="shared" ref="AJ621" si="4458">CP$9</f>
        <v>0,0,0,0,5,0,0,0,0,5</v>
      </c>
      <c r="AK621" s="26" t="str">
        <f t="shared" ref="AK621" si="4459">CQ$9</f>
        <v>200,1,1000,2,5,200,1,1000,2,5</v>
      </c>
      <c r="AL621" s="26" t="str">
        <f t="shared" ref="AL621" si="4460">CR$9</f>
        <v>5,5,5,5,5,5,5,5,5,5</v>
      </c>
      <c r="AM621" s="7">
        <v>2001</v>
      </c>
      <c r="AO621">
        <f t="shared" ref="AO621" si="4461">AQ621*100+6</f>
        <v>6906</v>
      </c>
      <c r="AP621">
        <v>617</v>
      </c>
      <c r="AQ621">
        <f t="shared" si="4167"/>
        <v>69</v>
      </c>
      <c r="AR621">
        <v>11</v>
      </c>
      <c r="AS621" s="17">
        <f t="shared" si="4248"/>
        <v>405</v>
      </c>
      <c r="AT621">
        <v>10</v>
      </c>
      <c r="AU621">
        <f t="shared" si="4168"/>
        <v>32</v>
      </c>
      <c r="AV621">
        <v>150</v>
      </c>
      <c r="AW621">
        <f t="shared" si="4169"/>
        <v>98094.366719999976</v>
      </c>
      <c r="AX621">
        <f t="shared" si="4298"/>
        <v>543816000</v>
      </c>
      <c r="AY621">
        <f t="shared" si="4170"/>
        <v>9063.6</v>
      </c>
      <c r="AZ621">
        <f t="shared" si="4171"/>
        <v>18127.2</v>
      </c>
      <c r="BA621">
        <f t="shared" si="4172"/>
        <v>111551.99999999999</v>
      </c>
      <c r="BB621">
        <f t="shared" si="4173"/>
        <v>4531.8</v>
      </c>
      <c r="BC621">
        <f t="shared" si="4299"/>
        <v>543816000</v>
      </c>
      <c r="BD621">
        <f t="shared" si="4174"/>
        <v>0.29411764705882348</v>
      </c>
      <c r="BE621" s="27">
        <f t="shared" si="4300"/>
        <v>879814129.52160001</v>
      </c>
      <c r="BF621" s="30">
        <f t="shared" si="4175"/>
        <v>0.46560000000000001</v>
      </c>
      <c r="BG621" s="27"/>
      <c r="BH621" s="27"/>
      <c r="BI621" s="27"/>
      <c r="CA621" s="20">
        <f t="shared" si="4176"/>
        <v>440</v>
      </c>
      <c r="CB621" s="20">
        <f t="shared" si="4177"/>
        <v>44000</v>
      </c>
    </row>
    <row r="622" spans="1:80" x14ac:dyDescent="0.15">
      <c r="A622">
        <v>6907</v>
      </c>
      <c r="B622" s="3" t="s">
        <v>126</v>
      </c>
      <c r="C622" s="4" t="s">
        <v>109</v>
      </c>
      <c r="D622" s="4" t="s">
        <v>110</v>
      </c>
      <c r="E622" s="5">
        <v>2</v>
      </c>
      <c r="F622" s="7" t="s">
        <v>143</v>
      </c>
      <c r="G622" s="5">
        <v>3</v>
      </c>
      <c r="H622" s="7" t="s">
        <v>193</v>
      </c>
      <c r="I622" s="5">
        <v>0</v>
      </c>
      <c r="J622" s="5">
        <v>0</v>
      </c>
      <c r="K622">
        <v>2</v>
      </c>
      <c r="L622">
        <v>1.5</v>
      </c>
      <c r="M622" s="5">
        <v>1.5</v>
      </c>
      <c r="N622" s="5">
        <v>10</v>
      </c>
      <c r="O622" s="5">
        <f t="shared" si="4157"/>
        <v>99276</v>
      </c>
      <c r="P622" s="5">
        <f t="shared" si="4158"/>
        <v>550368000</v>
      </c>
      <c r="Q622" s="5">
        <f t="shared" si="4159"/>
        <v>9172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70071</v>
      </c>
      <c r="X622" s="6" t="s">
        <v>185</v>
      </c>
      <c r="Y622" s="5">
        <v>300</v>
      </c>
      <c r="Z622" s="5">
        <v>1</v>
      </c>
      <c r="AA622" s="5">
        <v>204340631</v>
      </c>
      <c r="AB622" s="16" t="s">
        <v>111</v>
      </c>
      <c r="AC622" s="7" t="s">
        <v>112</v>
      </c>
      <c r="AD622" s="7" t="s">
        <v>112</v>
      </c>
      <c r="AE622" s="7" t="s">
        <v>112</v>
      </c>
      <c r="AF622" s="6" t="s">
        <v>113</v>
      </c>
      <c r="AG622" s="26" t="str">
        <f t="shared" ref="AG622" si="4462">CM$10</f>
        <v>4,14,28,14,6,4,14,28,14,6</v>
      </c>
      <c r="AH622" s="26" t="str">
        <f t="shared" ref="AH622" si="4463">CN$10</f>
        <v>0,0,0,0,1,0,0,0,0,1</v>
      </c>
      <c r="AI622" s="26" t="str">
        <f t="shared" ref="AI622" si="4464">CO$10</f>
        <v>0,0,0,0,1,0,0,0,0,1</v>
      </c>
      <c r="AJ622" s="26" t="str">
        <f t="shared" ref="AJ622" si="4465">CP$10</f>
        <v>0,0,0,0,5,0,0,0,0,5</v>
      </c>
      <c r="AK622" s="26" t="str">
        <f t="shared" ref="AK622" si="4466">CQ$10</f>
        <v>200,1,1000,2,5,200,1,1000,2,5</v>
      </c>
      <c r="AL622" s="26" t="str">
        <f t="shared" ref="AL622" si="4467">CR$10</f>
        <v>5,5,5,5,5,5,5,5,5,5</v>
      </c>
      <c r="AM622" s="7">
        <v>2001</v>
      </c>
      <c r="AO622">
        <f t="shared" ref="AO622" si="4468">AQ622*100+7</f>
        <v>6907</v>
      </c>
      <c r="AP622">
        <v>618</v>
      </c>
      <c r="AQ622">
        <f t="shared" si="4167"/>
        <v>69</v>
      </c>
      <c r="AR622">
        <v>11</v>
      </c>
      <c r="AS622" s="17">
        <f t="shared" si="4248"/>
        <v>410</v>
      </c>
      <c r="AT622">
        <v>10</v>
      </c>
      <c r="AU622">
        <f t="shared" si="4168"/>
        <v>32</v>
      </c>
      <c r="AV622">
        <v>150</v>
      </c>
      <c r="AW622">
        <f t="shared" si="4169"/>
        <v>99276.226559999981</v>
      </c>
      <c r="AX622">
        <f t="shared" si="4298"/>
        <v>550368000</v>
      </c>
      <c r="AY622">
        <f t="shared" si="4170"/>
        <v>9172.7999999999993</v>
      </c>
      <c r="AZ622">
        <f t="shared" si="4171"/>
        <v>18345.599999999999</v>
      </c>
      <c r="BA622">
        <f t="shared" si="4172"/>
        <v>112895.99999999999</v>
      </c>
      <c r="BB622">
        <f t="shared" si="4173"/>
        <v>4586.3999999999996</v>
      </c>
      <c r="BC622">
        <f t="shared" si="4299"/>
        <v>550368000</v>
      </c>
      <c r="BD622">
        <f t="shared" si="4174"/>
        <v>0.29411764705882354</v>
      </c>
      <c r="BE622" s="27">
        <f t="shared" si="4300"/>
        <v>901142182.88640022</v>
      </c>
      <c r="BF622" s="30">
        <f t="shared" si="4175"/>
        <v>0.46560000000000001</v>
      </c>
      <c r="BG622" s="27"/>
      <c r="BH622" s="27"/>
      <c r="BI622" s="27"/>
      <c r="CA622" s="20">
        <f t="shared" si="4176"/>
        <v>440</v>
      </c>
      <c r="CB622" s="20">
        <f t="shared" si="4177"/>
        <v>44000</v>
      </c>
    </row>
    <row r="623" spans="1:80" x14ac:dyDescent="0.15">
      <c r="A623">
        <v>6908</v>
      </c>
      <c r="B623" s="3" t="s">
        <v>128</v>
      </c>
      <c r="C623" s="4" t="s">
        <v>109</v>
      </c>
      <c r="D623" s="4" t="s">
        <v>110</v>
      </c>
      <c r="E623" s="5">
        <v>5</v>
      </c>
      <c r="F623" s="7" t="s">
        <v>129</v>
      </c>
      <c r="G623" s="5">
        <v>2</v>
      </c>
      <c r="H623" s="7" t="s">
        <v>130</v>
      </c>
      <c r="I623" s="5">
        <v>0</v>
      </c>
      <c r="J623" s="5">
        <v>0</v>
      </c>
      <c r="K623">
        <v>2</v>
      </c>
      <c r="L623">
        <v>1.5</v>
      </c>
      <c r="M623" s="5">
        <v>1.5</v>
      </c>
      <c r="N623" s="5">
        <v>10</v>
      </c>
      <c r="O623" s="5">
        <f t="shared" si="4157"/>
        <v>100458</v>
      </c>
      <c r="P623" s="5">
        <f t="shared" si="4158"/>
        <v>556920000</v>
      </c>
      <c r="Q623" s="5">
        <f t="shared" si="4159"/>
        <v>9282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70081</v>
      </c>
      <c r="X623" s="6" t="s">
        <v>186</v>
      </c>
      <c r="Y623" s="5">
        <v>300</v>
      </c>
      <c r="Z623" s="5">
        <v>1</v>
      </c>
      <c r="AA623" s="5">
        <v>209613721</v>
      </c>
      <c r="AB623" s="16" t="s">
        <v>111</v>
      </c>
      <c r="AC623" s="7" t="s">
        <v>112</v>
      </c>
      <c r="AD623" s="7" t="s">
        <v>112</v>
      </c>
      <c r="AE623" s="7" t="s">
        <v>112</v>
      </c>
      <c r="AF623" s="6" t="s">
        <v>113</v>
      </c>
      <c r="AG623" s="26" t="str">
        <f t="shared" ref="AG623" si="4469">CM$11</f>
        <v>4,28,6,28,6,4,28,6,28,6</v>
      </c>
      <c r="AH623" s="26" t="str">
        <f t="shared" ref="AH623" si="4470">CN$11</f>
        <v>0,0,1,0,1,0,0,1,0,1</v>
      </c>
      <c r="AI623" s="26" t="str">
        <f t="shared" ref="AI623" si="4471">CO$11</f>
        <v>0,0,1,0,1,0,0,1,0,1</v>
      </c>
      <c r="AJ623" s="26" t="str">
        <f t="shared" ref="AJ623" si="4472">CP$11</f>
        <v>0,0,5,0,5,0,0,5,0,5</v>
      </c>
      <c r="AK623" s="26" t="str">
        <f t="shared" ref="AK623" si="4473">CQ$11</f>
        <v>100,1000,5,1500,5,200,1000,5,1500,5</v>
      </c>
      <c r="AL623" s="26" t="str">
        <f t="shared" ref="AL623" si="4474">CR$11</f>
        <v>5,5,5,5,5,5,5,5,5,5</v>
      </c>
      <c r="AM623" s="7">
        <v>2001</v>
      </c>
      <c r="AO623">
        <f t="shared" ref="AO623" si="4475">AQ623*100+8</f>
        <v>6908</v>
      </c>
      <c r="AP623">
        <v>619</v>
      </c>
      <c r="AQ623">
        <f t="shared" si="4167"/>
        <v>69</v>
      </c>
      <c r="AR623">
        <v>11</v>
      </c>
      <c r="AS623" s="17">
        <f t="shared" si="4248"/>
        <v>415</v>
      </c>
      <c r="AT623">
        <v>10</v>
      </c>
      <c r="AU623">
        <f t="shared" si="4168"/>
        <v>32</v>
      </c>
      <c r="AV623">
        <v>150</v>
      </c>
      <c r="AW623">
        <f t="shared" si="4169"/>
        <v>100458.08639999999</v>
      </c>
      <c r="AX623">
        <f t="shared" si="4298"/>
        <v>556920000</v>
      </c>
      <c r="AY623">
        <f t="shared" si="4170"/>
        <v>9282</v>
      </c>
      <c r="AZ623">
        <f t="shared" si="4171"/>
        <v>18564</v>
      </c>
      <c r="BA623">
        <f t="shared" si="4172"/>
        <v>114239.99999999999</v>
      </c>
      <c r="BB623">
        <f t="shared" si="4173"/>
        <v>4641</v>
      </c>
      <c r="BC623">
        <f t="shared" si="4299"/>
        <v>556920000</v>
      </c>
      <c r="BD623">
        <f t="shared" si="4174"/>
        <v>0.29411764705882354</v>
      </c>
      <c r="BE623" s="27">
        <f t="shared" si="4300"/>
        <v>922725662.0400002</v>
      </c>
      <c r="BF623" s="30">
        <f t="shared" si="4175"/>
        <v>0.46560000000000001</v>
      </c>
      <c r="BG623" s="27"/>
      <c r="BH623" s="27"/>
      <c r="BI623" s="27"/>
      <c r="CA623" s="20">
        <f t="shared" si="4176"/>
        <v>440</v>
      </c>
      <c r="CB623" s="20">
        <f t="shared" si="4177"/>
        <v>44000</v>
      </c>
    </row>
    <row r="624" spans="1:80" x14ac:dyDescent="0.15">
      <c r="A624">
        <v>6909</v>
      </c>
      <c r="B624" s="3" t="s">
        <v>132</v>
      </c>
      <c r="C624" s="4" t="s">
        <v>109</v>
      </c>
      <c r="D624" s="4" t="s">
        <v>110</v>
      </c>
      <c r="E624" s="5">
        <v>5</v>
      </c>
      <c r="F624" s="7" t="s">
        <v>140</v>
      </c>
      <c r="G624" s="5">
        <v>3</v>
      </c>
      <c r="H624" s="7" t="s">
        <v>140</v>
      </c>
      <c r="I624" s="5">
        <v>0</v>
      </c>
      <c r="J624" s="7">
        <v>0</v>
      </c>
      <c r="K624">
        <v>6</v>
      </c>
      <c r="L624">
        <v>1.5</v>
      </c>
      <c r="M624" s="5">
        <v>1.5</v>
      </c>
      <c r="N624" s="5">
        <v>10</v>
      </c>
      <c r="O624" s="5">
        <f t="shared" si="4157"/>
        <v>101639</v>
      </c>
      <c r="P624" s="5">
        <f t="shared" si="4158"/>
        <v>563472000</v>
      </c>
      <c r="Q624" s="5">
        <f t="shared" si="4159"/>
        <v>9391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70091</v>
      </c>
      <c r="X624" s="6" t="s">
        <v>187</v>
      </c>
      <c r="Y624" s="5">
        <v>300</v>
      </c>
      <c r="Z624" s="5">
        <v>1</v>
      </c>
      <c r="AA624" s="5">
        <v>214953984</v>
      </c>
      <c r="AB624" s="16" t="s">
        <v>111</v>
      </c>
      <c r="AC624" s="7" t="s">
        <v>112</v>
      </c>
      <c r="AD624" s="7" t="s">
        <v>112</v>
      </c>
      <c r="AE624" s="7" t="s">
        <v>112</v>
      </c>
      <c r="AF624" s="6" t="s">
        <v>113</v>
      </c>
      <c r="AG624" s="26" t="str">
        <f t="shared" ref="AG624" si="4476">CM$12</f>
        <v>4,33,28,33,6,4,33,28,33,6</v>
      </c>
      <c r="AH624" s="26" t="str">
        <f t="shared" ref="AH624" si="4477">CN$12</f>
        <v>0,5,0,5,1,0,5,0,5,1</v>
      </c>
      <c r="AI624" s="26" t="str">
        <f t="shared" ref="AI624" si="4478">CO$12</f>
        <v>0,0,0,0,1,0,0,0,0,1</v>
      </c>
      <c r="AJ624" s="26" t="str">
        <f t="shared" ref="AJ624" si="4479">CP$12</f>
        <v>0,0,0,0,5,0,0,0,0,5</v>
      </c>
      <c r="AK624" s="26" t="str">
        <f t="shared" ref="AK624" si="4480">CQ$12</f>
        <v>100,1,1000,2,5,200,1,1000,2,5</v>
      </c>
      <c r="AL624" s="26" t="str">
        <f t="shared" ref="AL624" si="4481">CR$12</f>
        <v>5,5,5,5,5,5,5,5,5,5</v>
      </c>
      <c r="AM624" s="7">
        <v>2001</v>
      </c>
      <c r="AO624">
        <f t="shared" ref="AO624" si="4482">AQ624*100+9</f>
        <v>6909</v>
      </c>
      <c r="AP624">
        <v>620</v>
      </c>
      <c r="AQ624">
        <f t="shared" si="4167"/>
        <v>69</v>
      </c>
      <c r="AR624">
        <v>11</v>
      </c>
      <c r="AS624" s="17">
        <f t="shared" si="4248"/>
        <v>420</v>
      </c>
      <c r="AT624">
        <v>10</v>
      </c>
      <c r="AU624">
        <f t="shared" si="4168"/>
        <v>32</v>
      </c>
      <c r="AV624">
        <v>150</v>
      </c>
      <c r="AW624">
        <f t="shared" si="4169"/>
        <v>101639.94623999999</v>
      </c>
      <c r="AX624">
        <f t="shared" si="4298"/>
        <v>563471999.99999988</v>
      </c>
      <c r="AY624">
        <f t="shared" si="4170"/>
        <v>9391.1999999999989</v>
      </c>
      <c r="AZ624">
        <f t="shared" si="4171"/>
        <v>18782.399999999998</v>
      </c>
      <c r="BA624">
        <f t="shared" si="4172"/>
        <v>115583.99999999999</v>
      </c>
      <c r="BB624">
        <f t="shared" si="4173"/>
        <v>4695.5999999999995</v>
      </c>
      <c r="BC624">
        <f t="shared" si="4299"/>
        <v>563471999.99999988</v>
      </c>
      <c r="BD624">
        <f t="shared" si="4174"/>
        <v>0.29411764705882348</v>
      </c>
      <c r="BE624" s="27">
        <f t="shared" si="4300"/>
        <v>944564566.98239982</v>
      </c>
      <c r="BF624" s="30">
        <f t="shared" si="4175"/>
        <v>0.46560000000000001</v>
      </c>
      <c r="BG624" s="27"/>
      <c r="BH624" s="27"/>
      <c r="BI624" s="27"/>
      <c r="CA624" s="20">
        <f t="shared" si="4176"/>
        <v>440</v>
      </c>
      <c r="CB624" s="20">
        <f t="shared" si="4177"/>
        <v>44000</v>
      </c>
    </row>
    <row r="625" spans="1:80" x14ac:dyDescent="0.15">
      <c r="A625">
        <v>7001</v>
      </c>
      <c r="B625" s="3" t="s">
        <v>108</v>
      </c>
      <c r="C625" s="4" t="s">
        <v>109</v>
      </c>
      <c r="D625" s="4" t="s">
        <v>110</v>
      </c>
      <c r="E625" s="5">
        <v>3</v>
      </c>
      <c r="F625" s="7" t="s">
        <v>141</v>
      </c>
      <c r="G625" s="5">
        <v>2.5</v>
      </c>
      <c r="H625" s="7" t="s">
        <v>194</v>
      </c>
      <c r="I625" s="5">
        <v>0</v>
      </c>
      <c r="J625" s="5">
        <v>0</v>
      </c>
      <c r="K625">
        <v>2</v>
      </c>
      <c r="L625">
        <v>1.5</v>
      </c>
      <c r="M625" s="5">
        <v>1.5</v>
      </c>
      <c r="N625" s="5">
        <v>10</v>
      </c>
      <c r="O625" s="5">
        <f t="shared" si="4157"/>
        <v>93519</v>
      </c>
      <c r="P625" s="5">
        <f t="shared" si="4158"/>
        <v>517608000</v>
      </c>
      <c r="Q625" s="5">
        <f t="shared" si="4159"/>
        <v>8626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70011</v>
      </c>
      <c r="X625" s="6" t="s">
        <v>179</v>
      </c>
      <c r="Y625" s="5">
        <v>300</v>
      </c>
      <c r="Z625" s="5">
        <v>1</v>
      </c>
      <c r="AA625" s="5">
        <v>220361420</v>
      </c>
      <c r="AB625" s="16" t="s">
        <v>111</v>
      </c>
      <c r="AC625" s="7" t="s">
        <v>112</v>
      </c>
      <c r="AD625" s="7" t="s">
        <v>112</v>
      </c>
      <c r="AE625" s="7" t="s">
        <v>112</v>
      </c>
      <c r="AF625" s="6" t="s">
        <v>113</v>
      </c>
      <c r="AG625" s="26" t="str">
        <f t="shared" ref="AG625" si="4483">CM$4</f>
        <v>4,33,28,33,6,4,33,28,33,6</v>
      </c>
      <c r="AH625" s="26" t="str">
        <f t="shared" ref="AH625" si="4484">CN$4</f>
        <v>0,8,0,8,1,0,8,0,8,1</v>
      </c>
      <c r="AI625" s="26" t="str">
        <f t="shared" ref="AI625" si="4485">CO$4</f>
        <v>0,0,0,0,1,0,0,0,0,1</v>
      </c>
      <c r="AJ625" s="26" t="str">
        <f t="shared" ref="AJ625" si="4486">CP$4</f>
        <v>0,0,0,0,5,0,0,0,0,5</v>
      </c>
      <c r="AK625" s="26" t="str">
        <f t="shared" ref="AK625" si="4487">CQ$4</f>
        <v>100,1,1000,2,5,200,1,1000,2,5</v>
      </c>
      <c r="AL625" s="26" t="str">
        <f t="shared" ref="AL625" si="4488">CR$4</f>
        <v>5,5,5,5,5,5,5,5,5,5</v>
      </c>
      <c r="AM625" s="7">
        <v>2001</v>
      </c>
      <c r="AO625">
        <f t="shared" ref="AO625" si="4489">AQ625*100+1</f>
        <v>7001</v>
      </c>
      <c r="AP625">
        <v>621</v>
      </c>
      <c r="AQ625">
        <f t="shared" si="4167"/>
        <v>70</v>
      </c>
      <c r="AR625">
        <v>11</v>
      </c>
      <c r="AS625" s="17">
        <f t="shared" si="4248"/>
        <v>385</v>
      </c>
      <c r="AT625">
        <v>10</v>
      </c>
      <c r="AU625">
        <f t="shared" si="4168"/>
        <v>34</v>
      </c>
      <c r="AV625">
        <v>150</v>
      </c>
      <c r="AW625">
        <f t="shared" si="4169"/>
        <v>93519.820799999987</v>
      </c>
      <c r="AX625">
        <f t="shared" si="4298"/>
        <v>517608000</v>
      </c>
      <c r="AY625">
        <f t="shared" si="4170"/>
        <v>8626.7999999999993</v>
      </c>
      <c r="AZ625">
        <f t="shared" si="4171"/>
        <v>17253.599999999999</v>
      </c>
      <c r="BA625">
        <f t="shared" si="4172"/>
        <v>106175.99999999999</v>
      </c>
      <c r="BB625">
        <f t="shared" si="4173"/>
        <v>4313.3999999999996</v>
      </c>
      <c r="BC625">
        <f t="shared" si="4299"/>
        <v>517608000</v>
      </c>
      <c r="BD625">
        <f t="shared" si="4174"/>
        <v>0.29411764705882354</v>
      </c>
      <c r="BE625" s="27">
        <f t="shared" si="4300"/>
        <v>797056173.95040023</v>
      </c>
      <c r="BF625" s="30">
        <f t="shared" si="4175"/>
        <v>0.46799999999999997</v>
      </c>
      <c r="BG625" s="27"/>
      <c r="BH625" s="27"/>
      <c r="BI625" s="27"/>
      <c r="CA625" s="20">
        <f t="shared" si="4176"/>
        <v>445</v>
      </c>
      <c r="CB625" s="20">
        <f t="shared" si="4177"/>
        <v>44500</v>
      </c>
    </row>
    <row r="626" spans="1:80" x14ac:dyDescent="0.15">
      <c r="A626">
        <v>7002</v>
      </c>
      <c r="B626" s="3" t="s">
        <v>115</v>
      </c>
      <c r="C626" s="4" t="s">
        <v>109</v>
      </c>
      <c r="D626" s="6" t="s">
        <v>110</v>
      </c>
      <c r="E626" s="5">
        <v>3</v>
      </c>
      <c r="F626" s="7" t="s">
        <v>142</v>
      </c>
      <c r="G626" s="5">
        <v>3</v>
      </c>
      <c r="H626" s="7" t="s">
        <v>188</v>
      </c>
      <c r="I626" s="5">
        <v>0</v>
      </c>
      <c r="J626" s="5">
        <v>0</v>
      </c>
      <c r="K626">
        <v>2</v>
      </c>
      <c r="L626">
        <v>1.5</v>
      </c>
      <c r="M626" s="5">
        <v>1.5</v>
      </c>
      <c r="N626" s="5">
        <v>10</v>
      </c>
      <c r="O626" s="5">
        <f t="shared" si="4157"/>
        <v>94703</v>
      </c>
      <c r="P626" s="5">
        <f t="shared" si="4158"/>
        <v>524160000</v>
      </c>
      <c r="Q626" s="5">
        <f t="shared" si="4159"/>
        <v>8736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70021</v>
      </c>
      <c r="X626" s="6" t="s">
        <v>180</v>
      </c>
      <c r="Y626" s="5">
        <v>300</v>
      </c>
      <c r="Z626" s="5">
        <v>1</v>
      </c>
      <c r="AA626" s="5">
        <v>183920003</v>
      </c>
      <c r="AB626" s="16" t="s">
        <v>111</v>
      </c>
      <c r="AC626" s="7" t="s">
        <v>112</v>
      </c>
      <c r="AD626" s="7" t="s">
        <v>112</v>
      </c>
      <c r="AE626" s="7" t="s">
        <v>112</v>
      </c>
      <c r="AF626" s="6" t="s">
        <v>113</v>
      </c>
      <c r="AG626" s="26" t="str">
        <f t="shared" ref="AG626" si="4490">CM$5</f>
        <v>4,33,28,33,6,4,33,28,33,6</v>
      </c>
      <c r="AH626" s="26" t="str">
        <f t="shared" ref="AH626" si="4491">CN$5</f>
        <v>0,7,0,7,1,0,7,0,7,1</v>
      </c>
      <c r="AI626" s="26" t="str">
        <f t="shared" ref="AI626" si="4492">CO$5</f>
        <v>0,0,0,0,1,0,0,0,0,1</v>
      </c>
      <c r="AJ626" s="26" t="str">
        <f t="shared" ref="AJ626" si="4493">CP$5</f>
        <v>0,0,0,0,5,0,0,0,0,5</v>
      </c>
      <c r="AK626" s="26" t="str">
        <f t="shared" ref="AK626" si="4494">CQ$5</f>
        <v>100,1,1000,2,5,200,1,1000,2,5</v>
      </c>
      <c r="AL626" s="26" t="str">
        <f t="shared" ref="AL626" si="4495">CR$5</f>
        <v>5,5,5,5,5,5,5,5,5,5</v>
      </c>
      <c r="AM626" s="7">
        <v>2001</v>
      </c>
      <c r="AO626">
        <f t="shared" ref="AO626" si="4496">AQ626*100+2</f>
        <v>7002</v>
      </c>
      <c r="AP626">
        <v>622</v>
      </c>
      <c r="AQ626">
        <f t="shared" si="4167"/>
        <v>70</v>
      </c>
      <c r="AR626">
        <v>11</v>
      </c>
      <c r="AS626" s="17">
        <f t="shared" si="4248"/>
        <v>390</v>
      </c>
      <c r="AT626">
        <v>10</v>
      </c>
      <c r="AU626">
        <f t="shared" si="4168"/>
        <v>34</v>
      </c>
      <c r="AV626">
        <v>150</v>
      </c>
      <c r="AW626">
        <f t="shared" si="4169"/>
        <v>94703.61599999998</v>
      </c>
      <c r="AX626">
        <f t="shared" si="4298"/>
        <v>524160000</v>
      </c>
      <c r="AY626">
        <f t="shared" si="4170"/>
        <v>8736</v>
      </c>
      <c r="AZ626">
        <f t="shared" si="4171"/>
        <v>17472</v>
      </c>
      <c r="BA626">
        <f t="shared" si="4172"/>
        <v>107519.99999999999</v>
      </c>
      <c r="BB626">
        <f t="shared" si="4173"/>
        <v>4368</v>
      </c>
      <c r="BC626">
        <f t="shared" si="4299"/>
        <v>524160000</v>
      </c>
      <c r="BD626">
        <f t="shared" si="4174"/>
        <v>0.29411764705882354</v>
      </c>
      <c r="BE626" s="27">
        <f t="shared" si="4300"/>
        <v>817362524.16000009</v>
      </c>
      <c r="BF626" s="30">
        <f t="shared" si="4175"/>
        <v>0.46799999999999997</v>
      </c>
      <c r="BG626" s="27"/>
      <c r="BH626" s="27"/>
      <c r="BI626" s="27"/>
      <c r="CA626" s="20">
        <f t="shared" si="4176"/>
        <v>445</v>
      </c>
      <c r="CB626" s="20">
        <f t="shared" si="4177"/>
        <v>44500</v>
      </c>
    </row>
    <row r="627" spans="1:80" x14ac:dyDescent="0.15">
      <c r="A627">
        <v>7003</v>
      </c>
      <c r="B627" s="3" t="s">
        <v>117</v>
      </c>
      <c r="C627" s="4" t="s">
        <v>109</v>
      </c>
      <c r="D627" s="4" t="s">
        <v>110</v>
      </c>
      <c r="E627" s="5">
        <v>1</v>
      </c>
      <c r="F627" s="7" t="s">
        <v>144</v>
      </c>
      <c r="G627" s="5">
        <v>3</v>
      </c>
      <c r="H627" s="7" t="s">
        <v>189</v>
      </c>
      <c r="I627" s="5">
        <v>0</v>
      </c>
      <c r="J627" s="2">
        <v>0</v>
      </c>
      <c r="K627">
        <v>6</v>
      </c>
      <c r="L627">
        <v>1.5</v>
      </c>
      <c r="M627" s="5">
        <v>1.5</v>
      </c>
      <c r="N627" s="5">
        <v>10</v>
      </c>
      <c r="O627" s="5">
        <f t="shared" si="4157"/>
        <v>95887</v>
      </c>
      <c r="P627" s="5">
        <f t="shared" si="4158"/>
        <v>530712000</v>
      </c>
      <c r="Q627" s="5">
        <f t="shared" si="4159"/>
        <v>8845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70031</v>
      </c>
      <c r="X627" s="6" t="s">
        <v>181</v>
      </c>
      <c r="Y627" s="5">
        <v>300</v>
      </c>
      <c r="Z627" s="5">
        <v>1</v>
      </c>
      <c r="AA627" s="5">
        <v>188924400</v>
      </c>
      <c r="AB627" s="16" t="s">
        <v>111</v>
      </c>
      <c r="AC627" s="7" t="s">
        <v>112</v>
      </c>
      <c r="AD627" s="7" t="s">
        <v>112</v>
      </c>
      <c r="AE627" s="7" t="s">
        <v>112</v>
      </c>
      <c r="AF627" s="6" t="s">
        <v>113</v>
      </c>
      <c r="AG627" s="26" t="str">
        <f t="shared" ref="AG627" si="4497">CM$6</f>
        <v>4,28,6,28,6,4,28,6,28,6</v>
      </c>
      <c r="AH627" s="26" t="str">
        <f t="shared" ref="AH627" si="4498">CN$6</f>
        <v>0,0,1,0,1,0,0,1,0,1</v>
      </c>
      <c r="AI627" s="26" t="str">
        <f t="shared" ref="AI627" si="4499">CO$6</f>
        <v>0,0,0,0,1,0,0,0,0,1</v>
      </c>
      <c r="AJ627" s="26" t="str">
        <f t="shared" ref="AJ627" si="4500">CP$6</f>
        <v>0,0,5,0,5,0,0,5,0,5</v>
      </c>
      <c r="AK627" s="26" t="str">
        <f t="shared" ref="AK627" si="4501">CQ$6</f>
        <v>100,1000,5,1500,5,200,1000,5,1500,5</v>
      </c>
      <c r="AL627" s="26" t="str">
        <f t="shared" ref="AL627" si="4502">CR$6</f>
        <v>5,5,5,5,5,5,5,5,5,5</v>
      </c>
      <c r="AM627" s="7">
        <v>2001</v>
      </c>
      <c r="AO627">
        <f t="shared" ref="AO627" si="4503">AQ627*100+3</f>
        <v>7003</v>
      </c>
      <c r="AP627">
        <v>623</v>
      </c>
      <c r="AQ627">
        <f t="shared" si="4167"/>
        <v>70</v>
      </c>
      <c r="AR627">
        <v>11</v>
      </c>
      <c r="AS627" s="17">
        <f t="shared" si="4248"/>
        <v>395</v>
      </c>
      <c r="AT627">
        <v>10</v>
      </c>
      <c r="AU627">
        <f t="shared" si="4168"/>
        <v>34</v>
      </c>
      <c r="AV627">
        <v>150</v>
      </c>
      <c r="AW627">
        <f t="shared" si="4169"/>
        <v>95887.411199999973</v>
      </c>
      <c r="AX627">
        <f t="shared" si="4298"/>
        <v>530711999.99999988</v>
      </c>
      <c r="AY627">
        <f t="shared" si="4170"/>
        <v>8845.1999999999989</v>
      </c>
      <c r="AZ627">
        <f t="shared" si="4171"/>
        <v>17690.399999999998</v>
      </c>
      <c r="BA627">
        <f t="shared" si="4172"/>
        <v>108863.99999999999</v>
      </c>
      <c r="BB627">
        <f t="shared" si="4173"/>
        <v>4422.5999999999995</v>
      </c>
      <c r="BC627">
        <f t="shared" si="4299"/>
        <v>530711999.99999988</v>
      </c>
      <c r="BD627">
        <f t="shared" si="4174"/>
        <v>0.29411764705882348</v>
      </c>
      <c r="BE627" s="27">
        <f t="shared" si="4300"/>
        <v>837924300.15839982</v>
      </c>
      <c r="BF627" s="30">
        <f t="shared" si="4175"/>
        <v>0.46799999999999997</v>
      </c>
      <c r="BG627" s="27"/>
      <c r="BH627" s="27"/>
      <c r="BI627" s="27"/>
      <c r="CA627" s="20">
        <f t="shared" si="4176"/>
        <v>445</v>
      </c>
      <c r="CB627" s="20">
        <f t="shared" si="4177"/>
        <v>44500</v>
      </c>
    </row>
    <row r="628" spans="1:80" x14ac:dyDescent="0.15">
      <c r="A628">
        <v>7004</v>
      </c>
      <c r="B628" s="3" t="s">
        <v>119</v>
      </c>
      <c r="C628" s="4" t="s">
        <v>109</v>
      </c>
      <c r="D628" s="6" t="s">
        <v>120</v>
      </c>
      <c r="E628" s="5">
        <v>3</v>
      </c>
      <c r="F628" s="7" t="s">
        <v>145</v>
      </c>
      <c r="G628" s="5">
        <v>3</v>
      </c>
      <c r="H628" s="7" t="s">
        <v>190</v>
      </c>
      <c r="I628" s="5">
        <v>0</v>
      </c>
      <c r="J628" s="5">
        <v>0</v>
      </c>
      <c r="K628">
        <v>2</v>
      </c>
      <c r="L628">
        <v>1.5</v>
      </c>
      <c r="M628" s="5">
        <v>1.5</v>
      </c>
      <c r="N628" s="5">
        <v>10</v>
      </c>
      <c r="O628" s="5">
        <f t="shared" si="4157"/>
        <v>97071</v>
      </c>
      <c r="P628" s="5">
        <f t="shared" si="4158"/>
        <v>537264000</v>
      </c>
      <c r="Q628" s="5">
        <f t="shared" si="4159"/>
        <v>8954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70041</v>
      </c>
      <c r="X628" s="6" t="s">
        <v>182</v>
      </c>
      <c r="Y628" s="5">
        <v>300</v>
      </c>
      <c r="Z628" s="5">
        <v>1</v>
      </c>
      <c r="AA628" s="5">
        <v>193995971</v>
      </c>
      <c r="AB628" s="16" t="s">
        <v>111</v>
      </c>
      <c r="AC628" s="7" t="s">
        <v>112</v>
      </c>
      <c r="AD628" s="7" t="s">
        <v>112</v>
      </c>
      <c r="AE628" s="7" t="s">
        <v>112</v>
      </c>
      <c r="AF628" s="6" t="s">
        <v>113</v>
      </c>
      <c r="AG628" s="26" t="str">
        <f t="shared" ref="AG628" si="4504">CM$7</f>
        <v>4,14,28,14,6,4,14,28,14,6</v>
      </c>
      <c r="AH628" s="26" t="str">
        <f t="shared" ref="AH628" si="4505">CN$7</f>
        <v>0,0,0,0,1,0,0,0,0,1</v>
      </c>
      <c r="AI628" s="26" t="str">
        <f t="shared" ref="AI628" si="4506">CO$7</f>
        <v>0,0,0,0,1,0,0,0,0,1</v>
      </c>
      <c r="AJ628" s="26" t="str">
        <f t="shared" ref="AJ628" si="4507">CP$7</f>
        <v>0,0,0,0,5,0,0,0,0,5</v>
      </c>
      <c r="AK628" s="26" t="str">
        <f t="shared" ref="AK628" si="4508">CQ$7</f>
        <v>100,1,1000,2,5,200,1,1000,2,5</v>
      </c>
      <c r="AL628" s="26" t="str">
        <f t="shared" ref="AL628" si="4509">CR$7</f>
        <v>5,5,5,5,5,5,5,5,5,5</v>
      </c>
      <c r="AM628" s="7">
        <v>2001</v>
      </c>
      <c r="AO628">
        <f t="shared" ref="AO628" si="4510">AQ628*100+4</f>
        <v>7004</v>
      </c>
      <c r="AP628">
        <v>624</v>
      </c>
      <c r="AQ628">
        <f t="shared" si="4167"/>
        <v>70</v>
      </c>
      <c r="AR628">
        <v>11</v>
      </c>
      <c r="AS628" s="17">
        <f t="shared" si="4248"/>
        <v>400</v>
      </c>
      <c r="AT628">
        <v>10</v>
      </c>
      <c r="AU628">
        <f t="shared" si="4168"/>
        <v>34</v>
      </c>
      <c r="AV628">
        <v>150</v>
      </c>
      <c r="AW628">
        <f t="shared" si="4169"/>
        <v>97071.206399999981</v>
      </c>
      <c r="AX628">
        <f t="shared" si="4298"/>
        <v>537264000</v>
      </c>
      <c r="AY628">
        <f t="shared" si="4170"/>
        <v>8954.4</v>
      </c>
      <c r="AZ628">
        <f t="shared" si="4171"/>
        <v>17908.8</v>
      </c>
      <c r="BA628">
        <f t="shared" si="4172"/>
        <v>110207.99999999999</v>
      </c>
      <c r="BB628">
        <f t="shared" si="4173"/>
        <v>4477.2</v>
      </c>
      <c r="BC628">
        <f t="shared" si="4299"/>
        <v>537264000</v>
      </c>
      <c r="BD628">
        <f t="shared" si="4174"/>
        <v>0.29411764705882354</v>
      </c>
      <c r="BE628" s="27">
        <f t="shared" si="4300"/>
        <v>858741501.94560003</v>
      </c>
      <c r="BF628" s="30">
        <f t="shared" si="4175"/>
        <v>0.46799999999999997</v>
      </c>
      <c r="BG628" s="27"/>
      <c r="BH628" s="27"/>
      <c r="BI628" s="27"/>
      <c r="CA628" s="20">
        <f t="shared" si="4176"/>
        <v>445</v>
      </c>
      <c r="CB628" s="20">
        <f t="shared" si="4177"/>
        <v>44500</v>
      </c>
    </row>
    <row r="629" spans="1:80" x14ac:dyDescent="0.15">
      <c r="A629">
        <v>7005</v>
      </c>
      <c r="B629" s="3" t="s">
        <v>122</v>
      </c>
      <c r="C629" s="4" t="s">
        <v>109</v>
      </c>
      <c r="D629" s="4" t="s">
        <v>110</v>
      </c>
      <c r="E629" s="5">
        <v>2</v>
      </c>
      <c r="F629" s="7" t="s">
        <v>146</v>
      </c>
      <c r="G629" s="5">
        <v>3</v>
      </c>
      <c r="H629" s="7" t="s">
        <v>191</v>
      </c>
      <c r="I629" s="5">
        <v>0</v>
      </c>
      <c r="J629" s="7" t="s">
        <v>148</v>
      </c>
      <c r="K629">
        <v>6</v>
      </c>
      <c r="L629">
        <v>1.5</v>
      </c>
      <c r="M629" s="5">
        <v>1.5</v>
      </c>
      <c r="N629" s="5">
        <v>10</v>
      </c>
      <c r="O629" s="5">
        <f t="shared" si="4157"/>
        <v>98255</v>
      </c>
      <c r="P629" s="5">
        <f t="shared" si="4158"/>
        <v>543816000</v>
      </c>
      <c r="Q629" s="5">
        <f t="shared" si="4159"/>
        <v>9063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70051</v>
      </c>
      <c r="X629" s="6" t="s">
        <v>183</v>
      </c>
      <c r="Y629" s="5">
        <v>300</v>
      </c>
      <c r="Z629" s="5">
        <v>1</v>
      </c>
      <c r="AA629" s="5">
        <v>199134714</v>
      </c>
      <c r="AB629" s="16" t="s">
        <v>111</v>
      </c>
      <c r="AC629" s="7" t="s">
        <v>112</v>
      </c>
      <c r="AD629" s="7" t="s">
        <v>112</v>
      </c>
      <c r="AE629" s="7" t="s">
        <v>112</v>
      </c>
      <c r="AF629" s="6" t="s">
        <v>113</v>
      </c>
      <c r="AG629" s="26" t="str">
        <f t="shared" ref="AG629" si="4511">CM$8</f>
        <v>4,19,28,19,6,4,19,28,19,6</v>
      </c>
      <c r="AH629" s="26" t="str">
        <f t="shared" ref="AH629" si="4512">CN$8</f>
        <v>0,0,0,0,1,0,0,0,0,1</v>
      </c>
      <c r="AI629" s="26" t="str">
        <f t="shared" ref="AI629" si="4513">CO$8</f>
        <v>0,0,0,0,1,0,0,0,0,1</v>
      </c>
      <c r="AJ629" s="26" t="str">
        <f t="shared" ref="AJ629" si="4514">CP$8</f>
        <v>0,0,0,0,5,0,0,0,0,5</v>
      </c>
      <c r="AK629" s="26" t="str">
        <f t="shared" ref="AK629" si="4515">CQ$8</f>
        <v>200,100,1000,200,5,200,100,1000,200,5</v>
      </c>
      <c r="AL629" s="26" t="str">
        <f t="shared" ref="AL629" si="4516">CR$8</f>
        <v>5,5,5,5,5,5,5,5,5,5</v>
      </c>
      <c r="AM629" s="7">
        <v>2001</v>
      </c>
      <c r="AO629">
        <f t="shared" ref="AO629" si="4517">AQ629*100+5</f>
        <v>7005</v>
      </c>
      <c r="AP629">
        <v>625</v>
      </c>
      <c r="AQ629">
        <f t="shared" si="4167"/>
        <v>70</v>
      </c>
      <c r="AR629">
        <v>11</v>
      </c>
      <c r="AS629" s="17">
        <f t="shared" si="4248"/>
        <v>405</v>
      </c>
      <c r="AT629">
        <v>10</v>
      </c>
      <c r="AU629">
        <f t="shared" si="4168"/>
        <v>34</v>
      </c>
      <c r="AV629">
        <v>150</v>
      </c>
      <c r="AW629">
        <f t="shared" si="4169"/>
        <v>98255.001599999974</v>
      </c>
      <c r="AX629">
        <f t="shared" si="4298"/>
        <v>543816000</v>
      </c>
      <c r="AY629">
        <f t="shared" si="4170"/>
        <v>9063.6</v>
      </c>
      <c r="AZ629">
        <f t="shared" si="4171"/>
        <v>18127.2</v>
      </c>
      <c r="BA629">
        <f t="shared" si="4172"/>
        <v>111551.99999999999</v>
      </c>
      <c r="BB629">
        <f t="shared" si="4173"/>
        <v>4531.8</v>
      </c>
      <c r="BC629">
        <f t="shared" si="4299"/>
        <v>543816000</v>
      </c>
      <c r="BD629">
        <f t="shared" si="4174"/>
        <v>0.29411764705882348</v>
      </c>
      <c r="BE629" s="27">
        <f t="shared" si="4300"/>
        <v>879814129.52160001</v>
      </c>
      <c r="BF629" s="30">
        <f t="shared" si="4175"/>
        <v>0.46799999999999997</v>
      </c>
      <c r="BG629" s="27"/>
      <c r="BH629" s="27"/>
      <c r="BI629" s="27"/>
      <c r="CA629" s="20">
        <f t="shared" si="4176"/>
        <v>445</v>
      </c>
      <c r="CB629" s="20">
        <f t="shared" si="4177"/>
        <v>44500</v>
      </c>
    </row>
    <row r="630" spans="1:80" x14ac:dyDescent="0.15">
      <c r="A630">
        <v>7006</v>
      </c>
      <c r="B630" s="3" t="s">
        <v>124</v>
      </c>
      <c r="C630" s="4" t="s">
        <v>109</v>
      </c>
      <c r="D630" s="6" t="s">
        <v>120</v>
      </c>
      <c r="E630" s="5">
        <v>1</v>
      </c>
      <c r="F630" s="7" t="s">
        <v>147</v>
      </c>
      <c r="G630" s="5">
        <v>3</v>
      </c>
      <c r="H630" s="7" t="s">
        <v>192</v>
      </c>
      <c r="I630" s="5">
        <v>0</v>
      </c>
      <c r="J630" s="7" t="s">
        <v>149</v>
      </c>
      <c r="K630">
        <v>6</v>
      </c>
      <c r="L630">
        <v>1.5</v>
      </c>
      <c r="M630" s="5">
        <v>1.5</v>
      </c>
      <c r="N630" s="5">
        <v>10</v>
      </c>
      <c r="O630" s="5">
        <f t="shared" si="4157"/>
        <v>99438</v>
      </c>
      <c r="P630" s="5">
        <f t="shared" si="4158"/>
        <v>550368000</v>
      </c>
      <c r="Q630" s="5">
        <f t="shared" si="4159"/>
        <v>9172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70061</v>
      </c>
      <c r="X630" s="6" t="s">
        <v>184</v>
      </c>
      <c r="Y630" s="5">
        <v>300</v>
      </c>
      <c r="Z630" s="5">
        <v>1</v>
      </c>
      <c r="AA630" s="5">
        <v>204340631</v>
      </c>
      <c r="AB630" s="16" t="s">
        <v>111</v>
      </c>
      <c r="AC630" s="7" t="s">
        <v>112</v>
      </c>
      <c r="AD630" s="7" t="s">
        <v>112</v>
      </c>
      <c r="AE630" s="7" t="s">
        <v>112</v>
      </c>
      <c r="AF630" s="6" t="s">
        <v>113</v>
      </c>
      <c r="AG630" s="26" t="str">
        <f t="shared" ref="AG630" si="4518">CM$9</f>
        <v>4,33,28,33,6,4,33,28,33,6</v>
      </c>
      <c r="AH630" s="26" t="str">
        <f t="shared" ref="AH630" si="4519">CN$9</f>
        <v>0,6,0,6,1,0,6,0,6,1</v>
      </c>
      <c r="AI630" s="26" t="str">
        <f t="shared" ref="AI630" si="4520">CO$9</f>
        <v>0,0,0,0,1,0,0,0,0,1</v>
      </c>
      <c r="AJ630" s="26" t="str">
        <f t="shared" ref="AJ630" si="4521">CP$9</f>
        <v>0,0,0,0,5,0,0,0,0,5</v>
      </c>
      <c r="AK630" s="26" t="str">
        <f t="shared" ref="AK630" si="4522">CQ$9</f>
        <v>200,1,1000,2,5,200,1,1000,2,5</v>
      </c>
      <c r="AL630" s="26" t="str">
        <f t="shared" ref="AL630" si="4523">CR$9</f>
        <v>5,5,5,5,5,5,5,5,5,5</v>
      </c>
      <c r="AM630" s="7">
        <v>2001</v>
      </c>
      <c r="AO630">
        <f t="shared" ref="AO630" si="4524">AQ630*100+6</f>
        <v>7006</v>
      </c>
      <c r="AP630">
        <v>626</v>
      </c>
      <c r="AQ630">
        <f t="shared" si="4167"/>
        <v>70</v>
      </c>
      <c r="AR630">
        <v>11</v>
      </c>
      <c r="AS630" s="17">
        <f t="shared" si="4248"/>
        <v>410</v>
      </c>
      <c r="AT630">
        <v>10</v>
      </c>
      <c r="AU630">
        <f t="shared" si="4168"/>
        <v>34</v>
      </c>
      <c r="AV630">
        <v>150</v>
      </c>
      <c r="AW630">
        <f t="shared" si="4169"/>
        <v>99438.796799999982</v>
      </c>
      <c r="AX630">
        <f t="shared" si="4298"/>
        <v>550368000</v>
      </c>
      <c r="AY630">
        <f t="shared" si="4170"/>
        <v>9172.7999999999993</v>
      </c>
      <c r="AZ630">
        <f t="shared" si="4171"/>
        <v>18345.599999999999</v>
      </c>
      <c r="BA630">
        <f t="shared" si="4172"/>
        <v>112895.99999999999</v>
      </c>
      <c r="BB630">
        <f t="shared" si="4173"/>
        <v>4586.3999999999996</v>
      </c>
      <c r="BC630">
        <f t="shared" si="4299"/>
        <v>550368000</v>
      </c>
      <c r="BD630">
        <f t="shared" si="4174"/>
        <v>0.29411764705882354</v>
      </c>
      <c r="BE630" s="27">
        <f t="shared" si="4300"/>
        <v>901142182.88640022</v>
      </c>
      <c r="BF630" s="30">
        <f t="shared" si="4175"/>
        <v>0.46799999999999997</v>
      </c>
      <c r="BG630" s="27"/>
      <c r="BH630" s="27"/>
      <c r="BI630" s="27"/>
      <c r="CA630" s="20">
        <f t="shared" si="4176"/>
        <v>445</v>
      </c>
      <c r="CB630" s="20">
        <f t="shared" si="4177"/>
        <v>44500</v>
      </c>
    </row>
    <row r="631" spans="1:80" x14ac:dyDescent="0.15">
      <c r="A631">
        <v>7007</v>
      </c>
      <c r="B631" s="3" t="s">
        <v>126</v>
      </c>
      <c r="C631" s="4" t="s">
        <v>109</v>
      </c>
      <c r="D631" s="4" t="s">
        <v>110</v>
      </c>
      <c r="E631" s="5">
        <v>2</v>
      </c>
      <c r="F631" s="7" t="s">
        <v>143</v>
      </c>
      <c r="G631" s="5">
        <v>3</v>
      </c>
      <c r="H631" s="7" t="s">
        <v>193</v>
      </c>
      <c r="I631" s="5">
        <v>0</v>
      </c>
      <c r="J631" s="5">
        <v>0</v>
      </c>
      <c r="K631">
        <v>2</v>
      </c>
      <c r="L631">
        <v>1.5</v>
      </c>
      <c r="M631" s="5">
        <v>1.5</v>
      </c>
      <c r="N631" s="5">
        <v>10</v>
      </c>
      <c r="O631" s="5">
        <f t="shared" si="4157"/>
        <v>100622</v>
      </c>
      <c r="P631" s="5">
        <f t="shared" si="4158"/>
        <v>556920000</v>
      </c>
      <c r="Q631" s="5">
        <f t="shared" si="4159"/>
        <v>9282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70071</v>
      </c>
      <c r="X631" s="6" t="s">
        <v>185</v>
      </c>
      <c r="Y631" s="5">
        <v>300</v>
      </c>
      <c r="Z631" s="5">
        <v>1</v>
      </c>
      <c r="AA631" s="5">
        <v>209613721</v>
      </c>
      <c r="AB631" s="16" t="s">
        <v>111</v>
      </c>
      <c r="AC631" s="7" t="s">
        <v>112</v>
      </c>
      <c r="AD631" s="7" t="s">
        <v>112</v>
      </c>
      <c r="AE631" s="7" t="s">
        <v>112</v>
      </c>
      <c r="AF631" s="6" t="s">
        <v>113</v>
      </c>
      <c r="AG631" s="26" t="str">
        <f t="shared" ref="AG631" si="4525">CM$10</f>
        <v>4,14,28,14,6,4,14,28,14,6</v>
      </c>
      <c r="AH631" s="26" t="str">
        <f t="shared" ref="AH631" si="4526">CN$10</f>
        <v>0,0,0,0,1,0,0,0,0,1</v>
      </c>
      <c r="AI631" s="26" t="str">
        <f t="shared" ref="AI631" si="4527">CO$10</f>
        <v>0,0,0,0,1,0,0,0,0,1</v>
      </c>
      <c r="AJ631" s="26" t="str">
        <f t="shared" ref="AJ631" si="4528">CP$10</f>
        <v>0,0,0,0,5,0,0,0,0,5</v>
      </c>
      <c r="AK631" s="26" t="str">
        <f t="shared" ref="AK631" si="4529">CQ$10</f>
        <v>200,1,1000,2,5,200,1,1000,2,5</v>
      </c>
      <c r="AL631" s="26" t="str">
        <f t="shared" ref="AL631" si="4530">CR$10</f>
        <v>5,5,5,5,5,5,5,5,5,5</v>
      </c>
      <c r="AM631" s="7">
        <v>2001</v>
      </c>
      <c r="AO631">
        <f t="shared" ref="AO631" si="4531">AQ631*100+7</f>
        <v>7007</v>
      </c>
      <c r="AP631">
        <v>627</v>
      </c>
      <c r="AQ631">
        <f t="shared" si="4167"/>
        <v>70</v>
      </c>
      <c r="AR631">
        <v>11</v>
      </c>
      <c r="AS631" s="17">
        <f t="shared" si="4248"/>
        <v>415</v>
      </c>
      <c r="AT631">
        <v>10</v>
      </c>
      <c r="AU631">
        <f t="shared" si="4168"/>
        <v>34</v>
      </c>
      <c r="AV631">
        <v>150</v>
      </c>
      <c r="AW631">
        <f t="shared" si="4169"/>
        <v>100622.59199999998</v>
      </c>
      <c r="AX631">
        <f t="shared" si="4298"/>
        <v>556920000</v>
      </c>
      <c r="AY631">
        <f t="shared" si="4170"/>
        <v>9282</v>
      </c>
      <c r="AZ631">
        <f t="shared" si="4171"/>
        <v>18564</v>
      </c>
      <c r="BA631">
        <f t="shared" si="4172"/>
        <v>114239.99999999999</v>
      </c>
      <c r="BB631">
        <f t="shared" si="4173"/>
        <v>4641</v>
      </c>
      <c r="BC631">
        <f t="shared" si="4299"/>
        <v>556920000</v>
      </c>
      <c r="BD631">
        <f t="shared" si="4174"/>
        <v>0.29411764705882354</v>
      </c>
      <c r="BE631" s="27">
        <f t="shared" si="4300"/>
        <v>922725662.0400002</v>
      </c>
      <c r="BF631" s="30">
        <f t="shared" si="4175"/>
        <v>0.46799999999999997</v>
      </c>
      <c r="BG631" s="27"/>
      <c r="BH631" s="27"/>
      <c r="BI631" s="27"/>
      <c r="CA631" s="20">
        <f t="shared" si="4176"/>
        <v>445</v>
      </c>
      <c r="CB631" s="20">
        <f t="shared" si="4177"/>
        <v>44500</v>
      </c>
    </row>
    <row r="632" spans="1:80" x14ac:dyDescent="0.15">
      <c r="A632">
        <v>7008</v>
      </c>
      <c r="B632" s="3" t="s">
        <v>128</v>
      </c>
      <c r="C632" s="4" t="s">
        <v>109</v>
      </c>
      <c r="D632" s="4" t="s">
        <v>110</v>
      </c>
      <c r="E632" s="5">
        <v>5</v>
      </c>
      <c r="F632" s="7" t="s">
        <v>129</v>
      </c>
      <c r="G632" s="5">
        <v>2</v>
      </c>
      <c r="H632" s="7" t="s">
        <v>130</v>
      </c>
      <c r="I632" s="5">
        <v>0</v>
      </c>
      <c r="J632" s="5">
        <v>0</v>
      </c>
      <c r="K632">
        <v>2</v>
      </c>
      <c r="L632">
        <v>1.5</v>
      </c>
      <c r="M632" s="5">
        <v>1.5</v>
      </c>
      <c r="N632" s="5">
        <v>10</v>
      </c>
      <c r="O632" s="5">
        <f t="shared" si="4157"/>
        <v>101806</v>
      </c>
      <c r="P632" s="5">
        <f t="shared" si="4158"/>
        <v>563472000</v>
      </c>
      <c r="Q632" s="5">
        <f t="shared" si="4159"/>
        <v>9391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70081</v>
      </c>
      <c r="X632" s="6" t="s">
        <v>186</v>
      </c>
      <c r="Y632" s="5">
        <v>300</v>
      </c>
      <c r="Z632" s="5">
        <v>1</v>
      </c>
      <c r="AA632" s="5">
        <v>214953984</v>
      </c>
      <c r="AB632" s="16" t="s">
        <v>111</v>
      </c>
      <c r="AC632" s="7" t="s">
        <v>112</v>
      </c>
      <c r="AD632" s="7" t="s">
        <v>112</v>
      </c>
      <c r="AE632" s="7" t="s">
        <v>112</v>
      </c>
      <c r="AF632" s="6" t="s">
        <v>113</v>
      </c>
      <c r="AG632" s="26" t="str">
        <f t="shared" ref="AG632" si="4532">CM$11</f>
        <v>4,28,6,28,6,4,28,6,28,6</v>
      </c>
      <c r="AH632" s="26" t="str">
        <f t="shared" ref="AH632" si="4533">CN$11</f>
        <v>0,0,1,0,1,0,0,1,0,1</v>
      </c>
      <c r="AI632" s="26" t="str">
        <f t="shared" ref="AI632" si="4534">CO$11</f>
        <v>0,0,1,0,1,0,0,1,0,1</v>
      </c>
      <c r="AJ632" s="26" t="str">
        <f t="shared" ref="AJ632" si="4535">CP$11</f>
        <v>0,0,5,0,5,0,0,5,0,5</v>
      </c>
      <c r="AK632" s="26" t="str">
        <f t="shared" ref="AK632" si="4536">CQ$11</f>
        <v>100,1000,5,1500,5,200,1000,5,1500,5</v>
      </c>
      <c r="AL632" s="26" t="str">
        <f t="shared" ref="AL632" si="4537">CR$11</f>
        <v>5,5,5,5,5,5,5,5,5,5</v>
      </c>
      <c r="AM632" s="7">
        <v>2001</v>
      </c>
      <c r="AO632">
        <f t="shared" ref="AO632" si="4538">AQ632*100+8</f>
        <v>7008</v>
      </c>
      <c r="AP632">
        <v>628</v>
      </c>
      <c r="AQ632">
        <f t="shared" si="4167"/>
        <v>70</v>
      </c>
      <c r="AR632">
        <v>11</v>
      </c>
      <c r="AS632" s="17">
        <f t="shared" si="4248"/>
        <v>420</v>
      </c>
      <c r="AT632">
        <v>10</v>
      </c>
      <c r="AU632">
        <f t="shared" si="4168"/>
        <v>34</v>
      </c>
      <c r="AV632">
        <v>150</v>
      </c>
      <c r="AW632">
        <f t="shared" si="4169"/>
        <v>101806.38719999998</v>
      </c>
      <c r="AX632">
        <f t="shared" si="4298"/>
        <v>563471999.99999988</v>
      </c>
      <c r="AY632">
        <f t="shared" si="4170"/>
        <v>9391.1999999999989</v>
      </c>
      <c r="AZ632">
        <f t="shared" si="4171"/>
        <v>18782.399999999998</v>
      </c>
      <c r="BA632">
        <f t="shared" si="4172"/>
        <v>115583.99999999999</v>
      </c>
      <c r="BB632">
        <f t="shared" si="4173"/>
        <v>4695.5999999999995</v>
      </c>
      <c r="BC632">
        <f t="shared" si="4299"/>
        <v>563471999.99999988</v>
      </c>
      <c r="BD632">
        <f t="shared" si="4174"/>
        <v>0.29411764705882348</v>
      </c>
      <c r="BE632" s="27">
        <f t="shared" si="4300"/>
        <v>944564566.98239982</v>
      </c>
      <c r="BF632" s="30">
        <f t="shared" si="4175"/>
        <v>0.46799999999999997</v>
      </c>
      <c r="BG632" s="27"/>
      <c r="BH632" s="27"/>
      <c r="BI632" s="27"/>
      <c r="CA632" s="20">
        <f t="shared" si="4176"/>
        <v>445</v>
      </c>
      <c r="CB632" s="20">
        <f t="shared" si="4177"/>
        <v>44500</v>
      </c>
    </row>
    <row r="633" spans="1:80" x14ac:dyDescent="0.15">
      <c r="A633">
        <v>7009</v>
      </c>
      <c r="B633" s="3" t="s">
        <v>132</v>
      </c>
      <c r="C633" s="4" t="s">
        <v>109</v>
      </c>
      <c r="D633" s="4" t="s">
        <v>110</v>
      </c>
      <c r="E633" s="5">
        <v>5</v>
      </c>
      <c r="F633" s="7" t="s">
        <v>140</v>
      </c>
      <c r="G633" s="5">
        <v>3</v>
      </c>
      <c r="H633" s="7" t="s">
        <v>140</v>
      </c>
      <c r="I633" s="5">
        <v>0</v>
      </c>
      <c r="J633" s="7">
        <v>0</v>
      </c>
      <c r="K633">
        <v>6</v>
      </c>
      <c r="L633">
        <v>1.5</v>
      </c>
      <c r="M633" s="5">
        <v>1.5</v>
      </c>
      <c r="N633" s="5">
        <v>10</v>
      </c>
      <c r="O633" s="5">
        <f t="shared" si="4157"/>
        <v>102990</v>
      </c>
      <c r="P633" s="5">
        <f t="shared" si="4158"/>
        <v>570024000</v>
      </c>
      <c r="Q633" s="5">
        <f t="shared" si="4159"/>
        <v>9500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70091</v>
      </c>
      <c r="X633" s="6" t="s">
        <v>187</v>
      </c>
      <c r="Y633" s="5">
        <v>300</v>
      </c>
      <c r="Z633" s="5">
        <v>1</v>
      </c>
      <c r="AA633" s="5">
        <v>220361420</v>
      </c>
      <c r="AB633" s="16" t="s">
        <v>111</v>
      </c>
      <c r="AC633" s="7" t="s">
        <v>112</v>
      </c>
      <c r="AD633" s="7" t="s">
        <v>112</v>
      </c>
      <c r="AE633" s="7" t="s">
        <v>112</v>
      </c>
      <c r="AF633" s="6" t="s">
        <v>113</v>
      </c>
      <c r="AG633" s="26" t="str">
        <f t="shared" ref="AG633" si="4539">CM$12</f>
        <v>4,33,28,33,6,4,33,28,33,6</v>
      </c>
      <c r="AH633" s="26" t="str">
        <f t="shared" ref="AH633" si="4540">CN$12</f>
        <v>0,5,0,5,1,0,5,0,5,1</v>
      </c>
      <c r="AI633" s="26" t="str">
        <f t="shared" ref="AI633" si="4541">CO$12</f>
        <v>0,0,0,0,1,0,0,0,0,1</v>
      </c>
      <c r="AJ633" s="26" t="str">
        <f t="shared" ref="AJ633" si="4542">CP$12</f>
        <v>0,0,0,0,5,0,0,0,0,5</v>
      </c>
      <c r="AK633" s="26" t="str">
        <f t="shared" ref="AK633" si="4543">CQ$12</f>
        <v>100,1,1000,2,5,200,1,1000,2,5</v>
      </c>
      <c r="AL633" s="26" t="str">
        <f t="shared" ref="AL633" si="4544">CR$12</f>
        <v>5,5,5,5,5,5,5,5,5,5</v>
      </c>
      <c r="AM633" s="7">
        <v>2001</v>
      </c>
      <c r="AO633">
        <f t="shared" ref="AO633" si="4545">AQ633*100+9</f>
        <v>7009</v>
      </c>
      <c r="AP633">
        <v>629</v>
      </c>
      <c r="AQ633">
        <f t="shared" si="4167"/>
        <v>70</v>
      </c>
      <c r="AR633">
        <v>11</v>
      </c>
      <c r="AS633" s="17">
        <f t="shared" si="4248"/>
        <v>425</v>
      </c>
      <c r="AT633">
        <v>10</v>
      </c>
      <c r="AU633">
        <f t="shared" si="4168"/>
        <v>34</v>
      </c>
      <c r="AV633">
        <v>150</v>
      </c>
      <c r="AW633">
        <f t="shared" si="4169"/>
        <v>102990.18239999998</v>
      </c>
      <c r="AX633">
        <f t="shared" si="4298"/>
        <v>570024000</v>
      </c>
      <c r="AY633">
        <f t="shared" si="4170"/>
        <v>9500.4</v>
      </c>
      <c r="AZ633">
        <f t="shared" si="4171"/>
        <v>19000.8</v>
      </c>
      <c r="BA633">
        <f t="shared" si="4172"/>
        <v>116927.99999999999</v>
      </c>
      <c r="BB633">
        <f t="shared" si="4173"/>
        <v>4750.2</v>
      </c>
      <c r="BC633">
        <f t="shared" si="4299"/>
        <v>570024000</v>
      </c>
      <c r="BD633">
        <f t="shared" si="4174"/>
        <v>0.29411764705882354</v>
      </c>
      <c r="BE633" s="27">
        <f t="shared" si="4300"/>
        <v>966658897.71360004</v>
      </c>
      <c r="BF633" s="30">
        <f t="shared" si="4175"/>
        <v>0.46799999999999997</v>
      </c>
      <c r="BG633" s="27"/>
      <c r="BH633" s="27"/>
      <c r="BI633" s="27"/>
      <c r="CA633" s="20">
        <f t="shared" si="4176"/>
        <v>445</v>
      </c>
      <c r="CB633" s="20">
        <f t="shared" si="4177"/>
        <v>44500</v>
      </c>
    </row>
    <row r="634" spans="1:80" x14ac:dyDescent="0.15">
      <c r="A634">
        <v>7101</v>
      </c>
      <c r="B634" s="3" t="s">
        <v>108</v>
      </c>
      <c r="C634" s="4" t="s">
        <v>109</v>
      </c>
      <c r="D634" s="4" t="s">
        <v>110</v>
      </c>
      <c r="E634" s="5">
        <v>3</v>
      </c>
      <c r="F634" s="7" t="s">
        <v>141</v>
      </c>
      <c r="G634" s="5">
        <v>2.5</v>
      </c>
      <c r="H634" s="7" t="s">
        <v>194</v>
      </c>
      <c r="I634" s="5">
        <v>0</v>
      </c>
      <c r="J634" s="5">
        <v>0</v>
      </c>
      <c r="K634">
        <v>2</v>
      </c>
      <c r="L634">
        <v>1.5</v>
      </c>
      <c r="M634" s="5">
        <v>1.5</v>
      </c>
      <c r="N634" s="5">
        <v>10</v>
      </c>
      <c r="O634" s="5">
        <f t="shared" si="4157"/>
        <v>101634</v>
      </c>
      <c r="P634" s="5">
        <f t="shared" si="4158"/>
        <v>576000000</v>
      </c>
      <c r="Q634" s="5">
        <f t="shared" si="4159"/>
        <v>9600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70011</v>
      </c>
      <c r="X634" s="6" t="s">
        <v>179</v>
      </c>
      <c r="Y634" s="5">
        <v>300</v>
      </c>
      <c r="Z634" s="5">
        <v>1</v>
      </c>
      <c r="AA634" s="5">
        <v>259250544</v>
      </c>
      <c r="AB634" s="16" t="s">
        <v>111</v>
      </c>
      <c r="AC634" s="7" t="s">
        <v>112</v>
      </c>
      <c r="AD634" s="7" t="s">
        <v>112</v>
      </c>
      <c r="AE634" s="7" t="s">
        <v>112</v>
      </c>
      <c r="AF634" s="6" t="s">
        <v>113</v>
      </c>
      <c r="AG634" s="26" t="str">
        <f t="shared" ref="AG634" si="4546">CM$4</f>
        <v>4,33,28,33,6,4,33,28,33,6</v>
      </c>
      <c r="AH634" s="26" t="str">
        <f t="shared" ref="AH634" si="4547">CN$4</f>
        <v>0,8,0,8,1,0,8,0,8,1</v>
      </c>
      <c r="AI634" s="26" t="str">
        <f t="shared" ref="AI634" si="4548">CO$4</f>
        <v>0,0,0,0,1,0,0,0,0,1</v>
      </c>
      <c r="AJ634" s="26" t="str">
        <f t="shared" ref="AJ634" si="4549">CP$4</f>
        <v>0,0,0,0,5,0,0,0,0,5</v>
      </c>
      <c r="AK634" s="26" t="str">
        <f t="shared" ref="AK634" si="4550">CQ$4</f>
        <v>100,1,1000,2,5,200,1,1000,2,5</v>
      </c>
      <c r="AL634" s="26" t="str">
        <f t="shared" ref="AL634" si="4551">CR$4</f>
        <v>5,5,5,5,5,5,5,5,5,5</v>
      </c>
      <c r="AM634" s="7">
        <v>2001</v>
      </c>
      <c r="AO634">
        <f t="shared" ref="AO634" si="4552">AQ634*100+1</f>
        <v>7101</v>
      </c>
      <c r="AP634">
        <v>630</v>
      </c>
      <c r="AQ634">
        <f t="shared" si="4167"/>
        <v>71</v>
      </c>
      <c r="AR634">
        <v>12</v>
      </c>
      <c r="AS634" s="17">
        <f t="shared" si="4248"/>
        <v>390</v>
      </c>
      <c r="AT634">
        <v>11</v>
      </c>
      <c r="AU634">
        <f t="shared" si="4168"/>
        <v>34</v>
      </c>
      <c r="AV634">
        <v>150</v>
      </c>
      <c r="AW634">
        <f t="shared" si="4169"/>
        <v>101634.048</v>
      </c>
      <c r="AX634">
        <f t="shared" si="4298"/>
        <v>576000000</v>
      </c>
      <c r="AY634">
        <f t="shared" si="4170"/>
        <v>9600</v>
      </c>
      <c r="AZ634">
        <f t="shared" si="4171"/>
        <v>19200</v>
      </c>
      <c r="BA634">
        <f t="shared" si="4172"/>
        <v>115200</v>
      </c>
      <c r="BB634">
        <f t="shared" si="4173"/>
        <v>4800</v>
      </c>
      <c r="BC634">
        <f t="shared" si="4299"/>
        <v>576000000</v>
      </c>
      <c r="BD634">
        <f t="shared" si="4174"/>
        <v>0.29411764705882354</v>
      </c>
      <c r="BE634" s="27">
        <f t="shared" si="4300"/>
        <v>987033600.00000024</v>
      </c>
      <c r="BF634" s="30">
        <f t="shared" si="4175"/>
        <v>0.47039999999999998</v>
      </c>
      <c r="BG634" s="27"/>
      <c r="BH634" s="27"/>
      <c r="BI634" s="27"/>
      <c r="CA634" s="20">
        <f t="shared" si="4176"/>
        <v>450</v>
      </c>
      <c r="CB634" s="20">
        <f t="shared" si="4177"/>
        <v>45000</v>
      </c>
    </row>
    <row r="635" spans="1:80" x14ac:dyDescent="0.15">
      <c r="A635">
        <v>7102</v>
      </c>
      <c r="B635" s="3" t="s">
        <v>115</v>
      </c>
      <c r="C635" s="4" t="s">
        <v>109</v>
      </c>
      <c r="D635" s="6" t="s">
        <v>110</v>
      </c>
      <c r="E635" s="5">
        <v>3</v>
      </c>
      <c r="F635" s="7" t="s">
        <v>142</v>
      </c>
      <c r="G635" s="5">
        <v>3</v>
      </c>
      <c r="H635" s="7" t="s">
        <v>188</v>
      </c>
      <c r="I635" s="5">
        <v>0</v>
      </c>
      <c r="J635" s="5">
        <v>0</v>
      </c>
      <c r="K635">
        <v>2</v>
      </c>
      <c r="L635">
        <v>1.5</v>
      </c>
      <c r="M635" s="5">
        <v>1.5</v>
      </c>
      <c r="N635" s="5">
        <v>10</v>
      </c>
      <c r="O635" s="5">
        <f t="shared" si="4157"/>
        <v>102904</v>
      </c>
      <c r="P635" s="5">
        <f t="shared" si="4158"/>
        <v>583200000</v>
      </c>
      <c r="Q635" s="5">
        <f t="shared" si="4159"/>
        <v>9720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70021</v>
      </c>
      <c r="X635" s="6" t="s">
        <v>180</v>
      </c>
      <c r="Y635" s="5">
        <v>300</v>
      </c>
      <c r="Z635" s="5">
        <v>1</v>
      </c>
      <c r="AA635" s="5">
        <v>216877500</v>
      </c>
      <c r="AB635" s="16" t="s">
        <v>111</v>
      </c>
      <c r="AC635" s="7" t="s">
        <v>112</v>
      </c>
      <c r="AD635" s="7" t="s">
        <v>112</v>
      </c>
      <c r="AE635" s="7" t="s">
        <v>112</v>
      </c>
      <c r="AF635" s="6" t="s">
        <v>113</v>
      </c>
      <c r="AG635" s="26" t="str">
        <f t="shared" ref="AG635" si="4553">CM$5</f>
        <v>4,33,28,33,6,4,33,28,33,6</v>
      </c>
      <c r="AH635" s="26" t="str">
        <f t="shared" ref="AH635" si="4554">CN$5</f>
        <v>0,7,0,7,1,0,7,0,7,1</v>
      </c>
      <c r="AI635" s="26" t="str">
        <f t="shared" ref="AI635" si="4555">CO$5</f>
        <v>0,0,0,0,1,0,0,0,0,1</v>
      </c>
      <c r="AJ635" s="26" t="str">
        <f t="shared" ref="AJ635" si="4556">CP$5</f>
        <v>0,0,0,0,5,0,0,0,0,5</v>
      </c>
      <c r="AK635" s="26" t="str">
        <f t="shared" ref="AK635" si="4557">CQ$5</f>
        <v>100,1,1000,2,5,200,1,1000,2,5</v>
      </c>
      <c r="AL635" s="26" t="str">
        <f t="shared" ref="AL635" si="4558">CR$5</f>
        <v>5,5,5,5,5,5,5,5,5,5</v>
      </c>
      <c r="AM635" s="7">
        <v>2001</v>
      </c>
      <c r="AO635">
        <f t="shared" ref="AO635" si="4559">AQ635*100+2</f>
        <v>7102</v>
      </c>
      <c r="AP635">
        <v>631</v>
      </c>
      <c r="AQ635">
        <f t="shared" si="4167"/>
        <v>71</v>
      </c>
      <c r="AR635">
        <v>12</v>
      </c>
      <c r="AS635" s="17">
        <f t="shared" si="4248"/>
        <v>395</v>
      </c>
      <c r="AT635">
        <v>11</v>
      </c>
      <c r="AU635">
        <f t="shared" si="4168"/>
        <v>34</v>
      </c>
      <c r="AV635">
        <v>150</v>
      </c>
      <c r="AW635">
        <f t="shared" si="4169"/>
        <v>102904.4736</v>
      </c>
      <c r="AX635">
        <f t="shared" si="4298"/>
        <v>583200000</v>
      </c>
      <c r="AY635">
        <f t="shared" si="4170"/>
        <v>9720</v>
      </c>
      <c r="AZ635">
        <f t="shared" si="4171"/>
        <v>19440</v>
      </c>
      <c r="BA635">
        <f t="shared" si="4172"/>
        <v>116640</v>
      </c>
      <c r="BB635">
        <f t="shared" si="4173"/>
        <v>4860</v>
      </c>
      <c r="BC635">
        <f t="shared" si="4299"/>
        <v>583200000</v>
      </c>
      <c r="BD635">
        <f t="shared" si="4174"/>
        <v>0.29411764705882354</v>
      </c>
      <c r="BE635" s="27">
        <f t="shared" si="4300"/>
        <v>1011863664.0000002</v>
      </c>
      <c r="BF635" s="30">
        <f t="shared" si="4175"/>
        <v>0.47039999999999998</v>
      </c>
      <c r="BG635" s="27"/>
      <c r="BH635" s="27"/>
      <c r="BI635" s="27"/>
      <c r="CA635" s="20">
        <f t="shared" si="4176"/>
        <v>450</v>
      </c>
      <c r="CB635" s="20">
        <f t="shared" si="4177"/>
        <v>45000</v>
      </c>
    </row>
    <row r="636" spans="1:80" x14ac:dyDescent="0.15">
      <c r="A636">
        <v>7103</v>
      </c>
      <c r="B636" s="3" t="s">
        <v>117</v>
      </c>
      <c r="C636" s="4" t="s">
        <v>109</v>
      </c>
      <c r="D636" s="4" t="s">
        <v>110</v>
      </c>
      <c r="E636" s="5">
        <v>1</v>
      </c>
      <c r="F636" s="7" t="s">
        <v>144</v>
      </c>
      <c r="G636" s="5">
        <v>3</v>
      </c>
      <c r="H636" s="7" t="s">
        <v>189</v>
      </c>
      <c r="I636" s="5">
        <v>0</v>
      </c>
      <c r="J636" s="2">
        <v>0</v>
      </c>
      <c r="K636">
        <v>6</v>
      </c>
      <c r="L636">
        <v>1.5</v>
      </c>
      <c r="M636" s="5">
        <v>1.5</v>
      </c>
      <c r="N636" s="5">
        <v>10</v>
      </c>
      <c r="O636" s="5">
        <f t="shared" si="4157"/>
        <v>104174</v>
      </c>
      <c r="P636" s="5">
        <f t="shared" si="4158"/>
        <v>590400000</v>
      </c>
      <c r="Q636" s="5">
        <f t="shared" si="4159"/>
        <v>9840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70031</v>
      </c>
      <c r="X636" s="6" t="s">
        <v>181</v>
      </c>
      <c r="Y636" s="5">
        <v>300</v>
      </c>
      <c r="Z636" s="5">
        <v>1</v>
      </c>
      <c r="AA636" s="5">
        <v>222699456</v>
      </c>
      <c r="AB636" s="16" t="s">
        <v>111</v>
      </c>
      <c r="AC636" s="7" t="s">
        <v>112</v>
      </c>
      <c r="AD636" s="7" t="s">
        <v>112</v>
      </c>
      <c r="AE636" s="7" t="s">
        <v>112</v>
      </c>
      <c r="AF636" s="6" t="s">
        <v>113</v>
      </c>
      <c r="AG636" s="26" t="str">
        <f t="shared" ref="AG636" si="4560">CM$6</f>
        <v>4,28,6,28,6,4,28,6,28,6</v>
      </c>
      <c r="AH636" s="26" t="str">
        <f t="shared" ref="AH636" si="4561">CN$6</f>
        <v>0,0,1,0,1,0,0,1,0,1</v>
      </c>
      <c r="AI636" s="26" t="str">
        <f t="shared" ref="AI636" si="4562">CO$6</f>
        <v>0,0,0,0,1,0,0,0,0,1</v>
      </c>
      <c r="AJ636" s="26" t="str">
        <f t="shared" ref="AJ636" si="4563">CP$6</f>
        <v>0,0,5,0,5,0,0,5,0,5</v>
      </c>
      <c r="AK636" s="26" t="str">
        <f t="shared" ref="AK636" si="4564">CQ$6</f>
        <v>100,1000,5,1500,5,200,1000,5,1500,5</v>
      </c>
      <c r="AL636" s="26" t="str">
        <f t="shared" ref="AL636" si="4565">CR$6</f>
        <v>5,5,5,5,5,5,5,5,5,5</v>
      </c>
      <c r="AM636" s="7">
        <v>2001</v>
      </c>
      <c r="AO636">
        <f t="shared" ref="AO636" si="4566">AQ636*100+3</f>
        <v>7103</v>
      </c>
      <c r="AP636">
        <v>632</v>
      </c>
      <c r="AQ636">
        <f t="shared" si="4167"/>
        <v>71</v>
      </c>
      <c r="AR636">
        <v>12</v>
      </c>
      <c r="AS636" s="17">
        <f t="shared" si="4248"/>
        <v>400</v>
      </c>
      <c r="AT636">
        <v>11</v>
      </c>
      <c r="AU636">
        <f t="shared" si="4168"/>
        <v>34</v>
      </c>
      <c r="AV636">
        <v>150</v>
      </c>
      <c r="AW636">
        <f t="shared" si="4169"/>
        <v>104174.8992</v>
      </c>
      <c r="AX636">
        <f t="shared" si="4298"/>
        <v>590400000</v>
      </c>
      <c r="AY636">
        <f t="shared" si="4170"/>
        <v>9840</v>
      </c>
      <c r="AZ636">
        <f t="shared" si="4171"/>
        <v>19680</v>
      </c>
      <c r="BA636">
        <f t="shared" si="4172"/>
        <v>118080</v>
      </c>
      <c r="BB636">
        <f t="shared" si="4173"/>
        <v>4920</v>
      </c>
      <c r="BC636">
        <f t="shared" si="4299"/>
        <v>590400000</v>
      </c>
      <c r="BD636">
        <f t="shared" si="4174"/>
        <v>0.29411764705882354</v>
      </c>
      <c r="BE636" s="27">
        <f t="shared" si="4300"/>
        <v>1037002176.0000002</v>
      </c>
      <c r="BF636" s="30">
        <f t="shared" si="4175"/>
        <v>0.47039999999999998</v>
      </c>
      <c r="BG636" s="27"/>
      <c r="BH636" s="27"/>
      <c r="BI636" s="27"/>
      <c r="CA636" s="20">
        <f t="shared" si="4176"/>
        <v>450</v>
      </c>
      <c r="CB636" s="20">
        <f t="shared" si="4177"/>
        <v>45000</v>
      </c>
    </row>
    <row r="637" spans="1:80" x14ac:dyDescent="0.15">
      <c r="A637">
        <v>7104</v>
      </c>
      <c r="B637" s="3" t="s">
        <v>119</v>
      </c>
      <c r="C637" s="4" t="s">
        <v>109</v>
      </c>
      <c r="D637" s="6" t="s">
        <v>120</v>
      </c>
      <c r="E637" s="5">
        <v>3</v>
      </c>
      <c r="F637" s="7" t="s">
        <v>145</v>
      </c>
      <c r="G637" s="5">
        <v>3</v>
      </c>
      <c r="H637" s="7" t="s">
        <v>190</v>
      </c>
      <c r="I637" s="5">
        <v>0</v>
      </c>
      <c r="J637" s="5">
        <v>0</v>
      </c>
      <c r="K637">
        <v>2</v>
      </c>
      <c r="L637">
        <v>1.5</v>
      </c>
      <c r="M637" s="5">
        <v>1.5</v>
      </c>
      <c r="N637" s="5">
        <v>10</v>
      </c>
      <c r="O637" s="5">
        <f t="shared" si="4157"/>
        <v>105445</v>
      </c>
      <c r="P637" s="5">
        <f t="shared" si="4158"/>
        <v>597600000</v>
      </c>
      <c r="Q637" s="5">
        <f t="shared" si="4159"/>
        <v>9960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70041</v>
      </c>
      <c r="X637" s="6" t="s">
        <v>182</v>
      </c>
      <c r="Y637" s="5">
        <v>300</v>
      </c>
      <c r="Z637" s="5">
        <v>1</v>
      </c>
      <c r="AA637" s="5">
        <v>228598524</v>
      </c>
      <c r="AB637" s="16" t="s">
        <v>111</v>
      </c>
      <c r="AC637" s="7" t="s">
        <v>112</v>
      </c>
      <c r="AD637" s="7" t="s">
        <v>112</v>
      </c>
      <c r="AE637" s="7" t="s">
        <v>112</v>
      </c>
      <c r="AF637" s="6" t="s">
        <v>113</v>
      </c>
      <c r="AG637" s="26" t="str">
        <f t="shared" ref="AG637" si="4567">CM$7</f>
        <v>4,14,28,14,6,4,14,28,14,6</v>
      </c>
      <c r="AH637" s="26" t="str">
        <f t="shared" ref="AH637" si="4568">CN$7</f>
        <v>0,0,0,0,1,0,0,0,0,1</v>
      </c>
      <c r="AI637" s="26" t="str">
        <f t="shared" ref="AI637" si="4569">CO$7</f>
        <v>0,0,0,0,1,0,0,0,0,1</v>
      </c>
      <c r="AJ637" s="26" t="str">
        <f t="shared" ref="AJ637" si="4570">CP$7</f>
        <v>0,0,0,0,5,0,0,0,0,5</v>
      </c>
      <c r="AK637" s="26" t="str">
        <f t="shared" ref="AK637" si="4571">CQ$7</f>
        <v>100,1,1000,2,5,200,1,1000,2,5</v>
      </c>
      <c r="AL637" s="26" t="str">
        <f t="shared" ref="AL637" si="4572">CR$7</f>
        <v>5,5,5,5,5,5,5,5,5,5</v>
      </c>
      <c r="AM637" s="7">
        <v>2001</v>
      </c>
      <c r="AO637">
        <f t="shared" ref="AO637" si="4573">AQ637*100+4</f>
        <v>7104</v>
      </c>
      <c r="AP637">
        <v>633</v>
      </c>
      <c r="AQ637">
        <f t="shared" si="4167"/>
        <v>71</v>
      </c>
      <c r="AR637">
        <v>12</v>
      </c>
      <c r="AS637" s="17">
        <f t="shared" si="4248"/>
        <v>405</v>
      </c>
      <c r="AT637">
        <v>11</v>
      </c>
      <c r="AU637">
        <f t="shared" si="4168"/>
        <v>34</v>
      </c>
      <c r="AV637">
        <v>150</v>
      </c>
      <c r="AW637">
        <f t="shared" si="4169"/>
        <v>105445.3248</v>
      </c>
      <c r="AX637">
        <f t="shared" si="4298"/>
        <v>597600000</v>
      </c>
      <c r="AY637">
        <f t="shared" si="4170"/>
        <v>9960</v>
      </c>
      <c r="AZ637">
        <f t="shared" si="4171"/>
        <v>19920</v>
      </c>
      <c r="BA637">
        <f t="shared" si="4172"/>
        <v>119520</v>
      </c>
      <c r="BB637">
        <f t="shared" si="4173"/>
        <v>4980</v>
      </c>
      <c r="BC637">
        <f t="shared" si="4299"/>
        <v>597600000</v>
      </c>
      <c r="BD637">
        <f t="shared" si="4174"/>
        <v>0.29411764705882354</v>
      </c>
      <c r="BE637" s="27">
        <f t="shared" si="4300"/>
        <v>1062449136.0000002</v>
      </c>
      <c r="BF637" s="30">
        <f t="shared" si="4175"/>
        <v>0.47039999999999998</v>
      </c>
      <c r="BG637" s="27"/>
      <c r="BH637" s="27"/>
      <c r="BI637" s="27"/>
      <c r="CA637" s="20">
        <f t="shared" si="4176"/>
        <v>450</v>
      </c>
      <c r="CB637" s="20">
        <f t="shared" si="4177"/>
        <v>45000</v>
      </c>
    </row>
    <row r="638" spans="1:80" x14ac:dyDescent="0.15">
      <c r="A638">
        <v>7105</v>
      </c>
      <c r="B638" s="3" t="s">
        <v>122</v>
      </c>
      <c r="C638" s="4" t="s">
        <v>109</v>
      </c>
      <c r="D638" s="4" t="s">
        <v>110</v>
      </c>
      <c r="E638" s="5">
        <v>2</v>
      </c>
      <c r="F638" s="7" t="s">
        <v>146</v>
      </c>
      <c r="G638" s="5">
        <v>3</v>
      </c>
      <c r="H638" s="7" t="s">
        <v>191</v>
      </c>
      <c r="I638" s="5">
        <v>0</v>
      </c>
      <c r="J638" s="7" t="s">
        <v>148</v>
      </c>
      <c r="K638">
        <v>6</v>
      </c>
      <c r="L638">
        <v>1.5</v>
      </c>
      <c r="M638" s="5">
        <v>1.5</v>
      </c>
      <c r="N638" s="5">
        <v>10</v>
      </c>
      <c r="O638" s="5">
        <f t="shared" si="4157"/>
        <v>106715</v>
      </c>
      <c r="P638" s="5">
        <f t="shared" si="4158"/>
        <v>604800000</v>
      </c>
      <c r="Q638" s="5">
        <f t="shared" si="4159"/>
        <v>10080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70051</v>
      </c>
      <c r="X638" s="6" t="s">
        <v>183</v>
      </c>
      <c r="Y638" s="5">
        <v>300</v>
      </c>
      <c r="Z638" s="5">
        <v>1</v>
      </c>
      <c r="AA638" s="5">
        <v>234574704</v>
      </c>
      <c r="AB638" s="16" t="s">
        <v>111</v>
      </c>
      <c r="AC638" s="7" t="s">
        <v>112</v>
      </c>
      <c r="AD638" s="7" t="s">
        <v>112</v>
      </c>
      <c r="AE638" s="7" t="s">
        <v>112</v>
      </c>
      <c r="AF638" s="6" t="s">
        <v>113</v>
      </c>
      <c r="AG638" s="26" t="str">
        <f t="shared" ref="AG638" si="4574">CM$8</f>
        <v>4,19,28,19,6,4,19,28,19,6</v>
      </c>
      <c r="AH638" s="26" t="str">
        <f t="shared" ref="AH638" si="4575">CN$8</f>
        <v>0,0,0,0,1,0,0,0,0,1</v>
      </c>
      <c r="AI638" s="26" t="str">
        <f t="shared" ref="AI638" si="4576">CO$8</f>
        <v>0,0,0,0,1,0,0,0,0,1</v>
      </c>
      <c r="AJ638" s="26" t="str">
        <f t="shared" ref="AJ638" si="4577">CP$8</f>
        <v>0,0,0,0,5,0,0,0,0,5</v>
      </c>
      <c r="AK638" s="26" t="str">
        <f t="shared" ref="AK638" si="4578">CQ$8</f>
        <v>200,100,1000,200,5,200,100,1000,200,5</v>
      </c>
      <c r="AL638" s="26" t="str">
        <f t="shared" ref="AL638" si="4579">CR$8</f>
        <v>5,5,5,5,5,5,5,5,5,5</v>
      </c>
      <c r="AM638" s="7">
        <v>2001</v>
      </c>
      <c r="AO638">
        <f t="shared" ref="AO638" si="4580">AQ638*100+5</f>
        <v>7105</v>
      </c>
      <c r="AP638">
        <v>634</v>
      </c>
      <c r="AQ638">
        <f t="shared" si="4167"/>
        <v>71</v>
      </c>
      <c r="AR638">
        <v>12</v>
      </c>
      <c r="AS638" s="17">
        <f t="shared" si="4248"/>
        <v>410</v>
      </c>
      <c r="AT638">
        <v>11</v>
      </c>
      <c r="AU638">
        <f t="shared" si="4168"/>
        <v>34</v>
      </c>
      <c r="AV638">
        <v>150</v>
      </c>
      <c r="AW638">
        <f t="shared" si="4169"/>
        <v>106715.75039999999</v>
      </c>
      <c r="AX638">
        <f t="shared" si="4298"/>
        <v>604800000</v>
      </c>
      <c r="AY638">
        <f t="shared" si="4170"/>
        <v>10080</v>
      </c>
      <c r="AZ638">
        <f t="shared" si="4171"/>
        <v>20160</v>
      </c>
      <c r="BA638">
        <f t="shared" si="4172"/>
        <v>120960</v>
      </c>
      <c r="BB638">
        <f t="shared" si="4173"/>
        <v>5040</v>
      </c>
      <c r="BC638">
        <f t="shared" si="4299"/>
        <v>604800000</v>
      </c>
      <c r="BD638">
        <f t="shared" si="4174"/>
        <v>0.29411764705882354</v>
      </c>
      <c r="BE638" s="27">
        <f t="shared" si="4300"/>
        <v>1088204544.0000002</v>
      </c>
      <c r="BF638" s="30">
        <f t="shared" si="4175"/>
        <v>0.47039999999999998</v>
      </c>
      <c r="BG638" s="27"/>
      <c r="BH638" s="27"/>
      <c r="BI638" s="27"/>
      <c r="CA638" s="20">
        <f t="shared" si="4176"/>
        <v>450</v>
      </c>
      <c r="CB638" s="20">
        <f t="shared" si="4177"/>
        <v>45000</v>
      </c>
    </row>
    <row r="639" spans="1:80" x14ac:dyDescent="0.15">
      <c r="A639">
        <v>7106</v>
      </c>
      <c r="B639" s="3" t="s">
        <v>124</v>
      </c>
      <c r="C639" s="4" t="s">
        <v>109</v>
      </c>
      <c r="D639" s="6" t="s">
        <v>120</v>
      </c>
      <c r="E639" s="5">
        <v>1</v>
      </c>
      <c r="F639" s="7" t="s">
        <v>147</v>
      </c>
      <c r="G639" s="5">
        <v>3</v>
      </c>
      <c r="H639" s="7" t="s">
        <v>192</v>
      </c>
      <c r="I639" s="5">
        <v>0</v>
      </c>
      <c r="J639" s="7" t="s">
        <v>149</v>
      </c>
      <c r="K639">
        <v>6</v>
      </c>
      <c r="L639">
        <v>1.5</v>
      </c>
      <c r="M639" s="5">
        <v>1.5</v>
      </c>
      <c r="N639" s="5">
        <v>10</v>
      </c>
      <c r="O639" s="5">
        <f t="shared" si="4157"/>
        <v>107986</v>
      </c>
      <c r="P639" s="5">
        <f t="shared" si="4158"/>
        <v>612000000</v>
      </c>
      <c r="Q639" s="5">
        <f t="shared" si="4159"/>
        <v>10200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70061</v>
      </c>
      <c r="X639" s="6" t="s">
        <v>184</v>
      </c>
      <c r="Y639" s="5">
        <v>300</v>
      </c>
      <c r="Z639" s="5">
        <v>1</v>
      </c>
      <c r="AA639" s="5">
        <v>240627996</v>
      </c>
      <c r="AB639" s="16" t="s">
        <v>111</v>
      </c>
      <c r="AC639" s="7" t="s">
        <v>112</v>
      </c>
      <c r="AD639" s="7" t="s">
        <v>112</v>
      </c>
      <c r="AE639" s="7" t="s">
        <v>112</v>
      </c>
      <c r="AF639" s="6" t="s">
        <v>113</v>
      </c>
      <c r="AG639" s="26" t="str">
        <f t="shared" ref="AG639" si="4581">CM$9</f>
        <v>4,33,28,33,6,4,33,28,33,6</v>
      </c>
      <c r="AH639" s="26" t="str">
        <f t="shared" ref="AH639" si="4582">CN$9</f>
        <v>0,6,0,6,1,0,6,0,6,1</v>
      </c>
      <c r="AI639" s="26" t="str">
        <f t="shared" ref="AI639" si="4583">CO$9</f>
        <v>0,0,0,0,1,0,0,0,0,1</v>
      </c>
      <c r="AJ639" s="26" t="str">
        <f t="shared" ref="AJ639" si="4584">CP$9</f>
        <v>0,0,0,0,5,0,0,0,0,5</v>
      </c>
      <c r="AK639" s="26" t="str">
        <f t="shared" ref="AK639" si="4585">CQ$9</f>
        <v>200,1,1000,2,5,200,1,1000,2,5</v>
      </c>
      <c r="AL639" s="26" t="str">
        <f t="shared" ref="AL639" si="4586">CR$9</f>
        <v>5,5,5,5,5,5,5,5,5,5</v>
      </c>
      <c r="AM639" s="7">
        <v>2001</v>
      </c>
      <c r="AO639">
        <f t="shared" ref="AO639" si="4587">AQ639*100+6</f>
        <v>7106</v>
      </c>
      <c r="AP639">
        <v>635</v>
      </c>
      <c r="AQ639">
        <f t="shared" si="4167"/>
        <v>71</v>
      </c>
      <c r="AR639">
        <v>12</v>
      </c>
      <c r="AS639" s="17">
        <f t="shared" si="4248"/>
        <v>415</v>
      </c>
      <c r="AT639">
        <v>11</v>
      </c>
      <c r="AU639">
        <f t="shared" si="4168"/>
        <v>34</v>
      </c>
      <c r="AV639">
        <v>150</v>
      </c>
      <c r="AW639">
        <f t="shared" si="4169"/>
        <v>107986.17599999999</v>
      </c>
      <c r="AX639">
        <f t="shared" si="4298"/>
        <v>612000000</v>
      </c>
      <c r="AY639">
        <f t="shared" si="4170"/>
        <v>10200</v>
      </c>
      <c r="AZ639">
        <f t="shared" si="4171"/>
        <v>20400</v>
      </c>
      <c r="BA639">
        <f t="shared" si="4172"/>
        <v>122400</v>
      </c>
      <c r="BB639">
        <f t="shared" si="4173"/>
        <v>5100</v>
      </c>
      <c r="BC639">
        <f t="shared" si="4299"/>
        <v>612000000</v>
      </c>
      <c r="BD639">
        <f t="shared" si="4174"/>
        <v>0.29411764705882354</v>
      </c>
      <c r="BE639" s="27">
        <f t="shared" si="4300"/>
        <v>1114268400.0000002</v>
      </c>
      <c r="BF639" s="30">
        <f t="shared" si="4175"/>
        <v>0.47039999999999998</v>
      </c>
      <c r="BG639" s="27"/>
      <c r="BH639" s="27"/>
      <c r="BI639" s="27"/>
      <c r="CA639" s="20">
        <f t="shared" si="4176"/>
        <v>450</v>
      </c>
      <c r="CB639" s="20">
        <f t="shared" si="4177"/>
        <v>45000</v>
      </c>
    </row>
    <row r="640" spans="1:80" x14ac:dyDescent="0.15">
      <c r="A640">
        <v>7107</v>
      </c>
      <c r="B640" s="3" t="s">
        <v>126</v>
      </c>
      <c r="C640" s="4" t="s">
        <v>109</v>
      </c>
      <c r="D640" s="4" t="s">
        <v>110</v>
      </c>
      <c r="E640" s="5">
        <v>2</v>
      </c>
      <c r="F640" s="7" t="s">
        <v>143</v>
      </c>
      <c r="G640" s="5">
        <v>3</v>
      </c>
      <c r="H640" s="7" t="s">
        <v>193</v>
      </c>
      <c r="I640" s="5">
        <v>0</v>
      </c>
      <c r="J640" s="5">
        <v>0</v>
      </c>
      <c r="K640">
        <v>2</v>
      </c>
      <c r="L640">
        <v>1.5</v>
      </c>
      <c r="M640" s="5">
        <v>1.5</v>
      </c>
      <c r="N640" s="5">
        <v>10</v>
      </c>
      <c r="O640" s="5">
        <f t="shared" si="4157"/>
        <v>109256</v>
      </c>
      <c r="P640" s="5">
        <f t="shared" si="4158"/>
        <v>619200000</v>
      </c>
      <c r="Q640" s="5">
        <f t="shared" si="4159"/>
        <v>10320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70071</v>
      </c>
      <c r="X640" s="6" t="s">
        <v>185</v>
      </c>
      <c r="Y640" s="5">
        <v>300</v>
      </c>
      <c r="Z640" s="5">
        <v>1</v>
      </c>
      <c r="AA640" s="5">
        <v>246758400</v>
      </c>
      <c r="AB640" s="16" t="s">
        <v>111</v>
      </c>
      <c r="AC640" s="7" t="s">
        <v>112</v>
      </c>
      <c r="AD640" s="7" t="s">
        <v>112</v>
      </c>
      <c r="AE640" s="7" t="s">
        <v>112</v>
      </c>
      <c r="AF640" s="6" t="s">
        <v>113</v>
      </c>
      <c r="AG640" s="26" t="str">
        <f t="shared" ref="AG640" si="4588">CM$10</f>
        <v>4,14,28,14,6,4,14,28,14,6</v>
      </c>
      <c r="AH640" s="26" t="str">
        <f t="shared" ref="AH640" si="4589">CN$10</f>
        <v>0,0,0,0,1,0,0,0,0,1</v>
      </c>
      <c r="AI640" s="26" t="str">
        <f t="shared" ref="AI640" si="4590">CO$10</f>
        <v>0,0,0,0,1,0,0,0,0,1</v>
      </c>
      <c r="AJ640" s="26" t="str">
        <f t="shared" ref="AJ640" si="4591">CP$10</f>
        <v>0,0,0,0,5,0,0,0,0,5</v>
      </c>
      <c r="AK640" s="26" t="str">
        <f t="shared" ref="AK640" si="4592">CQ$10</f>
        <v>200,1,1000,2,5,200,1,1000,2,5</v>
      </c>
      <c r="AL640" s="26" t="str">
        <f t="shared" ref="AL640" si="4593">CR$10</f>
        <v>5,5,5,5,5,5,5,5,5,5</v>
      </c>
      <c r="AM640" s="7">
        <v>2001</v>
      </c>
      <c r="AO640">
        <f t="shared" ref="AO640" si="4594">AQ640*100+7</f>
        <v>7107</v>
      </c>
      <c r="AP640">
        <v>636</v>
      </c>
      <c r="AQ640">
        <f t="shared" si="4167"/>
        <v>71</v>
      </c>
      <c r="AR640">
        <v>12</v>
      </c>
      <c r="AS640" s="17">
        <f t="shared" si="4248"/>
        <v>420</v>
      </c>
      <c r="AT640">
        <v>11</v>
      </c>
      <c r="AU640">
        <f t="shared" si="4168"/>
        <v>34</v>
      </c>
      <c r="AV640">
        <v>150</v>
      </c>
      <c r="AW640">
        <f t="shared" si="4169"/>
        <v>109256.60159999999</v>
      </c>
      <c r="AX640">
        <f t="shared" si="4298"/>
        <v>619200000</v>
      </c>
      <c r="AY640">
        <f t="shared" si="4170"/>
        <v>10320</v>
      </c>
      <c r="AZ640">
        <f t="shared" si="4171"/>
        <v>20640</v>
      </c>
      <c r="BA640">
        <f t="shared" si="4172"/>
        <v>123840</v>
      </c>
      <c r="BB640">
        <f t="shared" si="4173"/>
        <v>5160</v>
      </c>
      <c r="BC640">
        <f t="shared" si="4299"/>
        <v>619200000</v>
      </c>
      <c r="BD640">
        <f t="shared" si="4174"/>
        <v>0.29411764705882354</v>
      </c>
      <c r="BE640" s="27">
        <f t="shared" si="4300"/>
        <v>1140640704.0000002</v>
      </c>
      <c r="BF640" s="30">
        <f t="shared" si="4175"/>
        <v>0.47039999999999998</v>
      </c>
      <c r="BG640" s="27"/>
      <c r="BH640" s="27"/>
      <c r="BI640" s="27"/>
      <c r="CA640" s="20">
        <f t="shared" si="4176"/>
        <v>450</v>
      </c>
      <c r="CB640" s="20">
        <f t="shared" si="4177"/>
        <v>45000</v>
      </c>
    </row>
    <row r="641" spans="1:80" x14ac:dyDescent="0.15">
      <c r="A641">
        <v>7108</v>
      </c>
      <c r="B641" s="3" t="s">
        <v>128</v>
      </c>
      <c r="C641" s="4" t="s">
        <v>109</v>
      </c>
      <c r="D641" s="4" t="s">
        <v>110</v>
      </c>
      <c r="E641" s="5">
        <v>5</v>
      </c>
      <c r="F641" s="7" t="s">
        <v>129</v>
      </c>
      <c r="G641" s="5">
        <v>2</v>
      </c>
      <c r="H641" s="7" t="s">
        <v>130</v>
      </c>
      <c r="I641" s="5">
        <v>0</v>
      </c>
      <c r="J641" s="5">
        <v>0</v>
      </c>
      <c r="K641">
        <v>2</v>
      </c>
      <c r="L641">
        <v>1.5</v>
      </c>
      <c r="M641" s="5">
        <v>1.5</v>
      </c>
      <c r="N641" s="5">
        <v>10</v>
      </c>
      <c r="O641" s="5">
        <f t="shared" si="4157"/>
        <v>110527</v>
      </c>
      <c r="P641" s="5">
        <f t="shared" si="4158"/>
        <v>626400000</v>
      </c>
      <c r="Q641" s="5">
        <f t="shared" si="4159"/>
        <v>10440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70081</v>
      </c>
      <c r="X641" s="6" t="s">
        <v>186</v>
      </c>
      <c r="Y641" s="5">
        <v>300</v>
      </c>
      <c r="Z641" s="5">
        <v>1</v>
      </c>
      <c r="AA641" s="5">
        <v>252965916</v>
      </c>
      <c r="AB641" s="16" t="s">
        <v>111</v>
      </c>
      <c r="AC641" s="7" t="s">
        <v>112</v>
      </c>
      <c r="AD641" s="7" t="s">
        <v>112</v>
      </c>
      <c r="AE641" s="7" t="s">
        <v>112</v>
      </c>
      <c r="AF641" s="6" t="s">
        <v>113</v>
      </c>
      <c r="AG641" s="26" t="str">
        <f t="shared" ref="AG641" si="4595">CM$11</f>
        <v>4,28,6,28,6,4,28,6,28,6</v>
      </c>
      <c r="AH641" s="26" t="str">
        <f t="shared" ref="AH641" si="4596">CN$11</f>
        <v>0,0,1,0,1,0,0,1,0,1</v>
      </c>
      <c r="AI641" s="26" t="str">
        <f t="shared" ref="AI641" si="4597">CO$11</f>
        <v>0,0,1,0,1,0,0,1,0,1</v>
      </c>
      <c r="AJ641" s="26" t="str">
        <f t="shared" ref="AJ641" si="4598">CP$11</f>
        <v>0,0,5,0,5,0,0,5,0,5</v>
      </c>
      <c r="AK641" s="26" t="str">
        <f t="shared" ref="AK641" si="4599">CQ$11</f>
        <v>100,1000,5,1500,5,200,1000,5,1500,5</v>
      </c>
      <c r="AL641" s="26" t="str">
        <f t="shared" ref="AL641" si="4600">CR$11</f>
        <v>5,5,5,5,5,5,5,5,5,5</v>
      </c>
      <c r="AM641" s="7">
        <v>2001</v>
      </c>
      <c r="AO641">
        <f t="shared" ref="AO641" si="4601">AQ641*100+8</f>
        <v>7108</v>
      </c>
      <c r="AP641">
        <v>637</v>
      </c>
      <c r="AQ641">
        <f t="shared" si="4167"/>
        <v>71</v>
      </c>
      <c r="AR641">
        <v>12</v>
      </c>
      <c r="AS641" s="17">
        <f t="shared" si="4248"/>
        <v>425</v>
      </c>
      <c r="AT641">
        <v>11</v>
      </c>
      <c r="AU641">
        <f t="shared" si="4168"/>
        <v>34</v>
      </c>
      <c r="AV641">
        <v>150</v>
      </c>
      <c r="AW641">
        <f t="shared" si="4169"/>
        <v>110527.0272</v>
      </c>
      <c r="AX641">
        <f t="shared" si="4298"/>
        <v>626400000</v>
      </c>
      <c r="AY641">
        <f t="shared" si="4170"/>
        <v>10440</v>
      </c>
      <c r="AZ641">
        <f t="shared" si="4171"/>
        <v>20880</v>
      </c>
      <c r="BA641">
        <f t="shared" si="4172"/>
        <v>125280</v>
      </c>
      <c r="BB641">
        <f t="shared" si="4173"/>
        <v>5220</v>
      </c>
      <c r="BC641">
        <f t="shared" si="4299"/>
        <v>626400000</v>
      </c>
      <c r="BD641">
        <f t="shared" si="4174"/>
        <v>0.29411764705882354</v>
      </c>
      <c r="BE641" s="27">
        <f t="shared" si="4300"/>
        <v>1167321456.0000002</v>
      </c>
      <c r="BF641" s="30">
        <f t="shared" si="4175"/>
        <v>0.47039999999999998</v>
      </c>
      <c r="BG641" s="27"/>
      <c r="BH641" s="27"/>
      <c r="BI641" s="27"/>
      <c r="CA641" s="20">
        <f t="shared" si="4176"/>
        <v>450</v>
      </c>
      <c r="CB641" s="20">
        <f t="shared" si="4177"/>
        <v>45000</v>
      </c>
    </row>
    <row r="642" spans="1:80" x14ac:dyDescent="0.15">
      <c r="A642">
        <v>7109</v>
      </c>
      <c r="B642" s="3" t="s">
        <v>132</v>
      </c>
      <c r="C642" s="4" t="s">
        <v>109</v>
      </c>
      <c r="D642" s="4" t="s">
        <v>110</v>
      </c>
      <c r="E642" s="5">
        <v>5</v>
      </c>
      <c r="F642" s="7" t="s">
        <v>140</v>
      </c>
      <c r="G642" s="5">
        <v>3</v>
      </c>
      <c r="H642" s="7" t="s">
        <v>140</v>
      </c>
      <c r="I642" s="5">
        <v>0</v>
      </c>
      <c r="J642" s="7">
        <v>0</v>
      </c>
      <c r="K642">
        <v>6</v>
      </c>
      <c r="L642">
        <v>1.5</v>
      </c>
      <c r="M642" s="5">
        <v>1.5</v>
      </c>
      <c r="N642" s="5">
        <v>10</v>
      </c>
      <c r="O642" s="5">
        <f t="shared" si="4157"/>
        <v>111797</v>
      </c>
      <c r="P642" s="5">
        <f t="shared" si="4158"/>
        <v>633600000</v>
      </c>
      <c r="Q642" s="5">
        <f t="shared" si="4159"/>
        <v>10560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70091</v>
      </c>
      <c r="X642" s="6" t="s">
        <v>187</v>
      </c>
      <c r="Y642" s="5">
        <v>300</v>
      </c>
      <c r="Z642" s="5">
        <v>1</v>
      </c>
      <c r="AA642" s="5">
        <v>259250544</v>
      </c>
      <c r="AB642" s="16" t="s">
        <v>111</v>
      </c>
      <c r="AC642" s="7" t="s">
        <v>112</v>
      </c>
      <c r="AD642" s="7" t="s">
        <v>112</v>
      </c>
      <c r="AE642" s="7" t="s">
        <v>112</v>
      </c>
      <c r="AF642" s="6" t="s">
        <v>113</v>
      </c>
      <c r="AG642" s="26" t="str">
        <f t="shared" ref="AG642" si="4602">CM$12</f>
        <v>4,33,28,33,6,4,33,28,33,6</v>
      </c>
      <c r="AH642" s="26" t="str">
        <f t="shared" ref="AH642" si="4603">CN$12</f>
        <v>0,5,0,5,1,0,5,0,5,1</v>
      </c>
      <c r="AI642" s="26" t="str">
        <f t="shared" ref="AI642" si="4604">CO$12</f>
        <v>0,0,0,0,1,0,0,0,0,1</v>
      </c>
      <c r="AJ642" s="26" t="str">
        <f t="shared" ref="AJ642" si="4605">CP$12</f>
        <v>0,0,0,0,5,0,0,0,0,5</v>
      </c>
      <c r="AK642" s="26" t="str">
        <f t="shared" ref="AK642" si="4606">CQ$12</f>
        <v>100,1,1000,2,5,200,1,1000,2,5</v>
      </c>
      <c r="AL642" s="26" t="str">
        <f t="shared" ref="AL642" si="4607">CR$12</f>
        <v>5,5,5,5,5,5,5,5,5,5</v>
      </c>
      <c r="AM642" s="7">
        <v>2001</v>
      </c>
      <c r="AO642">
        <f t="shared" ref="AO642" si="4608">AQ642*100+9</f>
        <v>7109</v>
      </c>
      <c r="AP642">
        <v>638</v>
      </c>
      <c r="AQ642">
        <f t="shared" si="4167"/>
        <v>71</v>
      </c>
      <c r="AR642">
        <v>12</v>
      </c>
      <c r="AS642" s="17">
        <f t="shared" si="4248"/>
        <v>430</v>
      </c>
      <c r="AT642">
        <v>11</v>
      </c>
      <c r="AU642">
        <f t="shared" si="4168"/>
        <v>34</v>
      </c>
      <c r="AV642">
        <v>150</v>
      </c>
      <c r="AW642">
        <f t="shared" si="4169"/>
        <v>111797.4528</v>
      </c>
      <c r="AX642">
        <f t="shared" si="4298"/>
        <v>633600000</v>
      </c>
      <c r="AY642">
        <f t="shared" si="4170"/>
        <v>10560</v>
      </c>
      <c r="AZ642">
        <f t="shared" si="4171"/>
        <v>21120</v>
      </c>
      <c r="BA642">
        <f t="shared" si="4172"/>
        <v>126720</v>
      </c>
      <c r="BB642">
        <f t="shared" si="4173"/>
        <v>5280</v>
      </c>
      <c r="BC642">
        <f t="shared" si="4299"/>
        <v>633600000</v>
      </c>
      <c r="BD642">
        <f t="shared" si="4174"/>
        <v>0.29411764705882354</v>
      </c>
      <c r="BE642" s="27">
        <f t="shared" si="4300"/>
        <v>1194310656.0000002</v>
      </c>
      <c r="BF642" s="30">
        <f t="shared" si="4175"/>
        <v>0.47039999999999998</v>
      </c>
      <c r="BG642" s="27"/>
      <c r="BH642" s="27"/>
      <c r="BI642" s="27"/>
      <c r="CA642" s="20">
        <f t="shared" si="4176"/>
        <v>450</v>
      </c>
      <c r="CB642" s="20">
        <f t="shared" si="4177"/>
        <v>45000</v>
      </c>
    </row>
    <row r="643" spans="1:80" x14ac:dyDescent="0.15">
      <c r="A643">
        <v>7201</v>
      </c>
      <c r="B643" s="3" t="s">
        <v>108</v>
      </c>
      <c r="C643" s="4" t="s">
        <v>109</v>
      </c>
      <c r="D643" s="4" t="s">
        <v>110</v>
      </c>
      <c r="E643" s="5">
        <v>3</v>
      </c>
      <c r="F643" s="7" t="s">
        <v>141</v>
      </c>
      <c r="G643" s="5">
        <v>2.5</v>
      </c>
      <c r="H643" s="7" t="s">
        <v>194</v>
      </c>
      <c r="I643" s="5">
        <v>0</v>
      </c>
      <c r="J643" s="5">
        <v>0</v>
      </c>
      <c r="K643">
        <v>2</v>
      </c>
      <c r="L643">
        <v>1.5</v>
      </c>
      <c r="M643" s="5">
        <v>1.5</v>
      </c>
      <c r="N643" s="5">
        <v>10</v>
      </c>
      <c r="O643" s="5">
        <f t="shared" si="4157"/>
        <v>103072</v>
      </c>
      <c r="P643" s="5">
        <f t="shared" si="4158"/>
        <v>583200000</v>
      </c>
      <c r="Q643" s="5">
        <f t="shared" si="4159"/>
        <v>9720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70011</v>
      </c>
      <c r="X643" s="6" t="s">
        <v>179</v>
      </c>
      <c r="Y643" s="5">
        <v>300</v>
      </c>
      <c r="Z643" s="5">
        <v>1</v>
      </c>
      <c r="AA643" s="5">
        <v>265612284</v>
      </c>
      <c r="AB643" s="16" t="s">
        <v>111</v>
      </c>
      <c r="AC643" s="7" t="s">
        <v>112</v>
      </c>
      <c r="AD643" s="7" t="s">
        <v>112</v>
      </c>
      <c r="AE643" s="7" t="s">
        <v>112</v>
      </c>
      <c r="AF643" s="6" t="s">
        <v>113</v>
      </c>
      <c r="AG643" s="26" t="str">
        <f t="shared" ref="AG643" si="4609">CM$4</f>
        <v>4,33,28,33,6,4,33,28,33,6</v>
      </c>
      <c r="AH643" s="26" t="str">
        <f t="shared" ref="AH643" si="4610">CN$4</f>
        <v>0,8,0,8,1,0,8,0,8,1</v>
      </c>
      <c r="AI643" s="26" t="str">
        <f t="shared" ref="AI643" si="4611">CO$4</f>
        <v>0,0,0,0,1,0,0,0,0,1</v>
      </c>
      <c r="AJ643" s="26" t="str">
        <f t="shared" ref="AJ643" si="4612">CP$4</f>
        <v>0,0,0,0,5,0,0,0,0,5</v>
      </c>
      <c r="AK643" s="26" t="str">
        <f t="shared" ref="AK643" si="4613">CQ$4</f>
        <v>100,1,1000,2,5,200,1,1000,2,5</v>
      </c>
      <c r="AL643" s="26" t="str">
        <f t="shared" ref="AL643" si="4614">CR$4</f>
        <v>5,5,5,5,5,5,5,5,5,5</v>
      </c>
      <c r="AM643" s="7">
        <v>2001</v>
      </c>
      <c r="AO643">
        <f t="shared" ref="AO643" si="4615">AQ643*100+1</f>
        <v>7201</v>
      </c>
      <c r="AP643">
        <v>639</v>
      </c>
      <c r="AQ643">
        <f t="shared" si="4167"/>
        <v>72</v>
      </c>
      <c r="AR643">
        <v>12</v>
      </c>
      <c r="AS643" s="17">
        <f t="shared" si="4248"/>
        <v>395</v>
      </c>
      <c r="AT643">
        <v>11</v>
      </c>
      <c r="AU643">
        <f t="shared" si="4168"/>
        <v>34</v>
      </c>
      <c r="AV643">
        <v>150</v>
      </c>
      <c r="AW643">
        <f t="shared" si="4169"/>
        <v>103072.43519999999</v>
      </c>
      <c r="AX643">
        <f t="shared" si="4298"/>
        <v>583200000</v>
      </c>
      <c r="AY643">
        <f t="shared" si="4170"/>
        <v>9720</v>
      </c>
      <c r="AZ643">
        <f t="shared" si="4171"/>
        <v>19440</v>
      </c>
      <c r="BA643">
        <f t="shared" si="4172"/>
        <v>116640</v>
      </c>
      <c r="BB643">
        <f t="shared" si="4173"/>
        <v>4860</v>
      </c>
      <c r="BC643">
        <f t="shared" si="4299"/>
        <v>583200000</v>
      </c>
      <c r="BD643">
        <f t="shared" si="4174"/>
        <v>0.29411764705882354</v>
      </c>
      <c r="BE643" s="27">
        <f t="shared" si="4300"/>
        <v>1011863664.0000002</v>
      </c>
      <c r="BF643" s="30">
        <f t="shared" si="4175"/>
        <v>0.4728</v>
      </c>
      <c r="BG643" s="27"/>
      <c r="BH643" s="27"/>
      <c r="BI643" s="27"/>
      <c r="CA643" s="20">
        <f t="shared" si="4176"/>
        <v>455</v>
      </c>
      <c r="CB643" s="20">
        <f t="shared" si="4177"/>
        <v>45500</v>
      </c>
    </row>
    <row r="644" spans="1:80" x14ac:dyDescent="0.15">
      <c r="A644">
        <v>7202</v>
      </c>
      <c r="B644" s="3" t="s">
        <v>115</v>
      </c>
      <c r="C644" s="4" t="s">
        <v>109</v>
      </c>
      <c r="D644" s="6" t="s">
        <v>110</v>
      </c>
      <c r="E644" s="5">
        <v>3</v>
      </c>
      <c r="F644" s="7" t="s">
        <v>142</v>
      </c>
      <c r="G644" s="5">
        <v>3</v>
      </c>
      <c r="H644" s="7" t="s">
        <v>188</v>
      </c>
      <c r="I644" s="5">
        <v>0</v>
      </c>
      <c r="J644" s="5">
        <v>0</v>
      </c>
      <c r="K644">
        <v>2</v>
      </c>
      <c r="L644">
        <v>1.5</v>
      </c>
      <c r="M644" s="5">
        <v>1.5</v>
      </c>
      <c r="N644" s="5">
        <v>10</v>
      </c>
      <c r="O644" s="5">
        <f t="shared" si="4157"/>
        <v>104344</v>
      </c>
      <c r="P644" s="5">
        <f t="shared" si="4158"/>
        <v>590400000</v>
      </c>
      <c r="Q644" s="5">
        <f t="shared" si="4159"/>
        <v>9840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70021</v>
      </c>
      <c r="X644" s="6" t="s">
        <v>180</v>
      </c>
      <c r="Y644" s="5">
        <v>300</v>
      </c>
      <c r="Z644" s="5">
        <v>1</v>
      </c>
      <c r="AA644" s="5">
        <v>222699456</v>
      </c>
      <c r="AB644" s="16" t="s">
        <v>111</v>
      </c>
      <c r="AC644" s="7" t="s">
        <v>112</v>
      </c>
      <c r="AD644" s="7" t="s">
        <v>112</v>
      </c>
      <c r="AE644" s="7" t="s">
        <v>112</v>
      </c>
      <c r="AF644" s="6" t="s">
        <v>113</v>
      </c>
      <c r="AG644" s="26" t="str">
        <f t="shared" ref="AG644" si="4616">CM$5</f>
        <v>4,33,28,33,6,4,33,28,33,6</v>
      </c>
      <c r="AH644" s="26" t="str">
        <f t="shared" ref="AH644" si="4617">CN$5</f>
        <v>0,7,0,7,1,0,7,0,7,1</v>
      </c>
      <c r="AI644" s="26" t="str">
        <f t="shared" ref="AI644" si="4618">CO$5</f>
        <v>0,0,0,0,1,0,0,0,0,1</v>
      </c>
      <c r="AJ644" s="26" t="str">
        <f t="shared" ref="AJ644" si="4619">CP$5</f>
        <v>0,0,0,0,5,0,0,0,0,5</v>
      </c>
      <c r="AK644" s="26" t="str">
        <f t="shared" ref="AK644" si="4620">CQ$5</f>
        <v>100,1,1000,2,5,200,1,1000,2,5</v>
      </c>
      <c r="AL644" s="26" t="str">
        <f t="shared" ref="AL644" si="4621">CR$5</f>
        <v>5,5,5,5,5,5,5,5,5,5</v>
      </c>
      <c r="AM644" s="7">
        <v>2001</v>
      </c>
      <c r="AO644">
        <f t="shared" ref="AO644" si="4622">AQ644*100+2</f>
        <v>7202</v>
      </c>
      <c r="AP644">
        <v>640</v>
      </c>
      <c r="AQ644">
        <f t="shared" si="4167"/>
        <v>72</v>
      </c>
      <c r="AR644">
        <v>12</v>
      </c>
      <c r="AS644" s="17">
        <f t="shared" si="4248"/>
        <v>400</v>
      </c>
      <c r="AT644">
        <v>11</v>
      </c>
      <c r="AU644">
        <f t="shared" si="4168"/>
        <v>34</v>
      </c>
      <c r="AV644">
        <v>150</v>
      </c>
      <c r="AW644">
        <f t="shared" si="4169"/>
        <v>104344.9344</v>
      </c>
      <c r="AX644">
        <f t="shared" si="4298"/>
        <v>590400000</v>
      </c>
      <c r="AY644">
        <f t="shared" si="4170"/>
        <v>9840</v>
      </c>
      <c r="AZ644">
        <f t="shared" si="4171"/>
        <v>19680</v>
      </c>
      <c r="BA644">
        <f t="shared" si="4172"/>
        <v>118080</v>
      </c>
      <c r="BB644">
        <f t="shared" si="4173"/>
        <v>4920</v>
      </c>
      <c r="BC644">
        <f t="shared" si="4299"/>
        <v>590400000</v>
      </c>
      <c r="BD644">
        <f t="shared" si="4174"/>
        <v>0.29411764705882354</v>
      </c>
      <c r="BE644" s="27">
        <f t="shared" si="4300"/>
        <v>1037002176.0000002</v>
      </c>
      <c r="BF644" s="30">
        <f t="shared" si="4175"/>
        <v>0.4728</v>
      </c>
      <c r="BG644" s="27"/>
      <c r="BH644" s="27"/>
      <c r="BI644" s="27"/>
      <c r="CA644" s="20">
        <f t="shared" si="4176"/>
        <v>455</v>
      </c>
      <c r="CB644" s="20">
        <f t="shared" si="4177"/>
        <v>45500</v>
      </c>
    </row>
    <row r="645" spans="1:80" x14ac:dyDescent="0.15">
      <c r="A645">
        <v>7203</v>
      </c>
      <c r="B645" s="3" t="s">
        <v>117</v>
      </c>
      <c r="C645" s="4" t="s">
        <v>109</v>
      </c>
      <c r="D645" s="4" t="s">
        <v>110</v>
      </c>
      <c r="E645" s="5">
        <v>1</v>
      </c>
      <c r="F645" s="7" t="s">
        <v>144</v>
      </c>
      <c r="G645" s="5">
        <v>3</v>
      </c>
      <c r="H645" s="7" t="s">
        <v>189</v>
      </c>
      <c r="I645" s="5">
        <v>0</v>
      </c>
      <c r="J645" s="2">
        <v>0</v>
      </c>
      <c r="K645">
        <v>6</v>
      </c>
      <c r="L645">
        <v>1.5</v>
      </c>
      <c r="M645" s="5">
        <v>1.5</v>
      </c>
      <c r="N645" s="5">
        <v>10</v>
      </c>
      <c r="O645" s="5">
        <f t="shared" ref="O645:O708" si="4623">FLOOR(AW645,1)</f>
        <v>105617</v>
      </c>
      <c r="P645" s="5">
        <f t="shared" ref="P645:P708" si="4624">FLOOR(BC645,1)</f>
        <v>597600000</v>
      </c>
      <c r="Q645" s="5">
        <f t="shared" ref="Q645:Q708" si="4625">FLOOR(AY645,1)</f>
        <v>9960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70031</v>
      </c>
      <c r="X645" s="6" t="s">
        <v>181</v>
      </c>
      <c r="Y645" s="5">
        <v>300</v>
      </c>
      <c r="Z645" s="5">
        <v>1</v>
      </c>
      <c r="AA645" s="5">
        <v>228598524</v>
      </c>
      <c r="AB645" s="16" t="s">
        <v>111</v>
      </c>
      <c r="AC645" s="7" t="s">
        <v>112</v>
      </c>
      <c r="AD645" s="7" t="s">
        <v>112</v>
      </c>
      <c r="AE645" s="7" t="s">
        <v>112</v>
      </c>
      <c r="AF645" s="6" t="s">
        <v>113</v>
      </c>
      <c r="AG645" s="26" t="str">
        <f t="shared" ref="AG645" si="4626">CM$6</f>
        <v>4,28,6,28,6,4,28,6,28,6</v>
      </c>
      <c r="AH645" s="26" t="str">
        <f t="shared" ref="AH645" si="4627">CN$6</f>
        <v>0,0,1,0,1,0,0,1,0,1</v>
      </c>
      <c r="AI645" s="26" t="str">
        <f t="shared" ref="AI645" si="4628">CO$6</f>
        <v>0,0,0,0,1,0,0,0,0,1</v>
      </c>
      <c r="AJ645" s="26" t="str">
        <f t="shared" ref="AJ645" si="4629">CP$6</f>
        <v>0,0,5,0,5,0,0,5,0,5</v>
      </c>
      <c r="AK645" s="26" t="str">
        <f t="shared" ref="AK645" si="4630">CQ$6</f>
        <v>100,1000,5,1500,5,200,1000,5,1500,5</v>
      </c>
      <c r="AL645" s="26" t="str">
        <f t="shared" ref="AL645" si="4631">CR$6</f>
        <v>5,5,5,5,5,5,5,5,5,5</v>
      </c>
      <c r="AM645" s="7">
        <v>2001</v>
      </c>
      <c r="AO645">
        <f t="shared" ref="AO645" si="4632">AQ645*100+3</f>
        <v>7203</v>
      </c>
      <c r="AP645">
        <v>641</v>
      </c>
      <c r="AQ645">
        <f t="shared" ref="AQ645:AQ708" si="4633">FLOOR(AP645/9+1,1)</f>
        <v>72</v>
      </c>
      <c r="AR645">
        <v>12</v>
      </c>
      <c r="AS645" s="17">
        <f t="shared" si="4248"/>
        <v>405</v>
      </c>
      <c r="AT645">
        <v>11</v>
      </c>
      <c r="AU645">
        <f t="shared" ref="AU645:AU708" si="4634">20+FLOOR(AQ645/10,1)*2</f>
        <v>34</v>
      </c>
      <c r="AV645">
        <v>150</v>
      </c>
      <c r="AW645">
        <f t="shared" ref="AW645:AW708" si="4635">BA645*0.6*(1+BF645)</f>
        <v>105617.43359999999</v>
      </c>
      <c r="AX645">
        <f t="shared" si="4298"/>
        <v>597600000</v>
      </c>
      <c r="AY645">
        <f t="shared" ref="AY645:AY708" si="4636">BB645*2</f>
        <v>9960</v>
      </c>
      <c r="AZ645">
        <f t="shared" ref="AZ645:AZ708" si="4637">(INDEX($BO$2:$BO$15,MATCH($AR645,$BK$2:$BK$15,0))+INDEX($BP$2:$BP$15,MATCH($AR645,$BK$2:$BK$15,0))*$AS645)*(1+INDEX($BZ$2:$BZ$15,MATCH($AT645,$BX$2:$BX$15,0)))</f>
        <v>19920</v>
      </c>
      <c r="BA645">
        <f t="shared" ref="BA645:BA708" si="4638">INDEX($BQ$2:$BQ$15,MATCH($AR645,$BK$2:$BK$15,0))+INDEX($BR$2:$BR$15,MATCH($AR645,$BK$2:$BK$15,0))*$AS645</f>
        <v>119520</v>
      </c>
      <c r="BB645">
        <f t="shared" ref="BB645:BB708" si="4639">(INDEX($BS$2:$BS$15,MATCH($AR645,$BK$2:$BK$15,0))+INDEX($BT$2:$BT$15,MATCH($AR645,$BK$2:$BK$15,0))*$AS645)*(1+INDEX($BZ$2:$BZ$15,MATCH($AT645,$BX$2:$BX$15,0)))</f>
        <v>4980</v>
      </c>
      <c r="BC645">
        <f t="shared" si="4299"/>
        <v>597600000</v>
      </c>
      <c r="BD645">
        <f t="shared" ref="BD645:BD708" si="4640">1/(1+AZ645*3/(5*BB645))</f>
        <v>0.29411764705882354</v>
      </c>
      <c r="BE645" s="27">
        <f t="shared" si="4300"/>
        <v>1062449136.0000002</v>
      </c>
      <c r="BF645" s="30">
        <f t="shared" ref="BF645:BF708" si="4641">0.3+AQ645*0.0024</f>
        <v>0.4728</v>
      </c>
      <c r="BG645" s="27"/>
      <c r="BH645" s="27"/>
      <c r="BI645" s="27"/>
      <c r="CA645" s="20">
        <f t="shared" ref="CA645:CA708" si="4642">$CA$2+(AQ645-1)*5</f>
        <v>455</v>
      </c>
      <c r="CB645" s="20">
        <f t="shared" ref="CB645:CB708" si="4643">$CB$2+(AQ645-1)*500</f>
        <v>45500</v>
      </c>
    </row>
    <row r="646" spans="1:80" x14ac:dyDescent="0.15">
      <c r="A646">
        <v>7204</v>
      </c>
      <c r="B646" s="3" t="s">
        <v>119</v>
      </c>
      <c r="C646" s="4" t="s">
        <v>109</v>
      </c>
      <c r="D646" s="6" t="s">
        <v>120</v>
      </c>
      <c r="E646" s="5">
        <v>3</v>
      </c>
      <c r="F646" s="7" t="s">
        <v>145</v>
      </c>
      <c r="G646" s="5">
        <v>3</v>
      </c>
      <c r="H646" s="7" t="s">
        <v>190</v>
      </c>
      <c r="I646" s="5">
        <v>0</v>
      </c>
      <c r="J646" s="5">
        <v>0</v>
      </c>
      <c r="K646">
        <v>2</v>
      </c>
      <c r="L646">
        <v>1.5</v>
      </c>
      <c r="M646" s="5">
        <v>1.5</v>
      </c>
      <c r="N646" s="5">
        <v>10</v>
      </c>
      <c r="O646" s="5">
        <f t="shared" si="4623"/>
        <v>106889</v>
      </c>
      <c r="P646" s="5">
        <f t="shared" si="4624"/>
        <v>604800000</v>
      </c>
      <c r="Q646" s="5">
        <f t="shared" si="4625"/>
        <v>10080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70041</v>
      </c>
      <c r="X646" s="6" t="s">
        <v>182</v>
      </c>
      <c r="Y646" s="5">
        <v>300</v>
      </c>
      <c r="Z646" s="5">
        <v>1</v>
      </c>
      <c r="AA646" s="5">
        <v>234574704</v>
      </c>
      <c r="AB646" s="16" t="s">
        <v>111</v>
      </c>
      <c r="AC646" s="7" t="s">
        <v>112</v>
      </c>
      <c r="AD646" s="7" t="s">
        <v>112</v>
      </c>
      <c r="AE646" s="7" t="s">
        <v>112</v>
      </c>
      <c r="AF646" s="6" t="s">
        <v>113</v>
      </c>
      <c r="AG646" s="26" t="str">
        <f t="shared" ref="AG646" si="4644">CM$7</f>
        <v>4,14,28,14,6,4,14,28,14,6</v>
      </c>
      <c r="AH646" s="26" t="str">
        <f t="shared" ref="AH646" si="4645">CN$7</f>
        <v>0,0,0,0,1,0,0,0,0,1</v>
      </c>
      <c r="AI646" s="26" t="str">
        <f t="shared" ref="AI646" si="4646">CO$7</f>
        <v>0,0,0,0,1,0,0,0,0,1</v>
      </c>
      <c r="AJ646" s="26" t="str">
        <f t="shared" ref="AJ646" si="4647">CP$7</f>
        <v>0,0,0,0,5,0,0,0,0,5</v>
      </c>
      <c r="AK646" s="26" t="str">
        <f t="shared" ref="AK646" si="4648">CQ$7</f>
        <v>100,1,1000,2,5,200,1,1000,2,5</v>
      </c>
      <c r="AL646" s="26" t="str">
        <f t="shared" ref="AL646" si="4649">CR$7</f>
        <v>5,5,5,5,5,5,5,5,5,5</v>
      </c>
      <c r="AM646" s="7">
        <v>2001</v>
      </c>
      <c r="AO646">
        <f t="shared" ref="AO646" si="4650">AQ646*100+4</f>
        <v>7204</v>
      </c>
      <c r="AP646">
        <v>642</v>
      </c>
      <c r="AQ646">
        <f t="shared" si="4633"/>
        <v>72</v>
      </c>
      <c r="AR646">
        <v>12</v>
      </c>
      <c r="AS646" s="17">
        <f t="shared" si="4248"/>
        <v>410</v>
      </c>
      <c r="AT646">
        <v>11</v>
      </c>
      <c r="AU646">
        <f t="shared" si="4634"/>
        <v>34</v>
      </c>
      <c r="AV646">
        <v>150</v>
      </c>
      <c r="AW646">
        <f t="shared" si="4635"/>
        <v>106889.9328</v>
      </c>
      <c r="AX646">
        <f t="shared" si="4298"/>
        <v>604800000</v>
      </c>
      <c r="AY646">
        <f t="shared" si="4636"/>
        <v>10080</v>
      </c>
      <c r="AZ646">
        <f t="shared" si="4637"/>
        <v>20160</v>
      </c>
      <c r="BA646">
        <f t="shared" si="4638"/>
        <v>120960</v>
      </c>
      <c r="BB646">
        <f t="shared" si="4639"/>
        <v>5040</v>
      </c>
      <c r="BC646">
        <f t="shared" si="4299"/>
        <v>604800000</v>
      </c>
      <c r="BD646">
        <f t="shared" si="4640"/>
        <v>0.29411764705882354</v>
      </c>
      <c r="BE646" s="27">
        <f t="shared" si="4300"/>
        <v>1088204544.0000002</v>
      </c>
      <c r="BF646" s="30">
        <f t="shared" si="4641"/>
        <v>0.4728</v>
      </c>
      <c r="BG646" s="27"/>
      <c r="BH646" s="27"/>
      <c r="BI646" s="27"/>
      <c r="CA646" s="20">
        <f t="shared" si="4642"/>
        <v>455</v>
      </c>
      <c r="CB646" s="20">
        <f t="shared" si="4643"/>
        <v>45500</v>
      </c>
    </row>
    <row r="647" spans="1:80" x14ac:dyDescent="0.15">
      <c r="A647">
        <v>7205</v>
      </c>
      <c r="B647" s="3" t="s">
        <v>122</v>
      </c>
      <c r="C647" s="4" t="s">
        <v>109</v>
      </c>
      <c r="D647" s="4" t="s">
        <v>110</v>
      </c>
      <c r="E647" s="5">
        <v>2</v>
      </c>
      <c r="F647" s="7" t="s">
        <v>146</v>
      </c>
      <c r="G647" s="5">
        <v>3</v>
      </c>
      <c r="H647" s="7" t="s">
        <v>191</v>
      </c>
      <c r="I647" s="5">
        <v>0</v>
      </c>
      <c r="J647" s="7" t="s">
        <v>148</v>
      </c>
      <c r="K647">
        <v>6</v>
      </c>
      <c r="L647">
        <v>1.5</v>
      </c>
      <c r="M647" s="5">
        <v>1.5</v>
      </c>
      <c r="N647" s="5">
        <v>10</v>
      </c>
      <c r="O647" s="5">
        <f t="shared" si="4623"/>
        <v>108162</v>
      </c>
      <c r="P647" s="5">
        <f t="shared" si="4624"/>
        <v>612000000</v>
      </c>
      <c r="Q647" s="5">
        <f t="shared" si="4625"/>
        <v>10200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70051</v>
      </c>
      <c r="X647" s="6" t="s">
        <v>183</v>
      </c>
      <c r="Y647" s="5">
        <v>300</v>
      </c>
      <c r="Z647" s="5">
        <v>1</v>
      </c>
      <c r="AA647" s="5">
        <v>240627996</v>
      </c>
      <c r="AB647" s="16" t="s">
        <v>111</v>
      </c>
      <c r="AC647" s="7" t="s">
        <v>112</v>
      </c>
      <c r="AD647" s="7" t="s">
        <v>112</v>
      </c>
      <c r="AE647" s="7" t="s">
        <v>112</v>
      </c>
      <c r="AF647" s="6" t="s">
        <v>113</v>
      </c>
      <c r="AG647" s="26" t="str">
        <f t="shared" ref="AG647" si="4651">CM$8</f>
        <v>4,19,28,19,6,4,19,28,19,6</v>
      </c>
      <c r="AH647" s="26" t="str">
        <f t="shared" ref="AH647" si="4652">CN$8</f>
        <v>0,0,0,0,1,0,0,0,0,1</v>
      </c>
      <c r="AI647" s="26" t="str">
        <f t="shared" ref="AI647" si="4653">CO$8</f>
        <v>0,0,0,0,1,0,0,0,0,1</v>
      </c>
      <c r="AJ647" s="26" t="str">
        <f t="shared" ref="AJ647" si="4654">CP$8</f>
        <v>0,0,0,0,5,0,0,0,0,5</v>
      </c>
      <c r="AK647" s="26" t="str">
        <f t="shared" ref="AK647" si="4655">CQ$8</f>
        <v>200,100,1000,200,5,200,100,1000,200,5</v>
      </c>
      <c r="AL647" s="26" t="str">
        <f t="shared" ref="AL647" si="4656">CR$8</f>
        <v>5,5,5,5,5,5,5,5,5,5</v>
      </c>
      <c r="AM647" s="7">
        <v>2001</v>
      </c>
      <c r="AO647">
        <f t="shared" ref="AO647" si="4657">AQ647*100+5</f>
        <v>7205</v>
      </c>
      <c r="AP647">
        <v>643</v>
      </c>
      <c r="AQ647">
        <f t="shared" si="4633"/>
        <v>72</v>
      </c>
      <c r="AR647">
        <v>12</v>
      </c>
      <c r="AS647" s="17">
        <f t="shared" si="4248"/>
        <v>415</v>
      </c>
      <c r="AT647">
        <v>11</v>
      </c>
      <c r="AU647">
        <f t="shared" si="4634"/>
        <v>34</v>
      </c>
      <c r="AV647">
        <v>150</v>
      </c>
      <c r="AW647">
        <f t="shared" si="4635"/>
        <v>108162.43199999999</v>
      </c>
      <c r="AX647">
        <f t="shared" si="4298"/>
        <v>612000000</v>
      </c>
      <c r="AY647">
        <f t="shared" si="4636"/>
        <v>10200</v>
      </c>
      <c r="AZ647">
        <f t="shared" si="4637"/>
        <v>20400</v>
      </c>
      <c r="BA647">
        <f t="shared" si="4638"/>
        <v>122400</v>
      </c>
      <c r="BB647">
        <f t="shared" si="4639"/>
        <v>5100</v>
      </c>
      <c r="BC647">
        <f t="shared" si="4299"/>
        <v>612000000</v>
      </c>
      <c r="BD647">
        <f t="shared" si="4640"/>
        <v>0.29411764705882354</v>
      </c>
      <c r="BE647" s="27">
        <f t="shared" si="4300"/>
        <v>1114268400.0000002</v>
      </c>
      <c r="BF647" s="30">
        <f t="shared" si="4641"/>
        <v>0.4728</v>
      </c>
      <c r="BG647" s="27"/>
      <c r="BH647" s="27"/>
      <c r="BI647" s="27"/>
      <c r="CA647" s="20">
        <f t="shared" si="4642"/>
        <v>455</v>
      </c>
      <c r="CB647" s="20">
        <f t="shared" si="4643"/>
        <v>45500</v>
      </c>
    </row>
    <row r="648" spans="1:80" x14ac:dyDescent="0.15">
      <c r="A648">
        <v>7206</v>
      </c>
      <c r="B648" s="3" t="s">
        <v>124</v>
      </c>
      <c r="C648" s="4" t="s">
        <v>109</v>
      </c>
      <c r="D648" s="6" t="s">
        <v>120</v>
      </c>
      <c r="E648" s="5">
        <v>1</v>
      </c>
      <c r="F648" s="7" t="s">
        <v>147</v>
      </c>
      <c r="G648" s="5">
        <v>3</v>
      </c>
      <c r="H648" s="7" t="s">
        <v>192</v>
      </c>
      <c r="I648" s="5">
        <v>0</v>
      </c>
      <c r="J648" s="7" t="s">
        <v>149</v>
      </c>
      <c r="K648">
        <v>6</v>
      </c>
      <c r="L648">
        <v>1.5</v>
      </c>
      <c r="M648" s="5">
        <v>1.5</v>
      </c>
      <c r="N648" s="5">
        <v>10</v>
      </c>
      <c r="O648" s="5">
        <f t="shared" si="4623"/>
        <v>109434</v>
      </c>
      <c r="P648" s="5">
        <f t="shared" si="4624"/>
        <v>619200000</v>
      </c>
      <c r="Q648" s="5">
        <f t="shared" si="4625"/>
        <v>10320</v>
      </c>
      <c r="R648" s="5">
        <v>0</v>
      </c>
      <c r="S648" s="5">
        <v>0</v>
      </c>
      <c r="T648" s="5">
        <v>0</v>
      </c>
      <c r="U648" s="5">
        <v>0</v>
      </c>
      <c r="V648" s="5">
        <v>0</v>
      </c>
      <c r="W648" s="5">
        <v>70061</v>
      </c>
      <c r="X648" s="6" t="s">
        <v>184</v>
      </c>
      <c r="Y648" s="5">
        <v>300</v>
      </c>
      <c r="Z648" s="5">
        <v>1</v>
      </c>
      <c r="AA648" s="5">
        <v>246758400</v>
      </c>
      <c r="AB648" s="16" t="s">
        <v>111</v>
      </c>
      <c r="AC648" s="7" t="s">
        <v>112</v>
      </c>
      <c r="AD648" s="7" t="s">
        <v>112</v>
      </c>
      <c r="AE648" s="7" t="s">
        <v>112</v>
      </c>
      <c r="AF648" s="6" t="s">
        <v>113</v>
      </c>
      <c r="AG648" s="26" t="str">
        <f t="shared" ref="AG648" si="4658">CM$9</f>
        <v>4,33,28,33,6,4,33,28,33,6</v>
      </c>
      <c r="AH648" s="26" t="str">
        <f t="shared" ref="AH648" si="4659">CN$9</f>
        <v>0,6,0,6,1,0,6,0,6,1</v>
      </c>
      <c r="AI648" s="26" t="str">
        <f t="shared" ref="AI648" si="4660">CO$9</f>
        <v>0,0,0,0,1,0,0,0,0,1</v>
      </c>
      <c r="AJ648" s="26" t="str">
        <f t="shared" ref="AJ648" si="4661">CP$9</f>
        <v>0,0,0,0,5,0,0,0,0,5</v>
      </c>
      <c r="AK648" s="26" t="str">
        <f t="shared" ref="AK648" si="4662">CQ$9</f>
        <v>200,1,1000,2,5,200,1,1000,2,5</v>
      </c>
      <c r="AL648" s="26" t="str">
        <f t="shared" ref="AL648" si="4663">CR$9</f>
        <v>5,5,5,5,5,5,5,5,5,5</v>
      </c>
      <c r="AM648" s="7">
        <v>2001</v>
      </c>
      <c r="AO648">
        <f t="shared" ref="AO648" si="4664">AQ648*100+6</f>
        <v>7206</v>
      </c>
      <c r="AP648">
        <v>644</v>
      </c>
      <c r="AQ648">
        <f t="shared" si="4633"/>
        <v>72</v>
      </c>
      <c r="AR648">
        <v>12</v>
      </c>
      <c r="AS648" s="17">
        <f t="shared" si="4248"/>
        <v>420</v>
      </c>
      <c r="AT648">
        <v>11</v>
      </c>
      <c r="AU648">
        <f t="shared" si="4634"/>
        <v>34</v>
      </c>
      <c r="AV648">
        <v>150</v>
      </c>
      <c r="AW648">
        <f t="shared" si="4635"/>
        <v>109434.93119999999</v>
      </c>
      <c r="AX648">
        <f t="shared" si="4298"/>
        <v>619200000</v>
      </c>
      <c r="AY648">
        <f t="shared" si="4636"/>
        <v>10320</v>
      </c>
      <c r="AZ648">
        <f t="shared" si="4637"/>
        <v>20640</v>
      </c>
      <c r="BA648">
        <f t="shared" si="4638"/>
        <v>123840</v>
      </c>
      <c r="BB648">
        <f t="shared" si="4639"/>
        <v>5160</v>
      </c>
      <c r="BC648">
        <f t="shared" si="4299"/>
        <v>619200000</v>
      </c>
      <c r="BD648">
        <f t="shared" si="4640"/>
        <v>0.29411764705882354</v>
      </c>
      <c r="BE648" s="27">
        <f t="shared" si="4300"/>
        <v>1140640704.0000002</v>
      </c>
      <c r="BF648" s="30">
        <f t="shared" si="4641"/>
        <v>0.4728</v>
      </c>
      <c r="BG648" s="27"/>
      <c r="BH648" s="27"/>
      <c r="BI648" s="27"/>
      <c r="CA648" s="20">
        <f t="shared" si="4642"/>
        <v>455</v>
      </c>
      <c r="CB648" s="20">
        <f t="shared" si="4643"/>
        <v>45500</v>
      </c>
    </row>
    <row r="649" spans="1:80" x14ac:dyDescent="0.15">
      <c r="A649">
        <v>7207</v>
      </c>
      <c r="B649" s="3" t="s">
        <v>126</v>
      </c>
      <c r="C649" s="4" t="s">
        <v>109</v>
      </c>
      <c r="D649" s="4" t="s">
        <v>110</v>
      </c>
      <c r="E649" s="5">
        <v>2</v>
      </c>
      <c r="F649" s="7" t="s">
        <v>143</v>
      </c>
      <c r="G649" s="5">
        <v>3</v>
      </c>
      <c r="H649" s="7" t="s">
        <v>193</v>
      </c>
      <c r="I649" s="5">
        <v>0</v>
      </c>
      <c r="J649" s="5">
        <v>0</v>
      </c>
      <c r="K649">
        <v>2</v>
      </c>
      <c r="L649">
        <v>1.5</v>
      </c>
      <c r="M649" s="5">
        <v>1.5</v>
      </c>
      <c r="N649" s="5">
        <v>10</v>
      </c>
      <c r="O649" s="5">
        <f t="shared" si="4623"/>
        <v>110707</v>
      </c>
      <c r="P649" s="5">
        <f t="shared" si="4624"/>
        <v>626400000</v>
      </c>
      <c r="Q649" s="5">
        <f t="shared" si="4625"/>
        <v>10440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70071</v>
      </c>
      <c r="X649" s="6" t="s">
        <v>185</v>
      </c>
      <c r="Y649" s="5">
        <v>300</v>
      </c>
      <c r="Z649" s="5">
        <v>1</v>
      </c>
      <c r="AA649" s="5">
        <v>252965916</v>
      </c>
      <c r="AB649" s="16" t="s">
        <v>111</v>
      </c>
      <c r="AC649" s="7" t="s">
        <v>112</v>
      </c>
      <c r="AD649" s="7" t="s">
        <v>112</v>
      </c>
      <c r="AE649" s="7" t="s">
        <v>112</v>
      </c>
      <c r="AF649" s="6" t="s">
        <v>113</v>
      </c>
      <c r="AG649" s="26" t="str">
        <f t="shared" ref="AG649" si="4665">CM$10</f>
        <v>4,14,28,14,6,4,14,28,14,6</v>
      </c>
      <c r="AH649" s="26" t="str">
        <f t="shared" ref="AH649" si="4666">CN$10</f>
        <v>0,0,0,0,1,0,0,0,0,1</v>
      </c>
      <c r="AI649" s="26" t="str">
        <f t="shared" ref="AI649" si="4667">CO$10</f>
        <v>0,0,0,0,1,0,0,0,0,1</v>
      </c>
      <c r="AJ649" s="26" t="str">
        <f t="shared" ref="AJ649" si="4668">CP$10</f>
        <v>0,0,0,0,5,0,0,0,0,5</v>
      </c>
      <c r="AK649" s="26" t="str">
        <f t="shared" ref="AK649" si="4669">CQ$10</f>
        <v>200,1,1000,2,5,200,1,1000,2,5</v>
      </c>
      <c r="AL649" s="26" t="str">
        <f t="shared" ref="AL649" si="4670">CR$10</f>
        <v>5,5,5,5,5,5,5,5,5,5</v>
      </c>
      <c r="AM649" s="7">
        <v>2001</v>
      </c>
      <c r="AO649">
        <f t="shared" ref="AO649" si="4671">AQ649*100+7</f>
        <v>7207</v>
      </c>
      <c r="AP649">
        <v>645</v>
      </c>
      <c r="AQ649">
        <f t="shared" si="4633"/>
        <v>72</v>
      </c>
      <c r="AR649">
        <v>12</v>
      </c>
      <c r="AS649" s="17">
        <f t="shared" si="4248"/>
        <v>425</v>
      </c>
      <c r="AT649">
        <v>11</v>
      </c>
      <c r="AU649">
        <f t="shared" si="4634"/>
        <v>34</v>
      </c>
      <c r="AV649">
        <v>150</v>
      </c>
      <c r="AW649">
        <f t="shared" si="4635"/>
        <v>110707.4304</v>
      </c>
      <c r="AX649">
        <f t="shared" si="4298"/>
        <v>626400000</v>
      </c>
      <c r="AY649">
        <f t="shared" si="4636"/>
        <v>10440</v>
      </c>
      <c r="AZ649">
        <f t="shared" si="4637"/>
        <v>20880</v>
      </c>
      <c r="BA649">
        <f t="shared" si="4638"/>
        <v>125280</v>
      </c>
      <c r="BB649">
        <f t="shared" si="4639"/>
        <v>5220</v>
      </c>
      <c r="BC649">
        <f t="shared" si="4299"/>
        <v>626400000</v>
      </c>
      <c r="BD649">
        <f t="shared" si="4640"/>
        <v>0.29411764705882354</v>
      </c>
      <c r="BE649" s="27">
        <f t="shared" si="4300"/>
        <v>1167321456.0000002</v>
      </c>
      <c r="BF649" s="30">
        <f t="shared" si="4641"/>
        <v>0.4728</v>
      </c>
      <c r="BG649" s="27"/>
      <c r="BH649" s="27"/>
      <c r="BI649" s="27"/>
      <c r="CA649" s="20">
        <f t="shared" si="4642"/>
        <v>455</v>
      </c>
      <c r="CB649" s="20">
        <f t="shared" si="4643"/>
        <v>45500</v>
      </c>
    </row>
    <row r="650" spans="1:80" x14ac:dyDescent="0.15">
      <c r="A650">
        <v>7208</v>
      </c>
      <c r="B650" s="3" t="s">
        <v>128</v>
      </c>
      <c r="C650" s="4" t="s">
        <v>109</v>
      </c>
      <c r="D650" s="4" t="s">
        <v>110</v>
      </c>
      <c r="E650" s="5">
        <v>5</v>
      </c>
      <c r="F650" s="7" t="s">
        <v>129</v>
      </c>
      <c r="G650" s="5">
        <v>2</v>
      </c>
      <c r="H650" s="7" t="s">
        <v>130</v>
      </c>
      <c r="I650" s="5">
        <v>0</v>
      </c>
      <c r="J650" s="5">
        <v>0</v>
      </c>
      <c r="K650">
        <v>2</v>
      </c>
      <c r="L650">
        <v>1.5</v>
      </c>
      <c r="M650" s="5">
        <v>1.5</v>
      </c>
      <c r="N650" s="5">
        <v>10</v>
      </c>
      <c r="O650" s="5">
        <f t="shared" si="4623"/>
        <v>111979</v>
      </c>
      <c r="P650" s="5">
        <f t="shared" si="4624"/>
        <v>633600000</v>
      </c>
      <c r="Q650" s="5">
        <f t="shared" si="4625"/>
        <v>10560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70081</v>
      </c>
      <c r="X650" s="6" t="s">
        <v>186</v>
      </c>
      <c r="Y650" s="5">
        <v>300</v>
      </c>
      <c r="Z650" s="5">
        <v>1</v>
      </c>
      <c r="AA650" s="5">
        <v>259250544</v>
      </c>
      <c r="AB650" s="16" t="s">
        <v>111</v>
      </c>
      <c r="AC650" s="7" t="s">
        <v>112</v>
      </c>
      <c r="AD650" s="7" t="s">
        <v>112</v>
      </c>
      <c r="AE650" s="7" t="s">
        <v>112</v>
      </c>
      <c r="AF650" s="6" t="s">
        <v>113</v>
      </c>
      <c r="AG650" s="26" t="str">
        <f t="shared" ref="AG650" si="4672">CM$11</f>
        <v>4,28,6,28,6,4,28,6,28,6</v>
      </c>
      <c r="AH650" s="26" t="str">
        <f t="shared" ref="AH650" si="4673">CN$11</f>
        <v>0,0,1,0,1,0,0,1,0,1</v>
      </c>
      <c r="AI650" s="26" t="str">
        <f t="shared" ref="AI650" si="4674">CO$11</f>
        <v>0,0,1,0,1,0,0,1,0,1</v>
      </c>
      <c r="AJ650" s="26" t="str">
        <f t="shared" ref="AJ650" si="4675">CP$11</f>
        <v>0,0,5,0,5,0,0,5,0,5</v>
      </c>
      <c r="AK650" s="26" t="str">
        <f t="shared" ref="AK650" si="4676">CQ$11</f>
        <v>100,1000,5,1500,5,200,1000,5,1500,5</v>
      </c>
      <c r="AL650" s="26" t="str">
        <f t="shared" ref="AL650" si="4677">CR$11</f>
        <v>5,5,5,5,5,5,5,5,5,5</v>
      </c>
      <c r="AM650" s="7">
        <v>2001</v>
      </c>
      <c r="AO650">
        <f t="shared" ref="AO650" si="4678">AQ650*100+8</f>
        <v>7208</v>
      </c>
      <c r="AP650">
        <v>646</v>
      </c>
      <c r="AQ650">
        <f t="shared" si="4633"/>
        <v>72</v>
      </c>
      <c r="AR650">
        <v>12</v>
      </c>
      <c r="AS650" s="17">
        <f t="shared" si="4248"/>
        <v>430</v>
      </c>
      <c r="AT650">
        <v>11</v>
      </c>
      <c r="AU650">
        <f t="shared" si="4634"/>
        <v>34</v>
      </c>
      <c r="AV650">
        <v>150</v>
      </c>
      <c r="AW650">
        <f t="shared" si="4635"/>
        <v>111979.92959999999</v>
      </c>
      <c r="AX650">
        <f t="shared" si="4298"/>
        <v>633600000</v>
      </c>
      <c r="AY650">
        <f t="shared" si="4636"/>
        <v>10560</v>
      </c>
      <c r="AZ650">
        <f t="shared" si="4637"/>
        <v>21120</v>
      </c>
      <c r="BA650">
        <f t="shared" si="4638"/>
        <v>126720</v>
      </c>
      <c r="BB650">
        <f t="shared" si="4639"/>
        <v>5280</v>
      </c>
      <c r="BC650">
        <f t="shared" si="4299"/>
        <v>633600000</v>
      </c>
      <c r="BD650">
        <f t="shared" si="4640"/>
        <v>0.29411764705882354</v>
      </c>
      <c r="BE650" s="27">
        <f t="shared" si="4300"/>
        <v>1194310656.0000002</v>
      </c>
      <c r="BF650" s="30">
        <f t="shared" si="4641"/>
        <v>0.4728</v>
      </c>
      <c r="BG650" s="27"/>
      <c r="BH650" s="27"/>
      <c r="BI650" s="27"/>
      <c r="CA650" s="20">
        <f t="shared" si="4642"/>
        <v>455</v>
      </c>
      <c r="CB650" s="20">
        <f t="shared" si="4643"/>
        <v>45500</v>
      </c>
    </row>
    <row r="651" spans="1:80" x14ac:dyDescent="0.15">
      <c r="A651">
        <v>7209</v>
      </c>
      <c r="B651" s="3" t="s">
        <v>132</v>
      </c>
      <c r="C651" s="4" t="s">
        <v>109</v>
      </c>
      <c r="D651" s="4" t="s">
        <v>110</v>
      </c>
      <c r="E651" s="5">
        <v>5</v>
      </c>
      <c r="F651" s="7" t="s">
        <v>140</v>
      </c>
      <c r="G651" s="5">
        <v>3</v>
      </c>
      <c r="H651" s="7" t="s">
        <v>140</v>
      </c>
      <c r="I651" s="5">
        <v>0</v>
      </c>
      <c r="J651" s="7">
        <v>0</v>
      </c>
      <c r="K651">
        <v>6</v>
      </c>
      <c r="L651">
        <v>1.5</v>
      </c>
      <c r="M651" s="5">
        <v>1.5</v>
      </c>
      <c r="N651" s="5">
        <v>10</v>
      </c>
      <c r="O651" s="5">
        <f t="shared" si="4623"/>
        <v>113252</v>
      </c>
      <c r="P651" s="5">
        <f t="shared" si="4624"/>
        <v>640800000</v>
      </c>
      <c r="Q651" s="5">
        <f t="shared" si="4625"/>
        <v>10680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70091</v>
      </c>
      <c r="X651" s="6" t="s">
        <v>187</v>
      </c>
      <c r="Y651" s="5">
        <v>300</v>
      </c>
      <c r="Z651" s="5">
        <v>1</v>
      </c>
      <c r="AA651" s="5">
        <v>265612284</v>
      </c>
      <c r="AB651" s="16" t="s">
        <v>111</v>
      </c>
      <c r="AC651" s="7" t="s">
        <v>112</v>
      </c>
      <c r="AD651" s="7" t="s">
        <v>112</v>
      </c>
      <c r="AE651" s="7" t="s">
        <v>112</v>
      </c>
      <c r="AF651" s="6" t="s">
        <v>113</v>
      </c>
      <c r="AG651" s="26" t="str">
        <f t="shared" ref="AG651" si="4679">CM$12</f>
        <v>4,33,28,33,6,4,33,28,33,6</v>
      </c>
      <c r="AH651" s="26" t="str">
        <f t="shared" ref="AH651" si="4680">CN$12</f>
        <v>0,5,0,5,1,0,5,0,5,1</v>
      </c>
      <c r="AI651" s="26" t="str">
        <f t="shared" ref="AI651" si="4681">CO$12</f>
        <v>0,0,0,0,1,0,0,0,0,1</v>
      </c>
      <c r="AJ651" s="26" t="str">
        <f t="shared" ref="AJ651" si="4682">CP$12</f>
        <v>0,0,0,0,5,0,0,0,0,5</v>
      </c>
      <c r="AK651" s="26" t="str">
        <f t="shared" ref="AK651" si="4683">CQ$12</f>
        <v>100,1,1000,2,5,200,1,1000,2,5</v>
      </c>
      <c r="AL651" s="26" t="str">
        <f t="shared" ref="AL651" si="4684">CR$12</f>
        <v>5,5,5,5,5,5,5,5,5,5</v>
      </c>
      <c r="AM651" s="7">
        <v>2001</v>
      </c>
      <c r="AO651">
        <f t="shared" ref="AO651" si="4685">AQ651*100+9</f>
        <v>7209</v>
      </c>
      <c r="AP651">
        <v>647</v>
      </c>
      <c r="AQ651">
        <f t="shared" si="4633"/>
        <v>72</v>
      </c>
      <c r="AR651">
        <v>12</v>
      </c>
      <c r="AS651" s="17">
        <f t="shared" si="4248"/>
        <v>435</v>
      </c>
      <c r="AT651">
        <v>11</v>
      </c>
      <c r="AU651">
        <f t="shared" si="4634"/>
        <v>34</v>
      </c>
      <c r="AV651">
        <v>150</v>
      </c>
      <c r="AW651">
        <f t="shared" si="4635"/>
        <v>113252.42879999999</v>
      </c>
      <c r="AX651">
        <f t="shared" si="4298"/>
        <v>640800000</v>
      </c>
      <c r="AY651">
        <f t="shared" si="4636"/>
        <v>10680</v>
      </c>
      <c r="AZ651">
        <f t="shared" si="4637"/>
        <v>21360</v>
      </c>
      <c r="BA651">
        <f t="shared" si="4638"/>
        <v>128160</v>
      </c>
      <c r="BB651">
        <f t="shared" si="4639"/>
        <v>5340</v>
      </c>
      <c r="BC651">
        <f t="shared" si="4299"/>
        <v>640800000</v>
      </c>
      <c r="BD651">
        <f t="shared" si="4640"/>
        <v>0.29411764705882354</v>
      </c>
      <c r="BE651" s="27">
        <f t="shared" si="4300"/>
        <v>1221608304.0000002</v>
      </c>
      <c r="BF651" s="30">
        <f t="shared" si="4641"/>
        <v>0.4728</v>
      </c>
      <c r="BG651" s="27"/>
      <c r="BH651" s="27"/>
      <c r="BI651" s="27"/>
      <c r="CA651" s="20">
        <f t="shared" si="4642"/>
        <v>455</v>
      </c>
      <c r="CB651" s="20">
        <f t="shared" si="4643"/>
        <v>45500</v>
      </c>
    </row>
    <row r="652" spans="1:80" x14ac:dyDescent="0.15">
      <c r="A652">
        <v>7301</v>
      </c>
      <c r="B652" s="3" t="s">
        <v>108</v>
      </c>
      <c r="C652" s="4" t="s">
        <v>109</v>
      </c>
      <c r="D652" s="4" t="s">
        <v>110</v>
      </c>
      <c r="E652" s="5">
        <v>3</v>
      </c>
      <c r="F652" s="7" t="s">
        <v>141</v>
      </c>
      <c r="G652" s="5">
        <v>2.5</v>
      </c>
      <c r="H652" s="7" t="s">
        <v>194</v>
      </c>
      <c r="I652" s="5">
        <v>0</v>
      </c>
      <c r="J652" s="5">
        <v>0</v>
      </c>
      <c r="K652">
        <v>2</v>
      </c>
      <c r="L652">
        <v>1.5</v>
      </c>
      <c r="M652" s="5">
        <v>1.5</v>
      </c>
      <c r="N652" s="5">
        <v>10</v>
      </c>
      <c r="O652" s="5">
        <f t="shared" si="4623"/>
        <v>104514</v>
      </c>
      <c r="P652" s="5">
        <f t="shared" si="4624"/>
        <v>590400000</v>
      </c>
      <c r="Q652" s="5">
        <f t="shared" si="4625"/>
        <v>9840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70011</v>
      </c>
      <c r="X652" s="6" t="s">
        <v>179</v>
      </c>
      <c r="Y652" s="5">
        <v>300</v>
      </c>
      <c r="Z652" s="5">
        <v>1</v>
      </c>
      <c r="AA652" s="5">
        <v>272051136</v>
      </c>
      <c r="AB652" s="16" t="s">
        <v>111</v>
      </c>
      <c r="AC652" s="7" t="s">
        <v>112</v>
      </c>
      <c r="AD652" s="7" t="s">
        <v>112</v>
      </c>
      <c r="AE652" s="7" t="s">
        <v>112</v>
      </c>
      <c r="AF652" s="6" t="s">
        <v>113</v>
      </c>
      <c r="AG652" s="26" t="str">
        <f t="shared" ref="AG652" si="4686">CM$4</f>
        <v>4,33,28,33,6,4,33,28,33,6</v>
      </c>
      <c r="AH652" s="26" t="str">
        <f t="shared" ref="AH652" si="4687">CN$4</f>
        <v>0,8,0,8,1,0,8,0,8,1</v>
      </c>
      <c r="AI652" s="26" t="str">
        <f t="shared" ref="AI652" si="4688">CO$4</f>
        <v>0,0,0,0,1,0,0,0,0,1</v>
      </c>
      <c r="AJ652" s="26" t="str">
        <f t="shared" ref="AJ652" si="4689">CP$4</f>
        <v>0,0,0,0,5,0,0,0,0,5</v>
      </c>
      <c r="AK652" s="26" t="str">
        <f t="shared" ref="AK652" si="4690">CQ$4</f>
        <v>100,1,1000,2,5,200,1,1000,2,5</v>
      </c>
      <c r="AL652" s="26" t="str">
        <f t="shared" ref="AL652" si="4691">CR$4</f>
        <v>5,5,5,5,5,5,5,5,5,5</v>
      </c>
      <c r="AM652" s="7">
        <v>2001</v>
      </c>
      <c r="AO652">
        <f t="shared" ref="AO652" si="4692">AQ652*100+1</f>
        <v>7301</v>
      </c>
      <c r="AP652">
        <v>648</v>
      </c>
      <c r="AQ652">
        <f t="shared" si="4633"/>
        <v>73</v>
      </c>
      <c r="AR652">
        <v>12</v>
      </c>
      <c r="AS652" s="17">
        <f t="shared" si="4248"/>
        <v>400</v>
      </c>
      <c r="AT652">
        <v>11</v>
      </c>
      <c r="AU652">
        <f t="shared" si="4634"/>
        <v>34</v>
      </c>
      <c r="AV652">
        <v>150</v>
      </c>
      <c r="AW652">
        <f t="shared" si="4635"/>
        <v>104514.96960000001</v>
      </c>
      <c r="AX652">
        <f t="shared" si="4298"/>
        <v>590400000</v>
      </c>
      <c r="AY652">
        <f t="shared" si="4636"/>
        <v>9840</v>
      </c>
      <c r="AZ652">
        <f t="shared" si="4637"/>
        <v>19680</v>
      </c>
      <c r="BA652">
        <f t="shared" si="4638"/>
        <v>118080</v>
      </c>
      <c r="BB652">
        <f t="shared" si="4639"/>
        <v>4920</v>
      </c>
      <c r="BC652">
        <f t="shared" si="4299"/>
        <v>590400000</v>
      </c>
      <c r="BD652">
        <f t="shared" si="4640"/>
        <v>0.29411764705882354</v>
      </c>
      <c r="BE652" s="27">
        <f t="shared" si="4300"/>
        <v>1037002176.0000002</v>
      </c>
      <c r="BF652" s="30">
        <f t="shared" si="4641"/>
        <v>0.47519999999999996</v>
      </c>
      <c r="BG652" s="27"/>
      <c r="BH652" s="27"/>
      <c r="BI652" s="27"/>
      <c r="CA652" s="20">
        <f t="shared" si="4642"/>
        <v>460</v>
      </c>
      <c r="CB652" s="20">
        <f t="shared" si="4643"/>
        <v>46000</v>
      </c>
    </row>
    <row r="653" spans="1:80" x14ac:dyDescent="0.15">
      <c r="A653">
        <v>7302</v>
      </c>
      <c r="B653" s="3" t="s">
        <v>115</v>
      </c>
      <c r="C653" s="4" t="s">
        <v>109</v>
      </c>
      <c r="D653" s="6" t="s">
        <v>110</v>
      </c>
      <c r="E653" s="5">
        <v>3</v>
      </c>
      <c r="F653" s="7" t="s">
        <v>142</v>
      </c>
      <c r="G653" s="5">
        <v>3</v>
      </c>
      <c r="H653" s="7" t="s">
        <v>188</v>
      </c>
      <c r="I653" s="5">
        <v>0</v>
      </c>
      <c r="J653" s="5">
        <v>0</v>
      </c>
      <c r="K653">
        <v>2</v>
      </c>
      <c r="L653">
        <v>1.5</v>
      </c>
      <c r="M653" s="5">
        <v>1.5</v>
      </c>
      <c r="N653" s="5">
        <v>10</v>
      </c>
      <c r="O653" s="5">
        <f t="shared" si="4623"/>
        <v>105789</v>
      </c>
      <c r="P653" s="5">
        <f t="shared" si="4624"/>
        <v>597600000</v>
      </c>
      <c r="Q653" s="5">
        <f t="shared" si="4625"/>
        <v>9960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70021</v>
      </c>
      <c r="X653" s="6" t="s">
        <v>180</v>
      </c>
      <c r="Y653" s="5">
        <v>300</v>
      </c>
      <c r="Z653" s="5">
        <v>1</v>
      </c>
      <c r="AA653" s="5">
        <v>228598524</v>
      </c>
      <c r="AB653" s="16" t="s">
        <v>111</v>
      </c>
      <c r="AC653" s="7" t="s">
        <v>112</v>
      </c>
      <c r="AD653" s="7" t="s">
        <v>112</v>
      </c>
      <c r="AE653" s="7" t="s">
        <v>112</v>
      </c>
      <c r="AF653" s="6" t="s">
        <v>113</v>
      </c>
      <c r="AG653" s="26" t="str">
        <f t="shared" ref="AG653" si="4693">CM$5</f>
        <v>4,33,28,33,6,4,33,28,33,6</v>
      </c>
      <c r="AH653" s="26" t="str">
        <f t="shared" ref="AH653" si="4694">CN$5</f>
        <v>0,7,0,7,1,0,7,0,7,1</v>
      </c>
      <c r="AI653" s="26" t="str">
        <f t="shared" ref="AI653" si="4695">CO$5</f>
        <v>0,0,0,0,1,0,0,0,0,1</v>
      </c>
      <c r="AJ653" s="26" t="str">
        <f t="shared" ref="AJ653" si="4696">CP$5</f>
        <v>0,0,0,0,5,0,0,0,0,5</v>
      </c>
      <c r="AK653" s="26" t="str">
        <f t="shared" ref="AK653" si="4697">CQ$5</f>
        <v>100,1,1000,2,5,200,1,1000,2,5</v>
      </c>
      <c r="AL653" s="26" t="str">
        <f t="shared" ref="AL653" si="4698">CR$5</f>
        <v>5,5,5,5,5,5,5,5,5,5</v>
      </c>
      <c r="AM653" s="7">
        <v>2001</v>
      </c>
      <c r="AO653">
        <f t="shared" ref="AO653" si="4699">AQ653*100+2</f>
        <v>7302</v>
      </c>
      <c r="AP653">
        <v>649</v>
      </c>
      <c r="AQ653">
        <f t="shared" si="4633"/>
        <v>73</v>
      </c>
      <c r="AR653">
        <v>12</v>
      </c>
      <c r="AS653" s="17">
        <f t="shared" si="4248"/>
        <v>405</v>
      </c>
      <c r="AT653">
        <v>11</v>
      </c>
      <c r="AU653">
        <f t="shared" si="4634"/>
        <v>34</v>
      </c>
      <c r="AV653">
        <v>150</v>
      </c>
      <c r="AW653">
        <f t="shared" si="4635"/>
        <v>105789.54240000001</v>
      </c>
      <c r="AX653">
        <f t="shared" si="4298"/>
        <v>597600000</v>
      </c>
      <c r="AY653">
        <f t="shared" si="4636"/>
        <v>9960</v>
      </c>
      <c r="AZ653">
        <f t="shared" si="4637"/>
        <v>19920</v>
      </c>
      <c r="BA653">
        <f t="shared" si="4638"/>
        <v>119520</v>
      </c>
      <c r="BB653">
        <f t="shared" si="4639"/>
        <v>4980</v>
      </c>
      <c r="BC653">
        <f t="shared" si="4299"/>
        <v>597600000</v>
      </c>
      <c r="BD653">
        <f t="shared" si="4640"/>
        <v>0.29411764705882354</v>
      </c>
      <c r="BE653" s="27">
        <f t="shared" si="4300"/>
        <v>1062449136.0000002</v>
      </c>
      <c r="BF653" s="30">
        <f t="shared" si="4641"/>
        <v>0.47519999999999996</v>
      </c>
      <c r="BG653" s="27"/>
      <c r="BH653" s="27"/>
      <c r="BI653" s="27"/>
      <c r="CA653" s="20">
        <f t="shared" si="4642"/>
        <v>460</v>
      </c>
      <c r="CB653" s="20">
        <f t="shared" si="4643"/>
        <v>46000</v>
      </c>
    </row>
    <row r="654" spans="1:80" x14ac:dyDescent="0.15">
      <c r="A654">
        <v>7303</v>
      </c>
      <c r="B654" s="3" t="s">
        <v>117</v>
      </c>
      <c r="C654" s="4" t="s">
        <v>109</v>
      </c>
      <c r="D654" s="4" t="s">
        <v>110</v>
      </c>
      <c r="E654" s="5">
        <v>1</v>
      </c>
      <c r="F654" s="7" t="s">
        <v>144</v>
      </c>
      <c r="G654" s="5">
        <v>3</v>
      </c>
      <c r="H654" s="7" t="s">
        <v>189</v>
      </c>
      <c r="I654" s="5">
        <v>0</v>
      </c>
      <c r="J654" s="2">
        <v>0</v>
      </c>
      <c r="K654">
        <v>6</v>
      </c>
      <c r="L654">
        <v>1.5</v>
      </c>
      <c r="M654" s="5">
        <v>1.5</v>
      </c>
      <c r="N654" s="5">
        <v>10</v>
      </c>
      <c r="O654" s="5">
        <f t="shared" si="4623"/>
        <v>107064</v>
      </c>
      <c r="P654" s="5">
        <f t="shared" si="4624"/>
        <v>604800000</v>
      </c>
      <c r="Q654" s="5">
        <f t="shared" si="4625"/>
        <v>10080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70031</v>
      </c>
      <c r="X654" s="6" t="s">
        <v>181</v>
      </c>
      <c r="Y654" s="5">
        <v>300</v>
      </c>
      <c r="Z654" s="5">
        <v>1</v>
      </c>
      <c r="AA654" s="5">
        <v>234574704</v>
      </c>
      <c r="AB654" s="16" t="s">
        <v>111</v>
      </c>
      <c r="AC654" s="7" t="s">
        <v>112</v>
      </c>
      <c r="AD654" s="7" t="s">
        <v>112</v>
      </c>
      <c r="AE654" s="7" t="s">
        <v>112</v>
      </c>
      <c r="AF654" s="6" t="s">
        <v>113</v>
      </c>
      <c r="AG654" s="26" t="str">
        <f t="shared" ref="AG654" si="4700">CM$6</f>
        <v>4,28,6,28,6,4,28,6,28,6</v>
      </c>
      <c r="AH654" s="26" t="str">
        <f t="shared" ref="AH654" si="4701">CN$6</f>
        <v>0,0,1,0,1,0,0,1,0,1</v>
      </c>
      <c r="AI654" s="26" t="str">
        <f t="shared" ref="AI654" si="4702">CO$6</f>
        <v>0,0,0,0,1,0,0,0,0,1</v>
      </c>
      <c r="AJ654" s="26" t="str">
        <f t="shared" ref="AJ654" si="4703">CP$6</f>
        <v>0,0,5,0,5,0,0,5,0,5</v>
      </c>
      <c r="AK654" s="26" t="str">
        <f t="shared" ref="AK654" si="4704">CQ$6</f>
        <v>100,1000,5,1500,5,200,1000,5,1500,5</v>
      </c>
      <c r="AL654" s="26" t="str">
        <f t="shared" ref="AL654" si="4705">CR$6</f>
        <v>5,5,5,5,5,5,5,5,5,5</v>
      </c>
      <c r="AM654" s="7">
        <v>2001</v>
      </c>
      <c r="AO654">
        <f t="shared" ref="AO654" si="4706">AQ654*100+3</f>
        <v>7303</v>
      </c>
      <c r="AP654">
        <v>650</v>
      </c>
      <c r="AQ654">
        <f t="shared" si="4633"/>
        <v>73</v>
      </c>
      <c r="AR654">
        <v>12</v>
      </c>
      <c r="AS654" s="17">
        <f t="shared" si="4248"/>
        <v>410</v>
      </c>
      <c r="AT654">
        <v>11</v>
      </c>
      <c r="AU654">
        <f t="shared" si="4634"/>
        <v>34</v>
      </c>
      <c r="AV654">
        <v>150</v>
      </c>
      <c r="AW654">
        <f t="shared" si="4635"/>
        <v>107064.1152</v>
      </c>
      <c r="AX654">
        <f t="shared" si="4298"/>
        <v>604800000</v>
      </c>
      <c r="AY654">
        <f t="shared" si="4636"/>
        <v>10080</v>
      </c>
      <c r="AZ654">
        <f t="shared" si="4637"/>
        <v>20160</v>
      </c>
      <c r="BA654">
        <f t="shared" si="4638"/>
        <v>120960</v>
      </c>
      <c r="BB654">
        <f t="shared" si="4639"/>
        <v>5040</v>
      </c>
      <c r="BC654">
        <f t="shared" si="4299"/>
        <v>604800000</v>
      </c>
      <c r="BD654">
        <f t="shared" si="4640"/>
        <v>0.29411764705882354</v>
      </c>
      <c r="BE654" s="27">
        <f t="shared" si="4300"/>
        <v>1088204544.0000002</v>
      </c>
      <c r="BF654" s="30">
        <f t="shared" si="4641"/>
        <v>0.47519999999999996</v>
      </c>
      <c r="BG654" s="27"/>
      <c r="BH654" s="27"/>
      <c r="BI654" s="27"/>
      <c r="CA654" s="20">
        <f t="shared" si="4642"/>
        <v>460</v>
      </c>
      <c r="CB654" s="20">
        <f t="shared" si="4643"/>
        <v>46000</v>
      </c>
    </row>
    <row r="655" spans="1:80" x14ac:dyDescent="0.15">
      <c r="A655">
        <v>7304</v>
      </c>
      <c r="B655" s="3" t="s">
        <v>119</v>
      </c>
      <c r="C655" s="4" t="s">
        <v>109</v>
      </c>
      <c r="D655" s="6" t="s">
        <v>120</v>
      </c>
      <c r="E655" s="5">
        <v>3</v>
      </c>
      <c r="F655" s="7" t="s">
        <v>145</v>
      </c>
      <c r="G655" s="5">
        <v>3</v>
      </c>
      <c r="H655" s="7" t="s">
        <v>190</v>
      </c>
      <c r="I655" s="5">
        <v>0</v>
      </c>
      <c r="J655" s="5">
        <v>0</v>
      </c>
      <c r="K655">
        <v>2</v>
      </c>
      <c r="L655">
        <v>1.5</v>
      </c>
      <c r="M655" s="5">
        <v>1.5</v>
      </c>
      <c r="N655" s="5">
        <v>10</v>
      </c>
      <c r="O655" s="5">
        <f t="shared" si="4623"/>
        <v>108338</v>
      </c>
      <c r="P655" s="5">
        <f t="shared" si="4624"/>
        <v>612000000</v>
      </c>
      <c r="Q655" s="5">
        <f t="shared" si="4625"/>
        <v>10200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70041</v>
      </c>
      <c r="X655" s="6" t="s">
        <v>182</v>
      </c>
      <c r="Y655" s="5">
        <v>300</v>
      </c>
      <c r="Z655" s="5">
        <v>1</v>
      </c>
      <c r="AA655" s="5">
        <v>240627996</v>
      </c>
      <c r="AB655" s="16" t="s">
        <v>111</v>
      </c>
      <c r="AC655" s="7" t="s">
        <v>112</v>
      </c>
      <c r="AD655" s="7" t="s">
        <v>112</v>
      </c>
      <c r="AE655" s="7" t="s">
        <v>112</v>
      </c>
      <c r="AF655" s="6" t="s">
        <v>113</v>
      </c>
      <c r="AG655" s="26" t="str">
        <f t="shared" ref="AG655" si="4707">CM$7</f>
        <v>4,14,28,14,6,4,14,28,14,6</v>
      </c>
      <c r="AH655" s="26" t="str">
        <f t="shared" ref="AH655" si="4708">CN$7</f>
        <v>0,0,0,0,1,0,0,0,0,1</v>
      </c>
      <c r="AI655" s="26" t="str">
        <f t="shared" ref="AI655" si="4709">CO$7</f>
        <v>0,0,0,0,1,0,0,0,0,1</v>
      </c>
      <c r="AJ655" s="26" t="str">
        <f t="shared" ref="AJ655" si="4710">CP$7</f>
        <v>0,0,0,0,5,0,0,0,0,5</v>
      </c>
      <c r="AK655" s="26" t="str">
        <f t="shared" ref="AK655" si="4711">CQ$7</f>
        <v>100,1,1000,2,5,200,1,1000,2,5</v>
      </c>
      <c r="AL655" s="26" t="str">
        <f t="shared" ref="AL655" si="4712">CR$7</f>
        <v>5,5,5,5,5,5,5,5,5,5</v>
      </c>
      <c r="AM655" s="7">
        <v>2001</v>
      </c>
      <c r="AO655">
        <f t="shared" ref="AO655" si="4713">AQ655*100+4</f>
        <v>7304</v>
      </c>
      <c r="AP655">
        <v>651</v>
      </c>
      <c r="AQ655">
        <f t="shared" si="4633"/>
        <v>73</v>
      </c>
      <c r="AR655">
        <v>12</v>
      </c>
      <c r="AS655" s="17">
        <f t="shared" ref="AS655:AS718" si="4714">AS646+5</f>
        <v>415</v>
      </c>
      <c r="AT655">
        <v>11</v>
      </c>
      <c r="AU655">
        <f t="shared" si="4634"/>
        <v>34</v>
      </c>
      <c r="AV655">
        <v>150</v>
      </c>
      <c r="AW655">
        <f t="shared" si="4635"/>
        <v>108338.68800000001</v>
      </c>
      <c r="AX655">
        <f t="shared" si="4298"/>
        <v>612000000</v>
      </c>
      <c r="AY655">
        <f t="shared" si="4636"/>
        <v>10200</v>
      </c>
      <c r="AZ655">
        <f t="shared" si="4637"/>
        <v>20400</v>
      </c>
      <c r="BA655">
        <f t="shared" si="4638"/>
        <v>122400</v>
      </c>
      <c r="BB655">
        <f t="shared" si="4639"/>
        <v>5100</v>
      </c>
      <c r="BC655">
        <f t="shared" si="4299"/>
        <v>612000000</v>
      </c>
      <c r="BD655">
        <f t="shared" si="4640"/>
        <v>0.29411764705882354</v>
      </c>
      <c r="BE655" s="27">
        <f t="shared" si="4300"/>
        <v>1114268400.0000002</v>
      </c>
      <c r="BF655" s="30">
        <f t="shared" si="4641"/>
        <v>0.47519999999999996</v>
      </c>
      <c r="BG655" s="27"/>
      <c r="BH655" s="27"/>
      <c r="BI655" s="27"/>
      <c r="CA655" s="20">
        <f t="shared" si="4642"/>
        <v>460</v>
      </c>
      <c r="CB655" s="20">
        <f t="shared" si="4643"/>
        <v>46000</v>
      </c>
    </row>
    <row r="656" spans="1:80" x14ac:dyDescent="0.15">
      <c r="A656">
        <v>7305</v>
      </c>
      <c r="B656" s="3" t="s">
        <v>122</v>
      </c>
      <c r="C656" s="4" t="s">
        <v>109</v>
      </c>
      <c r="D656" s="4" t="s">
        <v>110</v>
      </c>
      <c r="E656" s="5">
        <v>2</v>
      </c>
      <c r="F656" s="7" t="s">
        <v>146</v>
      </c>
      <c r="G656" s="5">
        <v>3</v>
      </c>
      <c r="H656" s="7" t="s">
        <v>191</v>
      </c>
      <c r="I656" s="5">
        <v>0</v>
      </c>
      <c r="J656" s="7" t="s">
        <v>148</v>
      </c>
      <c r="K656">
        <v>6</v>
      </c>
      <c r="L656">
        <v>1.5</v>
      </c>
      <c r="M656" s="5">
        <v>1.5</v>
      </c>
      <c r="N656" s="5">
        <v>10</v>
      </c>
      <c r="O656" s="5">
        <f t="shared" si="4623"/>
        <v>109613</v>
      </c>
      <c r="P656" s="5">
        <f t="shared" si="4624"/>
        <v>619200000</v>
      </c>
      <c r="Q656" s="5">
        <f t="shared" si="4625"/>
        <v>10320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70051</v>
      </c>
      <c r="X656" s="6" t="s">
        <v>183</v>
      </c>
      <c r="Y656" s="5">
        <v>300</v>
      </c>
      <c r="Z656" s="5">
        <v>1</v>
      </c>
      <c r="AA656" s="5">
        <v>246758400</v>
      </c>
      <c r="AB656" s="16" t="s">
        <v>111</v>
      </c>
      <c r="AC656" s="7" t="s">
        <v>112</v>
      </c>
      <c r="AD656" s="7" t="s">
        <v>112</v>
      </c>
      <c r="AE656" s="7" t="s">
        <v>112</v>
      </c>
      <c r="AF656" s="6" t="s">
        <v>113</v>
      </c>
      <c r="AG656" s="26" t="str">
        <f t="shared" ref="AG656" si="4715">CM$8</f>
        <v>4,19,28,19,6,4,19,28,19,6</v>
      </c>
      <c r="AH656" s="26" t="str">
        <f t="shared" ref="AH656" si="4716">CN$8</f>
        <v>0,0,0,0,1,0,0,0,0,1</v>
      </c>
      <c r="AI656" s="26" t="str">
        <f t="shared" ref="AI656" si="4717">CO$8</f>
        <v>0,0,0,0,1,0,0,0,0,1</v>
      </c>
      <c r="AJ656" s="26" t="str">
        <f t="shared" ref="AJ656" si="4718">CP$8</f>
        <v>0,0,0,0,5,0,0,0,0,5</v>
      </c>
      <c r="AK656" s="26" t="str">
        <f t="shared" ref="AK656" si="4719">CQ$8</f>
        <v>200,100,1000,200,5,200,100,1000,200,5</v>
      </c>
      <c r="AL656" s="26" t="str">
        <f t="shared" ref="AL656" si="4720">CR$8</f>
        <v>5,5,5,5,5,5,5,5,5,5</v>
      </c>
      <c r="AM656" s="7">
        <v>2001</v>
      </c>
      <c r="AO656">
        <f t="shared" ref="AO656" si="4721">AQ656*100+5</f>
        <v>7305</v>
      </c>
      <c r="AP656">
        <v>652</v>
      </c>
      <c r="AQ656">
        <f t="shared" si="4633"/>
        <v>73</v>
      </c>
      <c r="AR656">
        <v>12</v>
      </c>
      <c r="AS656" s="17">
        <f t="shared" si="4714"/>
        <v>420</v>
      </c>
      <c r="AT656">
        <v>11</v>
      </c>
      <c r="AU656">
        <f t="shared" si="4634"/>
        <v>34</v>
      </c>
      <c r="AV656">
        <v>150</v>
      </c>
      <c r="AW656">
        <f t="shared" si="4635"/>
        <v>109613.2608</v>
      </c>
      <c r="AX656">
        <f t="shared" si="4298"/>
        <v>619200000</v>
      </c>
      <c r="AY656">
        <f t="shared" si="4636"/>
        <v>10320</v>
      </c>
      <c r="AZ656">
        <f t="shared" si="4637"/>
        <v>20640</v>
      </c>
      <c r="BA656">
        <f t="shared" si="4638"/>
        <v>123840</v>
      </c>
      <c r="BB656">
        <f t="shared" si="4639"/>
        <v>5160</v>
      </c>
      <c r="BC656">
        <f t="shared" si="4299"/>
        <v>619200000</v>
      </c>
      <c r="BD656">
        <f t="shared" si="4640"/>
        <v>0.29411764705882354</v>
      </c>
      <c r="BE656" s="27">
        <f t="shared" si="4300"/>
        <v>1140640704.0000002</v>
      </c>
      <c r="BF656" s="30">
        <f t="shared" si="4641"/>
        <v>0.47519999999999996</v>
      </c>
      <c r="BG656" s="27"/>
      <c r="BH656" s="27"/>
      <c r="BI656" s="27"/>
      <c r="CA656" s="20">
        <f t="shared" si="4642"/>
        <v>460</v>
      </c>
      <c r="CB656" s="20">
        <f t="shared" si="4643"/>
        <v>46000</v>
      </c>
    </row>
    <row r="657" spans="1:80" x14ac:dyDescent="0.15">
      <c r="A657">
        <v>7306</v>
      </c>
      <c r="B657" s="3" t="s">
        <v>124</v>
      </c>
      <c r="C657" s="4" t="s">
        <v>109</v>
      </c>
      <c r="D657" s="6" t="s">
        <v>120</v>
      </c>
      <c r="E657" s="5">
        <v>1</v>
      </c>
      <c r="F657" s="7" t="s">
        <v>147</v>
      </c>
      <c r="G657" s="5">
        <v>3</v>
      </c>
      <c r="H657" s="7" t="s">
        <v>192</v>
      </c>
      <c r="I657" s="5">
        <v>0</v>
      </c>
      <c r="J657" s="7" t="s">
        <v>149</v>
      </c>
      <c r="K657">
        <v>6</v>
      </c>
      <c r="L657">
        <v>1.5</v>
      </c>
      <c r="M657" s="5">
        <v>1.5</v>
      </c>
      <c r="N657" s="5">
        <v>10</v>
      </c>
      <c r="O657" s="5">
        <f t="shared" si="4623"/>
        <v>110887</v>
      </c>
      <c r="P657" s="5">
        <f t="shared" si="4624"/>
        <v>626400000</v>
      </c>
      <c r="Q657" s="5">
        <f t="shared" si="4625"/>
        <v>10440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70061</v>
      </c>
      <c r="X657" s="6" t="s">
        <v>184</v>
      </c>
      <c r="Y657" s="5">
        <v>300</v>
      </c>
      <c r="Z657" s="5">
        <v>1</v>
      </c>
      <c r="AA657" s="5">
        <v>252965916</v>
      </c>
      <c r="AB657" s="16" t="s">
        <v>111</v>
      </c>
      <c r="AC657" s="7" t="s">
        <v>112</v>
      </c>
      <c r="AD657" s="7" t="s">
        <v>112</v>
      </c>
      <c r="AE657" s="7" t="s">
        <v>112</v>
      </c>
      <c r="AF657" s="6" t="s">
        <v>113</v>
      </c>
      <c r="AG657" s="26" t="str">
        <f t="shared" ref="AG657" si="4722">CM$9</f>
        <v>4,33,28,33,6,4,33,28,33,6</v>
      </c>
      <c r="AH657" s="26" t="str">
        <f t="shared" ref="AH657" si="4723">CN$9</f>
        <v>0,6,0,6,1,0,6,0,6,1</v>
      </c>
      <c r="AI657" s="26" t="str">
        <f t="shared" ref="AI657" si="4724">CO$9</f>
        <v>0,0,0,0,1,0,0,0,0,1</v>
      </c>
      <c r="AJ657" s="26" t="str">
        <f t="shared" ref="AJ657" si="4725">CP$9</f>
        <v>0,0,0,0,5,0,0,0,0,5</v>
      </c>
      <c r="AK657" s="26" t="str">
        <f t="shared" ref="AK657" si="4726">CQ$9</f>
        <v>200,1,1000,2,5,200,1,1000,2,5</v>
      </c>
      <c r="AL657" s="26" t="str">
        <f t="shared" ref="AL657" si="4727">CR$9</f>
        <v>5,5,5,5,5,5,5,5,5,5</v>
      </c>
      <c r="AM657" s="7">
        <v>2001</v>
      </c>
      <c r="AO657">
        <f t="shared" ref="AO657" si="4728">AQ657*100+6</f>
        <v>7306</v>
      </c>
      <c r="AP657">
        <v>653</v>
      </c>
      <c r="AQ657">
        <f t="shared" si="4633"/>
        <v>73</v>
      </c>
      <c r="AR657">
        <v>12</v>
      </c>
      <c r="AS657" s="17">
        <f t="shared" si="4714"/>
        <v>425</v>
      </c>
      <c r="AT657">
        <v>11</v>
      </c>
      <c r="AU657">
        <f t="shared" si="4634"/>
        <v>34</v>
      </c>
      <c r="AV657">
        <v>150</v>
      </c>
      <c r="AW657">
        <f t="shared" si="4635"/>
        <v>110887.8336</v>
      </c>
      <c r="AX657">
        <f t="shared" si="4298"/>
        <v>626400000</v>
      </c>
      <c r="AY657">
        <f t="shared" si="4636"/>
        <v>10440</v>
      </c>
      <c r="AZ657">
        <f t="shared" si="4637"/>
        <v>20880</v>
      </c>
      <c r="BA657">
        <f t="shared" si="4638"/>
        <v>125280</v>
      </c>
      <c r="BB657">
        <f t="shared" si="4639"/>
        <v>5220</v>
      </c>
      <c r="BC657">
        <f t="shared" si="4299"/>
        <v>626400000</v>
      </c>
      <c r="BD657">
        <f t="shared" si="4640"/>
        <v>0.29411764705882354</v>
      </c>
      <c r="BE657" s="27">
        <f t="shared" si="4300"/>
        <v>1167321456.0000002</v>
      </c>
      <c r="BF657" s="30">
        <f t="shared" si="4641"/>
        <v>0.47519999999999996</v>
      </c>
      <c r="BG657" s="27"/>
      <c r="BH657" s="27"/>
      <c r="BI657" s="27"/>
      <c r="CA657" s="20">
        <f t="shared" si="4642"/>
        <v>460</v>
      </c>
      <c r="CB657" s="20">
        <f t="shared" si="4643"/>
        <v>46000</v>
      </c>
    </row>
    <row r="658" spans="1:80" x14ac:dyDescent="0.15">
      <c r="A658">
        <v>7307</v>
      </c>
      <c r="B658" s="3" t="s">
        <v>126</v>
      </c>
      <c r="C658" s="4" t="s">
        <v>109</v>
      </c>
      <c r="D658" s="4" t="s">
        <v>110</v>
      </c>
      <c r="E658" s="5">
        <v>2</v>
      </c>
      <c r="F658" s="7" t="s">
        <v>143</v>
      </c>
      <c r="G658" s="5">
        <v>3</v>
      </c>
      <c r="H658" s="7" t="s">
        <v>193</v>
      </c>
      <c r="I658" s="5">
        <v>0</v>
      </c>
      <c r="J658" s="5">
        <v>0</v>
      </c>
      <c r="K658">
        <v>2</v>
      </c>
      <c r="L658">
        <v>1.5</v>
      </c>
      <c r="M658" s="5">
        <v>1.5</v>
      </c>
      <c r="N658" s="5">
        <v>10</v>
      </c>
      <c r="O658" s="5">
        <f t="shared" si="4623"/>
        <v>112162</v>
      </c>
      <c r="P658" s="5">
        <f t="shared" si="4624"/>
        <v>633600000</v>
      </c>
      <c r="Q658" s="5">
        <f t="shared" si="4625"/>
        <v>10560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70071</v>
      </c>
      <c r="X658" s="6" t="s">
        <v>185</v>
      </c>
      <c r="Y658" s="5">
        <v>300</v>
      </c>
      <c r="Z658" s="5">
        <v>1</v>
      </c>
      <c r="AA658" s="5">
        <v>259250544</v>
      </c>
      <c r="AB658" s="16" t="s">
        <v>111</v>
      </c>
      <c r="AC658" s="7" t="s">
        <v>112</v>
      </c>
      <c r="AD658" s="7" t="s">
        <v>112</v>
      </c>
      <c r="AE658" s="7" t="s">
        <v>112</v>
      </c>
      <c r="AF658" s="6" t="s">
        <v>113</v>
      </c>
      <c r="AG658" s="26" t="str">
        <f t="shared" ref="AG658" si="4729">CM$10</f>
        <v>4,14,28,14,6,4,14,28,14,6</v>
      </c>
      <c r="AH658" s="26" t="str">
        <f t="shared" ref="AH658" si="4730">CN$10</f>
        <v>0,0,0,0,1,0,0,0,0,1</v>
      </c>
      <c r="AI658" s="26" t="str">
        <f t="shared" ref="AI658" si="4731">CO$10</f>
        <v>0,0,0,0,1,0,0,0,0,1</v>
      </c>
      <c r="AJ658" s="26" t="str">
        <f t="shared" ref="AJ658" si="4732">CP$10</f>
        <v>0,0,0,0,5,0,0,0,0,5</v>
      </c>
      <c r="AK658" s="26" t="str">
        <f t="shared" ref="AK658" si="4733">CQ$10</f>
        <v>200,1,1000,2,5,200,1,1000,2,5</v>
      </c>
      <c r="AL658" s="26" t="str">
        <f t="shared" ref="AL658" si="4734">CR$10</f>
        <v>5,5,5,5,5,5,5,5,5,5</v>
      </c>
      <c r="AM658" s="7">
        <v>2001</v>
      </c>
      <c r="AO658">
        <f t="shared" ref="AO658" si="4735">AQ658*100+7</f>
        <v>7307</v>
      </c>
      <c r="AP658">
        <v>654</v>
      </c>
      <c r="AQ658">
        <f t="shared" si="4633"/>
        <v>73</v>
      </c>
      <c r="AR658">
        <v>12</v>
      </c>
      <c r="AS658" s="17">
        <f t="shared" si="4714"/>
        <v>430</v>
      </c>
      <c r="AT658">
        <v>11</v>
      </c>
      <c r="AU658">
        <f t="shared" si="4634"/>
        <v>34</v>
      </c>
      <c r="AV658">
        <v>150</v>
      </c>
      <c r="AW658">
        <f t="shared" si="4635"/>
        <v>112162.40640000001</v>
      </c>
      <c r="AX658">
        <f t="shared" si="4298"/>
        <v>633600000</v>
      </c>
      <c r="AY658">
        <f t="shared" si="4636"/>
        <v>10560</v>
      </c>
      <c r="AZ658">
        <f t="shared" si="4637"/>
        <v>21120</v>
      </c>
      <c r="BA658">
        <f t="shared" si="4638"/>
        <v>126720</v>
      </c>
      <c r="BB658">
        <f t="shared" si="4639"/>
        <v>5280</v>
      </c>
      <c r="BC658">
        <f t="shared" si="4299"/>
        <v>633600000</v>
      </c>
      <c r="BD658">
        <f t="shared" si="4640"/>
        <v>0.29411764705882354</v>
      </c>
      <c r="BE658" s="27">
        <f t="shared" si="4300"/>
        <v>1194310656.0000002</v>
      </c>
      <c r="BF658" s="30">
        <f t="shared" si="4641"/>
        <v>0.47519999999999996</v>
      </c>
      <c r="BG658" s="27"/>
      <c r="BH658" s="27"/>
      <c r="BI658" s="27"/>
      <c r="CA658" s="20">
        <f t="shared" si="4642"/>
        <v>460</v>
      </c>
      <c r="CB658" s="20">
        <f t="shared" si="4643"/>
        <v>46000</v>
      </c>
    </row>
    <row r="659" spans="1:80" x14ac:dyDescent="0.15">
      <c r="A659">
        <v>7308</v>
      </c>
      <c r="B659" s="3" t="s">
        <v>128</v>
      </c>
      <c r="C659" s="4" t="s">
        <v>109</v>
      </c>
      <c r="D659" s="4" t="s">
        <v>110</v>
      </c>
      <c r="E659" s="5">
        <v>5</v>
      </c>
      <c r="F659" s="7" t="s">
        <v>129</v>
      </c>
      <c r="G659" s="5">
        <v>2</v>
      </c>
      <c r="H659" s="7" t="s">
        <v>130</v>
      </c>
      <c r="I659" s="5">
        <v>0</v>
      </c>
      <c r="J659" s="5">
        <v>0</v>
      </c>
      <c r="K659">
        <v>2</v>
      </c>
      <c r="L659">
        <v>1.5</v>
      </c>
      <c r="M659" s="5">
        <v>1.5</v>
      </c>
      <c r="N659" s="5">
        <v>10</v>
      </c>
      <c r="O659" s="5">
        <f t="shared" si="4623"/>
        <v>113436</v>
      </c>
      <c r="P659" s="5">
        <f t="shared" si="4624"/>
        <v>640800000</v>
      </c>
      <c r="Q659" s="5">
        <f t="shared" si="4625"/>
        <v>10680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70081</v>
      </c>
      <c r="X659" s="6" t="s">
        <v>186</v>
      </c>
      <c r="Y659" s="5">
        <v>300</v>
      </c>
      <c r="Z659" s="5">
        <v>1</v>
      </c>
      <c r="AA659" s="5">
        <v>265612284</v>
      </c>
      <c r="AB659" s="16" t="s">
        <v>111</v>
      </c>
      <c r="AC659" s="7" t="s">
        <v>112</v>
      </c>
      <c r="AD659" s="7" t="s">
        <v>112</v>
      </c>
      <c r="AE659" s="7" t="s">
        <v>112</v>
      </c>
      <c r="AF659" s="6" t="s">
        <v>113</v>
      </c>
      <c r="AG659" s="26" t="str">
        <f t="shared" ref="AG659" si="4736">CM$11</f>
        <v>4,28,6,28,6,4,28,6,28,6</v>
      </c>
      <c r="AH659" s="26" t="str">
        <f t="shared" ref="AH659" si="4737">CN$11</f>
        <v>0,0,1,0,1,0,0,1,0,1</v>
      </c>
      <c r="AI659" s="26" t="str">
        <f t="shared" ref="AI659" si="4738">CO$11</f>
        <v>0,0,1,0,1,0,0,1,0,1</v>
      </c>
      <c r="AJ659" s="26" t="str">
        <f t="shared" ref="AJ659" si="4739">CP$11</f>
        <v>0,0,5,0,5,0,0,5,0,5</v>
      </c>
      <c r="AK659" s="26" t="str">
        <f t="shared" ref="AK659" si="4740">CQ$11</f>
        <v>100,1000,5,1500,5,200,1000,5,1500,5</v>
      </c>
      <c r="AL659" s="26" t="str">
        <f t="shared" ref="AL659" si="4741">CR$11</f>
        <v>5,5,5,5,5,5,5,5,5,5</v>
      </c>
      <c r="AM659" s="7">
        <v>2001</v>
      </c>
      <c r="AO659">
        <f t="shared" ref="AO659" si="4742">AQ659*100+8</f>
        <v>7308</v>
      </c>
      <c r="AP659">
        <v>655</v>
      </c>
      <c r="AQ659">
        <f t="shared" si="4633"/>
        <v>73</v>
      </c>
      <c r="AR659">
        <v>12</v>
      </c>
      <c r="AS659" s="17">
        <f t="shared" si="4714"/>
        <v>435</v>
      </c>
      <c r="AT659">
        <v>11</v>
      </c>
      <c r="AU659">
        <f t="shared" si="4634"/>
        <v>34</v>
      </c>
      <c r="AV659">
        <v>150</v>
      </c>
      <c r="AW659">
        <f t="shared" si="4635"/>
        <v>113436.9792</v>
      </c>
      <c r="AX659">
        <f t="shared" si="4298"/>
        <v>640800000</v>
      </c>
      <c r="AY659">
        <f t="shared" si="4636"/>
        <v>10680</v>
      </c>
      <c r="AZ659">
        <f t="shared" si="4637"/>
        <v>21360</v>
      </c>
      <c r="BA659">
        <f t="shared" si="4638"/>
        <v>128160</v>
      </c>
      <c r="BB659">
        <f t="shared" si="4639"/>
        <v>5340</v>
      </c>
      <c r="BC659">
        <f t="shared" si="4299"/>
        <v>640800000</v>
      </c>
      <c r="BD659">
        <f t="shared" si="4640"/>
        <v>0.29411764705882354</v>
      </c>
      <c r="BE659" s="27">
        <f t="shared" si="4300"/>
        <v>1221608304.0000002</v>
      </c>
      <c r="BF659" s="30">
        <f t="shared" si="4641"/>
        <v>0.47519999999999996</v>
      </c>
      <c r="BG659" s="27"/>
      <c r="BH659" s="27"/>
      <c r="BI659" s="27"/>
      <c r="CA659" s="20">
        <f t="shared" si="4642"/>
        <v>460</v>
      </c>
      <c r="CB659" s="20">
        <f t="shared" si="4643"/>
        <v>46000</v>
      </c>
    </row>
    <row r="660" spans="1:80" x14ac:dyDescent="0.15">
      <c r="A660">
        <v>7309</v>
      </c>
      <c r="B660" s="3" t="s">
        <v>132</v>
      </c>
      <c r="C660" s="4" t="s">
        <v>109</v>
      </c>
      <c r="D660" s="4" t="s">
        <v>110</v>
      </c>
      <c r="E660" s="5">
        <v>5</v>
      </c>
      <c r="F660" s="7" t="s">
        <v>140</v>
      </c>
      <c r="G660" s="5">
        <v>3</v>
      </c>
      <c r="H660" s="7" t="s">
        <v>140</v>
      </c>
      <c r="I660" s="5">
        <v>0</v>
      </c>
      <c r="J660" s="7">
        <v>0</v>
      </c>
      <c r="K660">
        <v>6</v>
      </c>
      <c r="L660">
        <v>1.5</v>
      </c>
      <c r="M660" s="5">
        <v>1.5</v>
      </c>
      <c r="N660" s="5">
        <v>10</v>
      </c>
      <c r="O660" s="5">
        <f t="shared" si="4623"/>
        <v>114711</v>
      </c>
      <c r="P660" s="5">
        <f t="shared" si="4624"/>
        <v>648000000</v>
      </c>
      <c r="Q660" s="5">
        <f t="shared" si="4625"/>
        <v>10800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70091</v>
      </c>
      <c r="X660" s="6" t="s">
        <v>187</v>
      </c>
      <c r="Y660" s="5">
        <v>300</v>
      </c>
      <c r="Z660" s="5">
        <v>1</v>
      </c>
      <c r="AA660" s="5">
        <v>272051136</v>
      </c>
      <c r="AB660" s="16" t="s">
        <v>111</v>
      </c>
      <c r="AC660" s="7" t="s">
        <v>112</v>
      </c>
      <c r="AD660" s="7" t="s">
        <v>112</v>
      </c>
      <c r="AE660" s="7" t="s">
        <v>112</v>
      </c>
      <c r="AF660" s="6" t="s">
        <v>113</v>
      </c>
      <c r="AG660" s="26" t="str">
        <f t="shared" ref="AG660" si="4743">CM$12</f>
        <v>4,33,28,33,6,4,33,28,33,6</v>
      </c>
      <c r="AH660" s="26" t="str">
        <f t="shared" ref="AH660" si="4744">CN$12</f>
        <v>0,5,0,5,1,0,5,0,5,1</v>
      </c>
      <c r="AI660" s="26" t="str">
        <f t="shared" ref="AI660" si="4745">CO$12</f>
        <v>0,0,0,0,1,0,0,0,0,1</v>
      </c>
      <c r="AJ660" s="26" t="str">
        <f t="shared" ref="AJ660" si="4746">CP$12</f>
        <v>0,0,0,0,5,0,0,0,0,5</v>
      </c>
      <c r="AK660" s="26" t="str">
        <f t="shared" ref="AK660" si="4747">CQ$12</f>
        <v>100,1,1000,2,5,200,1,1000,2,5</v>
      </c>
      <c r="AL660" s="26" t="str">
        <f t="shared" ref="AL660" si="4748">CR$12</f>
        <v>5,5,5,5,5,5,5,5,5,5</v>
      </c>
      <c r="AM660" s="7">
        <v>2001</v>
      </c>
      <c r="AO660">
        <f t="shared" ref="AO660" si="4749">AQ660*100+9</f>
        <v>7309</v>
      </c>
      <c r="AP660">
        <v>656</v>
      </c>
      <c r="AQ660">
        <f t="shared" si="4633"/>
        <v>73</v>
      </c>
      <c r="AR660">
        <v>12</v>
      </c>
      <c r="AS660" s="17">
        <f t="shared" si="4714"/>
        <v>440</v>
      </c>
      <c r="AT660">
        <v>11</v>
      </c>
      <c r="AU660">
        <f t="shared" si="4634"/>
        <v>34</v>
      </c>
      <c r="AV660">
        <v>150</v>
      </c>
      <c r="AW660">
        <f t="shared" si="4635"/>
        <v>114711.55200000001</v>
      </c>
      <c r="AX660">
        <f t="shared" si="4298"/>
        <v>648000000</v>
      </c>
      <c r="AY660">
        <f t="shared" si="4636"/>
        <v>10800</v>
      </c>
      <c r="AZ660">
        <f t="shared" si="4637"/>
        <v>21600</v>
      </c>
      <c r="BA660">
        <f t="shared" si="4638"/>
        <v>129600</v>
      </c>
      <c r="BB660">
        <f t="shared" si="4639"/>
        <v>5400</v>
      </c>
      <c r="BC660">
        <f t="shared" si="4299"/>
        <v>648000000</v>
      </c>
      <c r="BD660">
        <f t="shared" si="4640"/>
        <v>0.29411764705882354</v>
      </c>
      <c r="BE660" s="27">
        <f t="shared" si="4300"/>
        <v>1249214400.0000002</v>
      </c>
      <c r="BF660" s="30">
        <f t="shared" si="4641"/>
        <v>0.47519999999999996</v>
      </c>
      <c r="BG660" s="27"/>
      <c r="BH660" s="27"/>
      <c r="BI660" s="27"/>
      <c r="CA660" s="20">
        <f t="shared" si="4642"/>
        <v>460</v>
      </c>
      <c r="CB660" s="20">
        <f t="shared" si="4643"/>
        <v>46000</v>
      </c>
    </row>
    <row r="661" spans="1:80" x14ac:dyDescent="0.15">
      <c r="A661">
        <v>7401</v>
      </c>
      <c r="B661" s="3" t="s">
        <v>108</v>
      </c>
      <c r="C661" s="4" t="s">
        <v>109</v>
      </c>
      <c r="D661" s="4" t="s">
        <v>110</v>
      </c>
      <c r="E661" s="5">
        <v>3</v>
      </c>
      <c r="F661" s="7" t="s">
        <v>141</v>
      </c>
      <c r="G661" s="5">
        <v>2.5</v>
      </c>
      <c r="H661" s="7" t="s">
        <v>194</v>
      </c>
      <c r="I661" s="5">
        <v>0</v>
      </c>
      <c r="J661" s="5">
        <v>0</v>
      </c>
      <c r="K661">
        <v>2</v>
      </c>
      <c r="L661">
        <v>1.5</v>
      </c>
      <c r="M661" s="5">
        <v>1.5</v>
      </c>
      <c r="N661" s="5">
        <v>10</v>
      </c>
      <c r="O661" s="5">
        <f t="shared" si="4623"/>
        <v>105961</v>
      </c>
      <c r="P661" s="5">
        <f t="shared" si="4624"/>
        <v>597600000</v>
      </c>
      <c r="Q661" s="5">
        <f t="shared" si="4625"/>
        <v>9960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70011</v>
      </c>
      <c r="X661" s="6" t="s">
        <v>179</v>
      </c>
      <c r="Y661" s="5">
        <v>300</v>
      </c>
      <c r="Z661" s="5">
        <v>1</v>
      </c>
      <c r="AA661" s="5">
        <v>278567100</v>
      </c>
      <c r="AB661" s="16" t="s">
        <v>111</v>
      </c>
      <c r="AC661" s="7" t="s">
        <v>112</v>
      </c>
      <c r="AD661" s="7" t="s">
        <v>112</v>
      </c>
      <c r="AE661" s="7" t="s">
        <v>112</v>
      </c>
      <c r="AF661" s="6" t="s">
        <v>113</v>
      </c>
      <c r="AG661" s="26" t="str">
        <f t="shared" ref="AG661" si="4750">CM$4</f>
        <v>4,33,28,33,6,4,33,28,33,6</v>
      </c>
      <c r="AH661" s="26" t="str">
        <f t="shared" ref="AH661" si="4751">CN$4</f>
        <v>0,8,0,8,1,0,8,0,8,1</v>
      </c>
      <c r="AI661" s="26" t="str">
        <f t="shared" ref="AI661" si="4752">CO$4</f>
        <v>0,0,0,0,1,0,0,0,0,1</v>
      </c>
      <c r="AJ661" s="26" t="str">
        <f t="shared" ref="AJ661" si="4753">CP$4</f>
        <v>0,0,0,0,5,0,0,0,0,5</v>
      </c>
      <c r="AK661" s="26" t="str">
        <f t="shared" ref="AK661" si="4754">CQ$4</f>
        <v>100,1,1000,2,5,200,1,1000,2,5</v>
      </c>
      <c r="AL661" s="26" t="str">
        <f t="shared" ref="AL661" si="4755">CR$4</f>
        <v>5,5,5,5,5,5,5,5,5,5</v>
      </c>
      <c r="AM661" s="7">
        <v>2001</v>
      </c>
      <c r="AO661">
        <f t="shared" ref="AO661" si="4756">AQ661*100+1</f>
        <v>7401</v>
      </c>
      <c r="AP661">
        <v>657</v>
      </c>
      <c r="AQ661">
        <f t="shared" si="4633"/>
        <v>74</v>
      </c>
      <c r="AR661">
        <v>12</v>
      </c>
      <c r="AS661" s="17">
        <f t="shared" si="4714"/>
        <v>405</v>
      </c>
      <c r="AT661">
        <v>11</v>
      </c>
      <c r="AU661">
        <f t="shared" si="4634"/>
        <v>34</v>
      </c>
      <c r="AV661">
        <v>150</v>
      </c>
      <c r="AW661">
        <f t="shared" si="4635"/>
        <v>105961.65120000001</v>
      </c>
      <c r="AX661">
        <f t="shared" si="4298"/>
        <v>597600000</v>
      </c>
      <c r="AY661">
        <f t="shared" si="4636"/>
        <v>9960</v>
      </c>
      <c r="AZ661">
        <f t="shared" si="4637"/>
        <v>19920</v>
      </c>
      <c r="BA661">
        <f t="shared" si="4638"/>
        <v>119520</v>
      </c>
      <c r="BB661">
        <f t="shared" si="4639"/>
        <v>4980</v>
      </c>
      <c r="BC661">
        <f t="shared" si="4299"/>
        <v>597600000</v>
      </c>
      <c r="BD661">
        <f t="shared" si="4640"/>
        <v>0.29411764705882354</v>
      </c>
      <c r="BE661" s="27">
        <f t="shared" si="4300"/>
        <v>1062449136.0000002</v>
      </c>
      <c r="BF661" s="30">
        <f t="shared" si="4641"/>
        <v>0.47759999999999997</v>
      </c>
      <c r="BG661" s="27"/>
      <c r="BH661" s="27"/>
      <c r="BI661" s="27"/>
      <c r="CA661" s="20">
        <f t="shared" si="4642"/>
        <v>465</v>
      </c>
      <c r="CB661" s="20">
        <f t="shared" si="4643"/>
        <v>46500</v>
      </c>
    </row>
    <row r="662" spans="1:80" x14ac:dyDescent="0.15">
      <c r="A662">
        <v>7402</v>
      </c>
      <c r="B662" s="3" t="s">
        <v>115</v>
      </c>
      <c r="C662" s="4" t="s">
        <v>109</v>
      </c>
      <c r="D662" s="6" t="s">
        <v>110</v>
      </c>
      <c r="E662" s="5">
        <v>3</v>
      </c>
      <c r="F662" s="7" t="s">
        <v>142</v>
      </c>
      <c r="G662" s="5">
        <v>3</v>
      </c>
      <c r="H662" s="7" t="s">
        <v>188</v>
      </c>
      <c r="I662" s="5">
        <v>0</v>
      </c>
      <c r="J662" s="5">
        <v>0</v>
      </c>
      <c r="K662">
        <v>2</v>
      </c>
      <c r="L662">
        <v>1.5</v>
      </c>
      <c r="M662" s="5">
        <v>1.5</v>
      </c>
      <c r="N662" s="5">
        <v>10</v>
      </c>
      <c r="O662" s="5">
        <f t="shared" si="4623"/>
        <v>107238</v>
      </c>
      <c r="P662" s="5">
        <f t="shared" si="4624"/>
        <v>604800000</v>
      </c>
      <c r="Q662" s="5">
        <f t="shared" si="4625"/>
        <v>10080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70021</v>
      </c>
      <c r="X662" s="6" t="s">
        <v>180</v>
      </c>
      <c r="Y662" s="5">
        <v>300</v>
      </c>
      <c r="Z662" s="5">
        <v>1</v>
      </c>
      <c r="AA662" s="5">
        <v>234574704</v>
      </c>
      <c r="AB662" s="16" t="s">
        <v>111</v>
      </c>
      <c r="AC662" s="7" t="s">
        <v>112</v>
      </c>
      <c r="AD662" s="7" t="s">
        <v>112</v>
      </c>
      <c r="AE662" s="7" t="s">
        <v>112</v>
      </c>
      <c r="AF662" s="6" t="s">
        <v>113</v>
      </c>
      <c r="AG662" s="26" t="str">
        <f t="shared" ref="AG662" si="4757">CM$5</f>
        <v>4,33,28,33,6,4,33,28,33,6</v>
      </c>
      <c r="AH662" s="26" t="str">
        <f t="shared" ref="AH662" si="4758">CN$5</f>
        <v>0,7,0,7,1,0,7,0,7,1</v>
      </c>
      <c r="AI662" s="26" t="str">
        <f t="shared" ref="AI662" si="4759">CO$5</f>
        <v>0,0,0,0,1,0,0,0,0,1</v>
      </c>
      <c r="AJ662" s="26" t="str">
        <f t="shared" ref="AJ662" si="4760">CP$5</f>
        <v>0,0,0,0,5,0,0,0,0,5</v>
      </c>
      <c r="AK662" s="26" t="str">
        <f t="shared" ref="AK662" si="4761">CQ$5</f>
        <v>100,1,1000,2,5,200,1,1000,2,5</v>
      </c>
      <c r="AL662" s="26" t="str">
        <f t="shared" ref="AL662" si="4762">CR$5</f>
        <v>5,5,5,5,5,5,5,5,5,5</v>
      </c>
      <c r="AM662" s="7">
        <v>2001</v>
      </c>
      <c r="AO662">
        <f t="shared" ref="AO662" si="4763">AQ662*100+2</f>
        <v>7402</v>
      </c>
      <c r="AP662">
        <v>658</v>
      </c>
      <c r="AQ662">
        <f t="shared" si="4633"/>
        <v>74</v>
      </c>
      <c r="AR662">
        <v>12</v>
      </c>
      <c r="AS662" s="17">
        <f t="shared" si="4714"/>
        <v>410</v>
      </c>
      <c r="AT662">
        <v>11</v>
      </c>
      <c r="AU662">
        <f t="shared" si="4634"/>
        <v>34</v>
      </c>
      <c r="AV662">
        <v>150</v>
      </c>
      <c r="AW662">
        <f t="shared" si="4635"/>
        <v>107238.29760000001</v>
      </c>
      <c r="AX662">
        <f t="shared" ref="AX662:AX725" si="4764">BC662</f>
        <v>604800000</v>
      </c>
      <c r="AY662">
        <f t="shared" si="4636"/>
        <v>10080</v>
      </c>
      <c r="AZ662">
        <f t="shared" si="4637"/>
        <v>20160</v>
      </c>
      <c r="BA662">
        <f t="shared" si="4638"/>
        <v>120960</v>
      </c>
      <c r="BB662">
        <f t="shared" si="4639"/>
        <v>5040</v>
      </c>
      <c r="BC662">
        <f t="shared" ref="BC662:BC725" si="4765">90/1.5*AZ662*(1/(1+AZ662/(5*BB662)))*6*AV662</f>
        <v>604800000</v>
      </c>
      <c r="BD662">
        <f t="shared" si="4640"/>
        <v>0.29411764705882354</v>
      </c>
      <c r="BE662" s="27">
        <f t="shared" ref="BE662:BE725" si="4766">BC662/10000/(1-BD662)/1*AZ662/L662*(1+0.1*0.5)*0.9*1</f>
        <v>1088204544.0000002</v>
      </c>
      <c r="BF662" s="30">
        <f t="shared" si="4641"/>
        <v>0.47759999999999997</v>
      </c>
      <c r="BG662" s="27"/>
      <c r="BH662" s="27"/>
      <c r="BI662" s="27"/>
      <c r="CA662" s="20">
        <f t="shared" si="4642"/>
        <v>465</v>
      </c>
      <c r="CB662" s="20">
        <f t="shared" si="4643"/>
        <v>46500</v>
      </c>
    </row>
    <row r="663" spans="1:80" x14ac:dyDescent="0.15">
      <c r="A663">
        <v>7403</v>
      </c>
      <c r="B663" s="3" t="s">
        <v>117</v>
      </c>
      <c r="C663" s="4" t="s">
        <v>109</v>
      </c>
      <c r="D663" s="4" t="s">
        <v>110</v>
      </c>
      <c r="E663" s="5">
        <v>1</v>
      </c>
      <c r="F663" s="7" t="s">
        <v>144</v>
      </c>
      <c r="G663" s="5">
        <v>3</v>
      </c>
      <c r="H663" s="7" t="s">
        <v>189</v>
      </c>
      <c r="I663" s="5">
        <v>0</v>
      </c>
      <c r="J663" s="2">
        <v>0</v>
      </c>
      <c r="K663">
        <v>6</v>
      </c>
      <c r="L663">
        <v>1.5</v>
      </c>
      <c r="M663" s="5">
        <v>1.5</v>
      </c>
      <c r="N663" s="5">
        <v>10</v>
      </c>
      <c r="O663" s="5">
        <f t="shared" si="4623"/>
        <v>108514</v>
      </c>
      <c r="P663" s="5">
        <f t="shared" si="4624"/>
        <v>612000000</v>
      </c>
      <c r="Q663" s="5">
        <f t="shared" si="4625"/>
        <v>10200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70031</v>
      </c>
      <c r="X663" s="6" t="s">
        <v>181</v>
      </c>
      <c r="Y663" s="5">
        <v>300</v>
      </c>
      <c r="Z663" s="5">
        <v>1</v>
      </c>
      <c r="AA663" s="5">
        <v>240627996</v>
      </c>
      <c r="AB663" s="16" t="s">
        <v>111</v>
      </c>
      <c r="AC663" s="7" t="s">
        <v>112</v>
      </c>
      <c r="AD663" s="7" t="s">
        <v>112</v>
      </c>
      <c r="AE663" s="7" t="s">
        <v>112</v>
      </c>
      <c r="AF663" s="6" t="s">
        <v>113</v>
      </c>
      <c r="AG663" s="26" t="str">
        <f t="shared" ref="AG663" si="4767">CM$6</f>
        <v>4,28,6,28,6,4,28,6,28,6</v>
      </c>
      <c r="AH663" s="26" t="str">
        <f t="shared" ref="AH663" si="4768">CN$6</f>
        <v>0,0,1,0,1,0,0,1,0,1</v>
      </c>
      <c r="AI663" s="26" t="str">
        <f t="shared" ref="AI663" si="4769">CO$6</f>
        <v>0,0,0,0,1,0,0,0,0,1</v>
      </c>
      <c r="AJ663" s="26" t="str">
        <f t="shared" ref="AJ663" si="4770">CP$6</f>
        <v>0,0,5,0,5,0,0,5,0,5</v>
      </c>
      <c r="AK663" s="26" t="str">
        <f t="shared" ref="AK663" si="4771">CQ$6</f>
        <v>100,1000,5,1500,5,200,1000,5,1500,5</v>
      </c>
      <c r="AL663" s="26" t="str">
        <f t="shared" ref="AL663" si="4772">CR$6</f>
        <v>5,5,5,5,5,5,5,5,5,5</v>
      </c>
      <c r="AM663" s="7">
        <v>2001</v>
      </c>
      <c r="AO663">
        <f t="shared" ref="AO663" si="4773">AQ663*100+3</f>
        <v>7403</v>
      </c>
      <c r="AP663">
        <v>659</v>
      </c>
      <c r="AQ663">
        <f t="shared" si="4633"/>
        <v>74</v>
      </c>
      <c r="AR663">
        <v>12</v>
      </c>
      <c r="AS663" s="17">
        <f t="shared" si="4714"/>
        <v>415</v>
      </c>
      <c r="AT663">
        <v>11</v>
      </c>
      <c r="AU663">
        <f t="shared" si="4634"/>
        <v>34</v>
      </c>
      <c r="AV663">
        <v>150</v>
      </c>
      <c r="AW663">
        <f t="shared" si="4635"/>
        <v>108514.944</v>
      </c>
      <c r="AX663">
        <f t="shared" si="4764"/>
        <v>612000000</v>
      </c>
      <c r="AY663">
        <f t="shared" si="4636"/>
        <v>10200</v>
      </c>
      <c r="AZ663">
        <f t="shared" si="4637"/>
        <v>20400</v>
      </c>
      <c r="BA663">
        <f t="shared" si="4638"/>
        <v>122400</v>
      </c>
      <c r="BB663">
        <f t="shared" si="4639"/>
        <v>5100</v>
      </c>
      <c r="BC663">
        <f t="shared" si="4765"/>
        <v>612000000</v>
      </c>
      <c r="BD663">
        <f t="shared" si="4640"/>
        <v>0.29411764705882354</v>
      </c>
      <c r="BE663" s="27">
        <f t="shared" si="4766"/>
        <v>1114268400.0000002</v>
      </c>
      <c r="BF663" s="30">
        <f t="shared" si="4641"/>
        <v>0.47759999999999997</v>
      </c>
      <c r="BG663" s="27"/>
      <c r="BH663" s="27"/>
      <c r="BI663" s="27"/>
      <c r="CA663" s="20">
        <f t="shared" si="4642"/>
        <v>465</v>
      </c>
      <c r="CB663" s="20">
        <f t="shared" si="4643"/>
        <v>46500</v>
      </c>
    </row>
    <row r="664" spans="1:80" x14ac:dyDescent="0.15">
      <c r="A664">
        <v>7404</v>
      </c>
      <c r="B664" s="3" t="s">
        <v>119</v>
      </c>
      <c r="C664" s="4" t="s">
        <v>109</v>
      </c>
      <c r="D664" s="6" t="s">
        <v>120</v>
      </c>
      <c r="E664" s="5">
        <v>3</v>
      </c>
      <c r="F664" s="7" t="s">
        <v>145</v>
      </c>
      <c r="G664" s="5">
        <v>3</v>
      </c>
      <c r="H664" s="7" t="s">
        <v>190</v>
      </c>
      <c r="I664" s="5">
        <v>0</v>
      </c>
      <c r="J664" s="5">
        <v>0</v>
      </c>
      <c r="K664">
        <v>2</v>
      </c>
      <c r="L664">
        <v>1.5</v>
      </c>
      <c r="M664" s="5">
        <v>1.5</v>
      </c>
      <c r="N664" s="5">
        <v>10</v>
      </c>
      <c r="O664" s="5">
        <f t="shared" si="4623"/>
        <v>109791</v>
      </c>
      <c r="P664" s="5">
        <f t="shared" si="4624"/>
        <v>619200000</v>
      </c>
      <c r="Q664" s="5">
        <f t="shared" si="4625"/>
        <v>10320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70041</v>
      </c>
      <c r="X664" s="6" t="s">
        <v>182</v>
      </c>
      <c r="Y664" s="5">
        <v>300</v>
      </c>
      <c r="Z664" s="5">
        <v>1</v>
      </c>
      <c r="AA664" s="5">
        <v>246758400</v>
      </c>
      <c r="AB664" s="16" t="s">
        <v>111</v>
      </c>
      <c r="AC664" s="7" t="s">
        <v>112</v>
      </c>
      <c r="AD664" s="7" t="s">
        <v>112</v>
      </c>
      <c r="AE664" s="7" t="s">
        <v>112</v>
      </c>
      <c r="AF664" s="6" t="s">
        <v>113</v>
      </c>
      <c r="AG664" s="26" t="str">
        <f t="shared" ref="AG664" si="4774">CM$7</f>
        <v>4,14,28,14,6,4,14,28,14,6</v>
      </c>
      <c r="AH664" s="26" t="str">
        <f t="shared" ref="AH664" si="4775">CN$7</f>
        <v>0,0,0,0,1,0,0,0,0,1</v>
      </c>
      <c r="AI664" s="26" t="str">
        <f t="shared" ref="AI664" si="4776">CO$7</f>
        <v>0,0,0,0,1,0,0,0,0,1</v>
      </c>
      <c r="AJ664" s="26" t="str">
        <f t="shared" ref="AJ664" si="4777">CP$7</f>
        <v>0,0,0,0,5,0,0,0,0,5</v>
      </c>
      <c r="AK664" s="26" t="str">
        <f t="shared" ref="AK664" si="4778">CQ$7</f>
        <v>100,1,1000,2,5,200,1,1000,2,5</v>
      </c>
      <c r="AL664" s="26" t="str">
        <f t="shared" ref="AL664" si="4779">CR$7</f>
        <v>5,5,5,5,5,5,5,5,5,5</v>
      </c>
      <c r="AM664" s="7">
        <v>2001</v>
      </c>
      <c r="AO664">
        <f t="shared" ref="AO664" si="4780">AQ664*100+4</f>
        <v>7404</v>
      </c>
      <c r="AP664">
        <v>660</v>
      </c>
      <c r="AQ664">
        <f t="shared" si="4633"/>
        <v>74</v>
      </c>
      <c r="AR664">
        <v>12</v>
      </c>
      <c r="AS664" s="17">
        <f t="shared" si="4714"/>
        <v>420</v>
      </c>
      <c r="AT664">
        <v>11</v>
      </c>
      <c r="AU664">
        <f t="shared" si="4634"/>
        <v>34</v>
      </c>
      <c r="AV664">
        <v>150</v>
      </c>
      <c r="AW664">
        <f t="shared" si="4635"/>
        <v>109791.5904</v>
      </c>
      <c r="AX664">
        <f t="shared" si="4764"/>
        <v>619200000</v>
      </c>
      <c r="AY664">
        <f t="shared" si="4636"/>
        <v>10320</v>
      </c>
      <c r="AZ664">
        <f t="shared" si="4637"/>
        <v>20640</v>
      </c>
      <c r="BA664">
        <f t="shared" si="4638"/>
        <v>123840</v>
      </c>
      <c r="BB664">
        <f t="shared" si="4639"/>
        <v>5160</v>
      </c>
      <c r="BC664">
        <f t="shared" si="4765"/>
        <v>619200000</v>
      </c>
      <c r="BD664">
        <f t="shared" si="4640"/>
        <v>0.29411764705882354</v>
      </c>
      <c r="BE664" s="27">
        <f t="shared" si="4766"/>
        <v>1140640704.0000002</v>
      </c>
      <c r="BF664" s="30">
        <f t="shared" si="4641"/>
        <v>0.47759999999999997</v>
      </c>
      <c r="BG664" s="27"/>
      <c r="BH664" s="27"/>
      <c r="BI664" s="27"/>
      <c r="CA664" s="20">
        <f t="shared" si="4642"/>
        <v>465</v>
      </c>
      <c r="CB664" s="20">
        <f t="shared" si="4643"/>
        <v>46500</v>
      </c>
    </row>
    <row r="665" spans="1:80" x14ac:dyDescent="0.15">
      <c r="A665">
        <v>7405</v>
      </c>
      <c r="B665" s="3" t="s">
        <v>122</v>
      </c>
      <c r="C665" s="4" t="s">
        <v>109</v>
      </c>
      <c r="D665" s="4" t="s">
        <v>110</v>
      </c>
      <c r="E665" s="5">
        <v>2</v>
      </c>
      <c r="F665" s="7" t="s">
        <v>146</v>
      </c>
      <c r="G665" s="5">
        <v>3</v>
      </c>
      <c r="H665" s="7" t="s">
        <v>191</v>
      </c>
      <c r="I665" s="5">
        <v>0</v>
      </c>
      <c r="J665" s="7" t="s">
        <v>148</v>
      </c>
      <c r="K665">
        <v>6</v>
      </c>
      <c r="L665">
        <v>1.5</v>
      </c>
      <c r="M665" s="5">
        <v>1.5</v>
      </c>
      <c r="N665" s="5">
        <v>10</v>
      </c>
      <c r="O665" s="5">
        <f t="shared" si="4623"/>
        <v>111068</v>
      </c>
      <c r="P665" s="5">
        <f t="shared" si="4624"/>
        <v>626400000</v>
      </c>
      <c r="Q665" s="5">
        <f t="shared" si="4625"/>
        <v>10440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70051</v>
      </c>
      <c r="X665" s="6" t="s">
        <v>183</v>
      </c>
      <c r="Y665" s="5">
        <v>300</v>
      </c>
      <c r="Z665" s="5">
        <v>1</v>
      </c>
      <c r="AA665" s="5">
        <v>252965916</v>
      </c>
      <c r="AB665" s="16" t="s">
        <v>111</v>
      </c>
      <c r="AC665" s="7" t="s">
        <v>112</v>
      </c>
      <c r="AD665" s="7" t="s">
        <v>112</v>
      </c>
      <c r="AE665" s="7" t="s">
        <v>112</v>
      </c>
      <c r="AF665" s="6" t="s">
        <v>113</v>
      </c>
      <c r="AG665" s="26" t="str">
        <f t="shared" ref="AG665" si="4781">CM$8</f>
        <v>4,19,28,19,6,4,19,28,19,6</v>
      </c>
      <c r="AH665" s="26" t="str">
        <f t="shared" ref="AH665" si="4782">CN$8</f>
        <v>0,0,0,0,1,0,0,0,0,1</v>
      </c>
      <c r="AI665" s="26" t="str">
        <f t="shared" ref="AI665" si="4783">CO$8</f>
        <v>0,0,0,0,1,0,0,0,0,1</v>
      </c>
      <c r="AJ665" s="26" t="str">
        <f t="shared" ref="AJ665" si="4784">CP$8</f>
        <v>0,0,0,0,5,0,0,0,0,5</v>
      </c>
      <c r="AK665" s="26" t="str">
        <f t="shared" ref="AK665" si="4785">CQ$8</f>
        <v>200,100,1000,200,5,200,100,1000,200,5</v>
      </c>
      <c r="AL665" s="26" t="str">
        <f t="shared" ref="AL665" si="4786">CR$8</f>
        <v>5,5,5,5,5,5,5,5,5,5</v>
      </c>
      <c r="AM665" s="7">
        <v>2001</v>
      </c>
      <c r="AO665">
        <f t="shared" ref="AO665" si="4787">AQ665*100+5</f>
        <v>7405</v>
      </c>
      <c r="AP665">
        <v>661</v>
      </c>
      <c r="AQ665">
        <f t="shared" si="4633"/>
        <v>74</v>
      </c>
      <c r="AR665">
        <v>12</v>
      </c>
      <c r="AS665" s="17">
        <f t="shared" si="4714"/>
        <v>425</v>
      </c>
      <c r="AT665">
        <v>11</v>
      </c>
      <c r="AU665">
        <f t="shared" si="4634"/>
        <v>34</v>
      </c>
      <c r="AV665">
        <v>150</v>
      </c>
      <c r="AW665">
        <f t="shared" si="4635"/>
        <v>111068.2368</v>
      </c>
      <c r="AX665">
        <f t="shared" si="4764"/>
        <v>626400000</v>
      </c>
      <c r="AY665">
        <f t="shared" si="4636"/>
        <v>10440</v>
      </c>
      <c r="AZ665">
        <f t="shared" si="4637"/>
        <v>20880</v>
      </c>
      <c r="BA665">
        <f t="shared" si="4638"/>
        <v>125280</v>
      </c>
      <c r="BB665">
        <f t="shared" si="4639"/>
        <v>5220</v>
      </c>
      <c r="BC665">
        <f t="shared" si="4765"/>
        <v>626400000</v>
      </c>
      <c r="BD665">
        <f t="shared" si="4640"/>
        <v>0.29411764705882354</v>
      </c>
      <c r="BE665" s="27">
        <f t="shared" si="4766"/>
        <v>1167321456.0000002</v>
      </c>
      <c r="BF665" s="30">
        <f t="shared" si="4641"/>
        <v>0.47759999999999997</v>
      </c>
      <c r="BG665" s="27"/>
      <c r="BH665" s="27"/>
      <c r="BI665" s="27"/>
      <c r="CA665" s="20">
        <f t="shared" si="4642"/>
        <v>465</v>
      </c>
      <c r="CB665" s="20">
        <f t="shared" si="4643"/>
        <v>46500</v>
      </c>
    </row>
    <row r="666" spans="1:80" x14ac:dyDescent="0.15">
      <c r="A666">
        <v>7406</v>
      </c>
      <c r="B666" s="3" t="s">
        <v>124</v>
      </c>
      <c r="C666" s="4" t="s">
        <v>109</v>
      </c>
      <c r="D666" s="6" t="s">
        <v>120</v>
      </c>
      <c r="E666" s="5">
        <v>1</v>
      </c>
      <c r="F666" s="7" t="s">
        <v>147</v>
      </c>
      <c r="G666" s="5">
        <v>3</v>
      </c>
      <c r="H666" s="7" t="s">
        <v>192</v>
      </c>
      <c r="I666" s="5">
        <v>0</v>
      </c>
      <c r="J666" s="7" t="s">
        <v>149</v>
      </c>
      <c r="K666">
        <v>6</v>
      </c>
      <c r="L666">
        <v>1.5</v>
      </c>
      <c r="M666" s="5">
        <v>1.5</v>
      </c>
      <c r="N666" s="5">
        <v>10</v>
      </c>
      <c r="O666" s="5">
        <f t="shared" si="4623"/>
        <v>112344</v>
      </c>
      <c r="P666" s="5">
        <f t="shared" si="4624"/>
        <v>633600000</v>
      </c>
      <c r="Q666" s="5">
        <f t="shared" si="4625"/>
        <v>10560</v>
      </c>
      <c r="R666" s="5">
        <v>0</v>
      </c>
      <c r="S666" s="5">
        <v>0</v>
      </c>
      <c r="T666" s="5">
        <v>0</v>
      </c>
      <c r="U666" s="5">
        <v>0</v>
      </c>
      <c r="V666" s="5">
        <v>0</v>
      </c>
      <c r="W666" s="5">
        <v>70061</v>
      </c>
      <c r="X666" s="6" t="s">
        <v>184</v>
      </c>
      <c r="Y666" s="5">
        <v>300</v>
      </c>
      <c r="Z666" s="5">
        <v>1</v>
      </c>
      <c r="AA666" s="5">
        <v>259250544</v>
      </c>
      <c r="AB666" s="16" t="s">
        <v>111</v>
      </c>
      <c r="AC666" s="7" t="s">
        <v>112</v>
      </c>
      <c r="AD666" s="7" t="s">
        <v>112</v>
      </c>
      <c r="AE666" s="7" t="s">
        <v>112</v>
      </c>
      <c r="AF666" s="6" t="s">
        <v>113</v>
      </c>
      <c r="AG666" s="26" t="str">
        <f t="shared" ref="AG666" si="4788">CM$9</f>
        <v>4,33,28,33,6,4,33,28,33,6</v>
      </c>
      <c r="AH666" s="26" t="str">
        <f t="shared" ref="AH666" si="4789">CN$9</f>
        <v>0,6,0,6,1,0,6,0,6,1</v>
      </c>
      <c r="AI666" s="26" t="str">
        <f t="shared" ref="AI666" si="4790">CO$9</f>
        <v>0,0,0,0,1,0,0,0,0,1</v>
      </c>
      <c r="AJ666" s="26" t="str">
        <f t="shared" ref="AJ666" si="4791">CP$9</f>
        <v>0,0,0,0,5,0,0,0,0,5</v>
      </c>
      <c r="AK666" s="26" t="str">
        <f t="shared" ref="AK666" si="4792">CQ$9</f>
        <v>200,1,1000,2,5,200,1,1000,2,5</v>
      </c>
      <c r="AL666" s="26" t="str">
        <f t="shared" ref="AL666" si="4793">CR$9</f>
        <v>5,5,5,5,5,5,5,5,5,5</v>
      </c>
      <c r="AM666" s="7">
        <v>2001</v>
      </c>
      <c r="AO666">
        <f t="shared" ref="AO666" si="4794">AQ666*100+6</f>
        <v>7406</v>
      </c>
      <c r="AP666">
        <v>662</v>
      </c>
      <c r="AQ666">
        <f t="shared" si="4633"/>
        <v>74</v>
      </c>
      <c r="AR666">
        <v>12</v>
      </c>
      <c r="AS666" s="17">
        <f t="shared" si="4714"/>
        <v>430</v>
      </c>
      <c r="AT666">
        <v>11</v>
      </c>
      <c r="AU666">
        <f t="shared" si="4634"/>
        <v>34</v>
      </c>
      <c r="AV666">
        <v>150</v>
      </c>
      <c r="AW666">
        <f t="shared" si="4635"/>
        <v>112344.8832</v>
      </c>
      <c r="AX666">
        <f t="shared" si="4764"/>
        <v>633600000</v>
      </c>
      <c r="AY666">
        <f t="shared" si="4636"/>
        <v>10560</v>
      </c>
      <c r="AZ666">
        <f t="shared" si="4637"/>
        <v>21120</v>
      </c>
      <c r="BA666">
        <f t="shared" si="4638"/>
        <v>126720</v>
      </c>
      <c r="BB666">
        <f t="shared" si="4639"/>
        <v>5280</v>
      </c>
      <c r="BC666">
        <f t="shared" si="4765"/>
        <v>633600000</v>
      </c>
      <c r="BD666">
        <f t="shared" si="4640"/>
        <v>0.29411764705882354</v>
      </c>
      <c r="BE666" s="27">
        <f t="shared" si="4766"/>
        <v>1194310656.0000002</v>
      </c>
      <c r="BF666" s="30">
        <f t="shared" si="4641"/>
        <v>0.47759999999999997</v>
      </c>
      <c r="BG666" s="27"/>
      <c r="BH666" s="27"/>
      <c r="BI666" s="27"/>
      <c r="CA666" s="20">
        <f t="shared" si="4642"/>
        <v>465</v>
      </c>
      <c r="CB666" s="20">
        <f t="shared" si="4643"/>
        <v>46500</v>
      </c>
    </row>
    <row r="667" spans="1:80" x14ac:dyDescent="0.15">
      <c r="A667">
        <v>7407</v>
      </c>
      <c r="B667" s="3" t="s">
        <v>126</v>
      </c>
      <c r="C667" s="4" t="s">
        <v>109</v>
      </c>
      <c r="D667" s="4" t="s">
        <v>110</v>
      </c>
      <c r="E667" s="5">
        <v>2</v>
      </c>
      <c r="F667" s="7" t="s">
        <v>143</v>
      </c>
      <c r="G667" s="5">
        <v>3</v>
      </c>
      <c r="H667" s="7" t="s">
        <v>193</v>
      </c>
      <c r="I667" s="5">
        <v>0</v>
      </c>
      <c r="J667" s="5">
        <v>0</v>
      </c>
      <c r="K667">
        <v>2</v>
      </c>
      <c r="L667">
        <v>1.5</v>
      </c>
      <c r="M667" s="5">
        <v>1.5</v>
      </c>
      <c r="N667" s="5">
        <v>10</v>
      </c>
      <c r="O667" s="5">
        <f t="shared" si="4623"/>
        <v>113621</v>
      </c>
      <c r="P667" s="5">
        <f t="shared" si="4624"/>
        <v>640800000</v>
      </c>
      <c r="Q667" s="5">
        <f t="shared" si="4625"/>
        <v>10680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70071</v>
      </c>
      <c r="X667" s="6" t="s">
        <v>185</v>
      </c>
      <c r="Y667" s="5">
        <v>300</v>
      </c>
      <c r="Z667" s="5">
        <v>1</v>
      </c>
      <c r="AA667" s="5">
        <v>265612284</v>
      </c>
      <c r="AB667" s="16" t="s">
        <v>111</v>
      </c>
      <c r="AC667" s="7" t="s">
        <v>112</v>
      </c>
      <c r="AD667" s="7" t="s">
        <v>112</v>
      </c>
      <c r="AE667" s="7" t="s">
        <v>112</v>
      </c>
      <c r="AF667" s="6" t="s">
        <v>113</v>
      </c>
      <c r="AG667" s="26" t="str">
        <f t="shared" ref="AG667" si="4795">CM$10</f>
        <v>4,14,28,14,6,4,14,28,14,6</v>
      </c>
      <c r="AH667" s="26" t="str">
        <f t="shared" ref="AH667" si="4796">CN$10</f>
        <v>0,0,0,0,1,0,0,0,0,1</v>
      </c>
      <c r="AI667" s="26" t="str">
        <f t="shared" ref="AI667" si="4797">CO$10</f>
        <v>0,0,0,0,1,0,0,0,0,1</v>
      </c>
      <c r="AJ667" s="26" t="str">
        <f t="shared" ref="AJ667" si="4798">CP$10</f>
        <v>0,0,0,0,5,0,0,0,0,5</v>
      </c>
      <c r="AK667" s="26" t="str">
        <f t="shared" ref="AK667" si="4799">CQ$10</f>
        <v>200,1,1000,2,5,200,1,1000,2,5</v>
      </c>
      <c r="AL667" s="26" t="str">
        <f t="shared" ref="AL667" si="4800">CR$10</f>
        <v>5,5,5,5,5,5,5,5,5,5</v>
      </c>
      <c r="AM667" s="7">
        <v>2001</v>
      </c>
      <c r="AO667">
        <f t="shared" ref="AO667" si="4801">AQ667*100+7</f>
        <v>7407</v>
      </c>
      <c r="AP667">
        <v>663</v>
      </c>
      <c r="AQ667">
        <f t="shared" si="4633"/>
        <v>74</v>
      </c>
      <c r="AR667">
        <v>12</v>
      </c>
      <c r="AS667" s="17">
        <f t="shared" si="4714"/>
        <v>435</v>
      </c>
      <c r="AT667">
        <v>11</v>
      </c>
      <c r="AU667">
        <f t="shared" si="4634"/>
        <v>34</v>
      </c>
      <c r="AV667">
        <v>150</v>
      </c>
      <c r="AW667">
        <f t="shared" si="4635"/>
        <v>113621.52960000001</v>
      </c>
      <c r="AX667">
        <f t="shared" si="4764"/>
        <v>640800000</v>
      </c>
      <c r="AY667">
        <f t="shared" si="4636"/>
        <v>10680</v>
      </c>
      <c r="AZ667">
        <f t="shared" si="4637"/>
        <v>21360</v>
      </c>
      <c r="BA667">
        <f t="shared" si="4638"/>
        <v>128160</v>
      </c>
      <c r="BB667">
        <f t="shared" si="4639"/>
        <v>5340</v>
      </c>
      <c r="BC667">
        <f t="shared" si="4765"/>
        <v>640800000</v>
      </c>
      <c r="BD667">
        <f t="shared" si="4640"/>
        <v>0.29411764705882354</v>
      </c>
      <c r="BE667" s="27">
        <f t="shared" si="4766"/>
        <v>1221608304.0000002</v>
      </c>
      <c r="BF667" s="30">
        <f t="shared" si="4641"/>
        <v>0.47759999999999997</v>
      </c>
      <c r="BG667" s="27"/>
      <c r="BH667" s="27"/>
      <c r="BI667" s="27"/>
      <c r="CA667" s="20">
        <f t="shared" si="4642"/>
        <v>465</v>
      </c>
      <c r="CB667" s="20">
        <f t="shared" si="4643"/>
        <v>46500</v>
      </c>
    </row>
    <row r="668" spans="1:80" x14ac:dyDescent="0.15">
      <c r="A668">
        <v>7408</v>
      </c>
      <c r="B668" s="3" t="s">
        <v>128</v>
      </c>
      <c r="C668" s="4" t="s">
        <v>109</v>
      </c>
      <c r="D668" s="4" t="s">
        <v>110</v>
      </c>
      <c r="E668" s="5">
        <v>5</v>
      </c>
      <c r="F668" s="7" t="s">
        <v>129</v>
      </c>
      <c r="G668" s="5">
        <v>2</v>
      </c>
      <c r="H668" s="7" t="s">
        <v>130</v>
      </c>
      <c r="I668" s="5">
        <v>0</v>
      </c>
      <c r="J668" s="5">
        <v>0</v>
      </c>
      <c r="K668">
        <v>2</v>
      </c>
      <c r="L668">
        <v>1.5</v>
      </c>
      <c r="M668" s="5">
        <v>1.5</v>
      </c>
      <c r="N668" s="5">
        <v>10</v>
      </c>
      <c r="O668" s="5">
        <f t="shared" si="4623"/>
        <v>114898</v>
      </c>
      <c r="P668" s="5">
        <f t="shared" si="4624"/>
        <v>648000000</v>
      </c>
      <c r="Q668" s="5">
        <f t="shared" si="4625"/>
        <v>10800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70081</v>
      </c>
      <c r="X668" s="6" t="s">
        <v>186</v>
      </c>
      <c r="Y668" s="5">
        <v>300</v>
      </c>
      <c r="Z668" s="5">
        <v>1</v>
      </c>
      <c r="AA668" s="5">
        <v>272051136</v>
      </c>
      <c r="AB668" s="16" t="s">
        <v>111</v>
      </c>
      <c r="AC668" s="7" t="s">
        <v>112</v>
      </c>
      <c r="AD668" s="7" t="s">
        <v>112</v>
      </c>
      <c r="AE668" s="7" t="s">
        <v>112</v>
      </c>
      <c r="AF668" s="6" t="s">
        <v>113</v>
      </c>
      <c r="AG668" s="26" t="str">
        <f t="shared" ref="AG668" si="4802">CM$11</f>
        <v>4,28,6,28,6,4,28,6,28,6</v>
      </c>
      <c r="AH668" s="26" t="str">
        <f t="shared" ref="AH668" si="4803">CN$11</f>
        <v>0,0,1,0,1,0,0,1,0,1</v>
      </c>
      <c r="AI668" s="26" t="str">
        <f t="shared" ref="AI668" si="4804">CO$11</f>
        <v>0,0,1,0,1,0,0,1,0,1</v>
      </c>
      <c r="AJ668" s="26" t="str">
        <f t="shared" ref="AJ668" si="4805">CP$11</f>
        <v>0,0,5,0,5,0,0,5,0,5</v>
      </c>
      <c r="AK668" s="26" t="str">
        <f t="shared" ref="AK668" si="4806">CQ$11</f>
        <v>100,1000,5,1500,5,200,1000,5,1500,5</v>
      </c>
      <c r="AL668" s="26" t="str">
        <f t="shared" ref="AL668" si="4807">CR$11</f>
        <v>5,5,5,5,5,5,5,5,5,5</v>
      </c>
      <c r="AM668" s="7">
        <v>2001</v>
      </c>
      <c r="AO668">
        <f t="shared" ref="AO668" si="4808">AQ668*100+8</f>
        <v>7408</v>
      </c>
      <c r="AP668">
        <v>664</v>
      </c>
      <c r="AQ668">
        <f t="shared" si="4633"/>
        <v>74</v>
      </c>
      <c r="AR668">
        <v>12</v>
      </c>
      <c r="AS668" s="17">
        <f t="shared" si="4714"/>
        <v>440</v>
      </c>
      <c r="AT668">
        <v>11</v>
      </c>
      <c r="AU668">
        <f t="shared" si="4634"/>
        <v>34</v>
      </c>
      <c r="AV668">
        <v>150</v>
      </c>
      <c r="AW668">
        <f t="shared" si="4635"/>
        <v>114898.17600000001</v>
      </c>
      <c r="AX668">
        <f t="shared" si="4764"/>
        <v>648000000</v>
      </c>
      <c r="AY668">
        <f t="shared" si="4636"/>
        <v>10800</v>
      </c>
      <c r="AZ668">
        <f t="shared" si="4637"/>
        <v>21600</v>
      </c>
      <c r="BA668">
        <f t="shared" si="4638"/>
        <v>129600</v>
      </c>
      <c r="BB668">
        <f t="shared" si="4639"/>
        <v>5400</v>
      </c>
      <c r="BC668">
        <f t="shared" si="4765"/>
        <v>648000000</v>
      </c>
      <c r="BD668">
        <f t="shared" si="4640"/>
        <v>0.29411764705882354</v>
      </c>
      <c r="BE668" s="27">
        <f t="shared" si="4766"/>
        <v>1249214400.0000002</v>
      </c>
      <c r="BF668" s="30">
        <f t="shared" si="4641"/>
        <v>0.47759999999999997</v>
      </c>
      <c r="BG668" s="27"/>
      <c r="BH668" s="27"/>
      <c r="BI668" s="27"/>
      <c r="CA668" s="20">
        <f t="shared" si="4642"/>
        <v>465</v>
      </c>
      <c r="CB668" s="20">
        <f t="shared" si="4643"/>
        <v>46500</v>
      </c>
    </row>
    <row r="669" spans="1:80" x14ac:dyDescent="0.15">
      <c r="A669">
        <v>7409</v>
      </c>
      <c r="B669" s="3" t="s">
        <v>132</v>
      </c>
      <c r="C669" s="4" t="s">
        <v>109</v>
      </c>
      <c r="D669" s="4" t="s">
        <v>110</v>
      </c>
      <c r="E669" s="5">
        <v>5</v>
      </c>
      <c r="F669" s="7" t="s">
        <v>140</v>
      </c>
      <c r="G669" s="5">
        <v>3</v>
      </c>
      <c r="H669" s="7" t="s">
        <v>140</v>
      </c>
      <c r="I669" s="5">
        <v>0</v>
      </c>
      <c r="J669" s="7">
        <v>0</v>
      </c>
      <c r="K669">
        <v>6</v>
      </c>
      <c r="L669">
        <v>1.5</v>
      </c>
      <c r="M669" s="5">
        <v>1.5</v>
      </c>
      <c r="N669" s="5">
        <v>10</v>
      </c>
      <c r="O669" s="5">
        <f t="shared" si="4623"/>
        <v>116174</v>
      </c>
      <c r="P669" s="5">
        <f t="shared" si="4624"/>
        <v>655200000</v>
      </c>
      <c r="Q669" s="5">
        <f t="shared" si="4625"/>
        <v>10920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70091</v>
      </c>
      <c r="X669" s="6" t="s">
        <v>187</v>
      </c>
      <c r="Y669" s="5">
        <v>300</v>
      </c>
      <c r="Z669" s="5">
        <v>1</v>
      </c>
      <c r="AA669" s="5">
        <v>278567100</v>
      </c>
      <c r="AB669" s="16" t="s">
        <v>111</v>
      </c>
      <c r="AC669" s="7" t="s">
        <v>112</v>
      </c>
      <c r="AD669" s="7" t="s">
        <v>112</v>
      </c>
      <c r="AE669" s="7" t="s">
        <v>112</v>
      </c>
      <c r="AF669" s="6" t="s">
        <v>113</v>
      </c>
      <c r="AG669" s="26" t="str">
        <f t="shared" ref="AG669" si="4809">CM$12</f>
        <v>4,33,28,33,6,4,33,28,33,6</v>
      </c>
      <c r="AH669" s="26" t="str">
        <f t="shared" ref="AH669" si="4810">CN$12</f>
        <v>0,5,0,5,1,0,5,0,5,1</v>
      </c>
      <c r="AI669" s="26" t="str">
        <f t="shared" ref="AI669" si="4811">CO$12</f>
        <v>0,0,0,0,1,0,0,0,0,1</v>
      </c>
      <c r="AJ669" s="26" t="str">
        <f t="shared" ref="AJ669" si="4812">CP$12</f>
        <v>0,0,0,0,5,0,0,0,0,5</v>
      </c>
      <c r="AK669" s="26" t="str">
        <f t="shared" ref="AK669" si="4813">CQ$12</f>
        <v>100,1,1000,2,5,200,1,1000,2,5</v>
      </c>
      <c r="AL669" s="26" t="str">
        <f t="shared" ref="AL669" si="4814">CR$12</f>
        <v>5,5,5,5,5,5,5,5,5,5</v>
      </c>
      <c r="AM669" s="7">
        <v>2001</v>
      </c>
      <c r="AO669">
        <f t="shared" ref="AO669" si="4815">AQ669*100+9</f>
        <v>7409</v>
      </c>
      <c r="AP669">
        <v>665</v>
      </c>
      <c r="AQ669">
        <f t="shared" si="4633"/>
        <v>74</v>
      </c>
      <c r="AR669">
        <v>12</v>
      </c>
      <c r="AS669" s="17">
        <f t="shared" si="4714"/>
        <v>445</v>
      </c>
      <c r="AT669">
        <v>11</v>
      </c>
      <c r="AU669">
        <f t="shared" si="4634"/>
        <v>34</v>
      </c>
      <c r="AV669">
        <v>150</v>
      </c>
      <c r="AW669">
        <f t="shared" si="4635"/>
        <v>116174.8224</v>
      </c>
      <c r="AX669">
        <f t="shared" si="4764"/>
        <v>655200000</v>
      </c>
      <c r="AY669">
        <f t="shared" si="4636"/>
        <v>10920</v>
      </c>
      <c r="AZ669">
        <f t="shared" si="4637"/>
        <v>21840</v>
      </c>
      <c r="BA669">
        <f t="shared" si="4638"/>
        <v>131040</v>
      </c>
      <c r="BB669">
        <f t="shared" si="4639"/>
        <v>5460</v>
      </c>
      <c r="BC669">
        <f t="shared" si="4765"/>
        <v>655200000</v>
      </c>
      <c r="BD669">
        <f t="shared" si="4640"/>
        <v>0.29411764705882354</v>
      </c>
      <c r="BE669" s="27">
        <f t="shared" si="4766"/>
        <v>1277128944.0000002</v>
      </c>
      <c r="BF669" s="30">
        <f t="shared" si="4641"/>
        <v>0.47759999999999997</v>
      </c>
      <c r="BG669" s="27"/>
      <c r="BH669" s="27"/>
      <c r="BI669" s="27"/>
      <c r="CA669" s="20">
        <f t="shared" si="4642"/>
        <v>465</v>
      </c>
      <c r="CB669" s="20">
        <f t="shared" si="4643"/>
        <v>46500</v>
      </c>
    </row>
    <row r="670" spans="1:80" x14ac:dyDescent="0.15">
      <c r="A670">
        <v>7501</v>
      </c>
      <c r="B670" s="3" t="s">
        <v>108</v>
      </c>
      <c r="C670" s="4" t="s">
        <v>109</v>
      </c>
      <c r="D670" s="4" t="s">
        <v>110</v>
      </c>
      <c r="E670" s="5">
        <v>3</v>
      </c>
      <c r="F670" s="7" t="s">
        <v>141</v>
      </c>
      <c r="G670" s="5">
        <v>2.5</v>
      </c>
      <c r="H670" s="7" t="s">
        <v>194</v>
      </c>
      <c r="I670" s="5">
        <v>0</v>
      </c>
      <c r="J670" s="5">
        <v>0</v>
      </c>
      <c r="K670">
        <v>2</v>
      </c>
      <c r="L670">
        <v>1.5</v>
      </c>
      <c r="M670" s="5">
        <v>1.5</v>
      </c>
      <c r="N670" s="5">
        <v>10</v>
      </c>
      <c r="O670" s="5">
        <f t="shared" si="4623"/>
        <v>107412</v>
      </c>
      <c r="P670" s="5">
        <f t="shared" si="4624"/>
        <v>604800000</v>
      </c>
      <c r="Q670" s="5">
        <f t="shared" si="4625"/>
        <v>10080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70011</v>
      </c>
      <c r="X670" s="6" t="s">
        <v>179</v>
      </c>
      <c r="Y670" s="5">
        <v>300</v>
      </c>
      <c r="Z670" s="5">
        <v>1</v>
      </c>
      <c r="AA670" s="5">
        <v>285160176</v>
      </c>
      <c r="AB670" s="16" t="s">
        <v>111</v>
      </c>
      <c r="AC670" s="7" t="s">
        <v>112</v>
      </c>
      <c r="AD670" s="7" t="s">
        <v>112</v>
      </c>
      <c r="AE670" s="7" t="s">
        <v>112</v>
      </c>
      <c r="AF670" s="6" t="s">
        <v>113</v>
      </c>
      <c r="AG670" s="26" t="str">
        <f t="shared" ref="AG670" si="4816">CM$4</f>
        <v>4,33,28,33,6,4,33,28,33,6</v>
      </c>
      <c r="AH670" s="26" t="str">
        <f t="shared" ref="AH670" si="4817">CN$4</f>
        <v>0,8,0,8,1,0,8,0,8,1</v>
      </c>
      <c r="AI670" s="26" t="str">
        <f t="shared" ref="AI670" si="4818">CO$4</f>
        <v>0,0,0,0,1,0,0,0,0,1</v>
      </c>
      <c r="AJ670" s="26" t="str">
        <f t="shared" ref="AJ670" si="4819">CP$4</f>
        <v>0,0,0,0,5,0,0,0,0,5</v>
      </c>
      <c r="AK670" s="26" t="str">
        <f t="shared" ref="AK670" si="4820">CQ$4</f>
        <v>100,1,1000,2,5,200,1,1000,2,5</v>
      </c>
      <c r="AL670" s="26" t="str">
        <f t="shared" ref="AL670" si="4821">CR$4</f>
        <v>5,5,5,5,5,5,5,5,5,5</v>
      </c>
      <c r="AM670" s="7">
        <v>2001</v>
      </c>
      <c r="AO670">
        <f t="shared" ref="AO670" si="4822">AQ670*100+1</f>
        <v>7501</v>
      </c>
      <c r="AP670">
        <v>666</v>
      </c>
      <c r="AQ670">
        <f t="shared" si="4633"/>
        <v>75</v>
      </c>
      <c r="AR670">
        <v>12</v>
      </c>
      <c r="AS670" s="17">
        <f t="shared" si="4714"/>
        <v>410</v>
      </c>
      <c r="AT670">
        <v>11</v>
      </c>
      <c r="AU670">
        <f t="shared" si="4634"/>
        <v>34</v>
      </c>
      <c r="AV670">
        <v>150</v>
      </c>
      <c r="AW670">
        <f t="shared" si="4635"/>
        <v>107412.48</v>
      </c>
      <c r="AX670">
        <f t="shared" si="4764"/>
        <v>604800000</v>
      </c>
      <c r="AY670">
        <f t="shared" si="4636"/>
        <v>10080</v>
      </c>
      <c r="AZ670">
        <f t="shared" si="4637"/>
        <v>20160</v>
      </c>
      <c r="BA670">
        <f t="shared" si="4638"/>
        <v>120960</v>
      </c>
      <c r="BB670">
        <f t="shared" si="4639"/>
        <v>5040</v>
      </c>
      <c r="BC670">
        <f t="shared" si="4765"/>
        <v>604800000</v>
      </c>
      <c r="BD670">
        <f t="shared" si="4640"/>
        <v>0.29411764705882354</v>
      </c>
      <c r="BE670" s="27">
        <f t="shared" si="4766"/>
        <v>1088204544.0000002</v>
      </c>
      <c r="BF670" s="30">
        <f t="shared" si="4641"/>
        <v>0.48</v>
      </c>
      <c r="BG670" s="27"/>
      <c r="BH670" s="27"/>
      <c r="BI670" s="27"/>
      <c r="CA670" s="20">
        <f t="shared" si="4642"/>
        <v>470</v>
      </c>
      <c r="CB670" s="20">
        <f t="shared" si="4643"/>
        <v>47000</v>
      </c>
    </row>
    <row r="671" spans="1:80" x14ac:dyDescent="0.15">
      <c r="A671">
        <v>7502</v>
      </c>
      <c r="B671" s="3" t="s">
        <v>115</v>
      </c>
      <c r="C671" s="4" t="s">
        <v>109</v>
      </c>
      <c r="D671" s="6" t="s">
        <v>110</v>
      </c>
      <c r="E671" s="5">
        <v>3</v>
      </c>
      <c r="F671" s="7" t="s">
        <v>142</v>
      </c>
      <c r="G671" s="5">
        <v>3</v>
      </c>
      <c r="H671" s="7" t="s">
        <v>188</v>
      </c>
      <c r="I671" s="5">
        <v>0</v>
      </c>
      <c r="J671" s="5">
        <v>0</v>
      </c>
      <c r="K671">
        <v>2</v>
      </c>
      <c r="L671">
        <v>1.5</v>
      </c>
      <c r="M671" s="5">
        <v>1.5</v>
      </c>
      <c r="N671" s="5">
        <v>10</v>
      </c>
      <c r="O671" s="5">
        <f t="shared" si="4623"/>
        <v>108691</v>
      </c>
      <c r="P671" s="5">
        <f t="shared" si="4624"/>
        <v>612000000</v>
      </c>
      <c r="Q671" s="5">
        <f t="shared" si="4625"/>
        <v>10200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70021</v>
      </c>
      <c r="X671" s="6" t="s">
        <v>180</v>
      </c>
      <c r="Y671" s="5">
        <v>300</v>
      </c>
      <c r="Z671" s="5">
        <v>1</v>
      </c>
      <c r="AA671" s="5">
        <v>240627996</v>
      </c>
      <c r="AB671" s="16" t="s">
        <v>111</v>
      </c>
      <c r="AC671" s="7" t="s">
        <v>112</v>
      </c>
      <c r="AD671" s="7" t="s">
        <v>112</v>
      </c>
      <c r="AE671" s="7" t="s">
        <v>112</v>
      </c>
      <c r="AF671" s="6" t="s">
        <v>113</v>
      </c>
      <c r="AG671" s="26" t="str">
        <f t="shared" ref="AG671" si="4823">CM$5</f>
        <v>4,33,28,33,6,4,33,28,33,6</v>
      </c>
      <c r="AH671" s="26" t="str">
        <f t="shared" ref="AH671" si="4824">CN$5</f>
        <v>0,7,0,7,1,0,7,0,7,1</v>
      </c>
      <c r="AI671" s="26" t="str">
        <f t="shared" ref="AI671" si="4825">CO$5</f>
        <v>0,0,0,0,1,0,0,0,0,1</v>
      </c>
      <c r="AJ671" s="26" t="str">
        <f t="shared" ref="AJ671" si="4826">CP$5</f>
        <v>0,0,0,0,5,0,0,0,0,5</v>
      </c>
      <c r="AK671" s="26" t="str">
        <f t="shared" ref="AK671" si="4827">CQ$5</f>
        <v>100,1,1000,2,5,200,1,1000,2,5</v>
      </c>
      <c r="AL671" s="26" t="str">
        <f t="shared" ref="AL671" si="4828">CR$5</f>
        <v>5,5,5,5,5,5,5,5,5,5</v>
      </c>
      <c r="AM671" s="7">
        <v>2001</v>
      </c>
      <c r="AO671">
        <f t="shared" ref="AO671" si="4829">AQ671*100+2</f>
        <v>7502</v>
      </c>
      <c r="AP671">
        <v>667</v>
      </c>
      <c r="AQ671">
        <f t="shared" si="4633"/>
        <v>75</v>
      </c>
      <c r="AR671">
        <v>12</v>
      </c>
      <c r="AS671" s="17">
        <f t="shared" si="4714"/>
        <v>415</v>
      </c>
      <c r="AT671">
        <v>11</v>
      </c>
      <c r="AU671">
        <f t="shared" si="4634"/>
        <v>34</v>
      </c>
      <c r="AV671">
        <v>150</v>
      </c>
      <c r="AW671">
        <f t="shared" si="4635"/>
        <v>108691.2</v>
      </c>
      <c r="AX671">
        <f t="shared" si="4764"/>
        <v>612000000</v>
      </c>
      <c r="AY671">
        <f t="shared" si="4636"/>
        <v>10200</v>
      </c>
      <c r="AZ671">
        <f t="shared" si="4637"/>
        <v>20400</v>
      </c>
      <c r="BA671">
        <f t="shared" si="4638"/>
        <v>122400</v>
      </c>
      <c r="BB671">
        <f t="shared" si="4639"/>
        <v>5100</v>
      </c>
      <c r="BC671">
        <f t="shared" si="4765"/>
        <v>612000000</v>
      </c>
      <c r="BD671">
        <f t="shared" si="4640"/>
        <v>0.29411764705882354</v>
      </c>
      <c r="BE671" s="27">
        <f t="shared" si="4766"/>
        <v>1114268400.0000002</v>
      </c>
      <c r="BF671" s="30">
        <f t="shared" si="4641"/>
        <v>0.48</v>
      </c>
      <c r="BG671" s="27"/>
      <c r="BH671" s="27"/>
      <c r="BI671" s="27"/>
      <c r="CA671" s="20">
        <f t="shared" si="4642"/>
        <v>470</v>
      </c>
      <c r="CB671" s="20">
        <f t="shared" si="4643"/>
        <v>47000</v>
      </c>
    </row>
    <row r="672" spans="1:80" x14ac:dyDescent="0.15">
      <c r="A672">
        <v>7503</v>
      </c>
      <c r="B672" s="3" t="s">
        <v>117</v>
      </c>
      <c r="C672" s="4" t="s">
        <v>109</v>
      </c>
      <c r="D672" s="4" t="s">
        <v>110</v>
      </c>
      <c r="E672" s="5">
        <v>1</v>
      </c>
      <c r="F672" s="7" t="s">
        <v>144</v>
      </c>
      <c r="G672" s="5">
        <v>3</v>
      </c>
      <c r="H672" s="7" t="s">
        <v>189</v>
      </c>
      <c r="I672" s="5">
        <v>0</v>
      </c>
      <c r="J672" s="2">
        <v>0</v>
      </c>
      <c r="K672">
        <v>6</v>
      </c>
      <c r="L672">
        <v>1.5</v>
      </c>
      <c r="M672" s="5">
        <v>1.5</v>
      </c>
      <c r="N672" s="5">
        <v>10</v>
      </c>
      <c r="O672" s="5">
        <f t="shared" si="4623"/>
        <v>109969</v>
      </c>
      <c r="P672" s="5">
        <f t="shared" si="4624"/>
        <v>619200000</v>
      </c>
      <c r="Q672" s="5">
        <f t="shared" si="4625"/>
        <v>10320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70031</v>
      </c>
      <c r="X672" s="6" t="s">
        <v>181</v>
      </c>
      <c r="Y672" s="5">
        <v>300</v>
      </c>
      <c r="Z672" s="5">
        <v>1</v>
      </c>
      <c r="AA672" s="5">
        <v>246758400</v>
      </c>
      <c r="AB672" s="16" t="s">
        <v>111</v>
      </c>
      <c r="AC672" s="7" t="s">
        <v>112</v>
      </c>
      <c r="AD672" s="7" t="s">
        <v>112</v>
      </c>
      <c r="AE672" s="7" t="s">
        <v>112</v>
      </c>
      <c r="AF672" s="6" t="s">
        <v>113</v>
      </c>
      <c r="AG672" s="26" t="str">
        <f t="shared" ref="AG672" si="4830">CM$6</f>
        <v>4,28,6,28,6,4,28,6,28,6</v>
      </c>
      <c r="AH672" s="26" t="str">
        <f t="shared" ref="AH672" si="4831">CN$6</f>
        <v>0,0,1,0,1,0,0,1,0,1</v>
      </c>
      <c r="AI672" s="26" t="str">
        <f t="shared" ref="AI672" si="4832">CO$6</f>
        <v>0,0,0,0,1,0,0,0,0,1</v>
      </c>
      <c r="AJ672" s="26" t="str">
        <f t="shared" ref="AJ672" si="4833">CP$6</f>
        <v>0,0,5,0,5,0,0,5,0,5</v>
      </c>
      <c r="AK672" s="26" t="str">
        <f t="shared" ref="AK672" si="4834">CQ$6</f>
        <v>100,1000,5,1500,5,200,1000,5,1500,5</v>
      </c>
      <c r="AL672" s="26" t="str">
        <f t="shared" ref="AL672" si="4835">CR$6</f>
        <v>5,5,5,5,5,5,5,5,5,5</v>
      </c>
      <c r="AM672" s="7">
        <v>2001</v>
      </c>
      <c r="AO672">
        <f t="shared" ref="AO672" si="4836">AQ672*100+3</f>
        <v>7503</v>
      </c>
      <c r="AP672">
        <v>668</v>
      </c>
      <c r="AQ672">
        <f t="shared" si="4633"/>
        <v>75</v>
      </c>
      <c r="AR672">
        <v>12</v>
      </c>
      <c r="AS672" s="17">
        <f t="shared" si="4714"/>
        <v>420</v>
      </c>
      <c r="AT672">
        <v>11</v>
      </c>
      <c r="AU672">
        <f t="shared" si="4634"/>
        <v>34</v>
      </c>
      <c r="AV672">
        <v>150</v>
      </c>
      <c r="AW672">
        <f t="shared" si="4635"/>
        <v>109969.92</v>
      </c>
      <c r="AX672">
        <f t="shared" si="4764"/>
        <v>619200000</v>
      </c>
      <c r="AY672">
        <f t="shared" si="4636"/>
        <v>10320</v>
      </c>
      <c r="AZ672">
        <f t="shared" si="4637"/>
        <v>20640</v>
      </c>
      <c r="BA672">
        <f t="shared" si="4638"/>
        <v>123840</v>
      </c>
      <c r="BB672">
        <f t="shared" si="4639"/>
        <v>5160</v>
      </c>
      <c r="BC672">
        <f t="shared" si="4765"/>
        <v>619200000</v>
      </c>
      <c r="BD672">
        <f t="shared" si="4640"/>
        <v>0.29411764705882354</v>
      </c>
      <c r="BE672" s="27">
        <f t="shared" si="4766"/>
        <v>1140640704.0000002</v>
      </c>
      <c r="BF672" s="30">
        <f t="shared" si="4641"/>
        <v>0.48</v>
      </c>
      <c r="BG672" s="27"/>
      <c r="BH672" s="27"/>
      <c r="BI672" s="27"/>
      <c r="CA672" s="20">
        <f t="shared" si="4642"/>
        <v>470</v>
      </c>
      <c r="CB672" s="20">
        <f t="shared" si="4643"/>
        <v>47000</v>
      </c>
    </row>
    <row r="673" spans="1:80" x14ac:dyDescent="0.15">
      <c r="A673">
        <v>7504</v>
      </c>
      <c r="B673" s="3" t="s">
        <v>119</v>
      </c>
      <c r="C673" s="4" t="s">
        <v>109</v>
      </c>
      <c r="D673" s="6" t="s">
        <v>120</v>
      </c>
      <c r="E673" s="5">
        <v>3</v>
      </c>
      <c r="F673" s="7" t="s">
        <v>145</v>
      </c>
      <c r="G673" s="5">
        <v>3</v>
      </c>
      <c r="H673" s="7" t="s">
        <v>190</v>
      </c>
      <c r="I673" s="5">
        <v>0</v>
      </c>
      <c r="J673" s="5">
        <v>0</v>
      </c>
      <c r="K673">
        <v>2</v>
      </c>
      <c r="L673">
        <v>1.5</v>
      </c>
      <c r="M673" s="5">
        <v>1.5</v>
      </c>
      <c r="N673" s="5">
        <v>10</v>
      </c>
      <c r="O673" s="5">
        <f t="shared" si="4623"/>
        <v>111248</v>
      </c>
      <c r="P673" s="5">
        <f t="shared" si="4624"/>
        <v>626400000</v>
      </c>
      <c r="Q673" s="5">
        <f t="shared" si="4625"/>
        <v>10440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70041</v>
      </c>
      <c r="X673" s="6" t="s">
        <v>182</v>
      </c>
      <c r="Y673" s="5">
        <v>300</v>
      </c>
      <c r="Z673" s="5">
        <v>1</v>
      </c>
      <c r="AA673" s="5">
        <v>252965916</v>
      </c>
      <c r="AB673" s="16" t="s">
        <v>111</v>
      </c>
      <c r="AC673" s="7" t="s">
        <v>112</v>
      </c>
      <c r="AD673" s="7" t="s">
        <v>112</v>
      </c>
      <c r="AE673" s="7" t="s">
        <v>112</v>
      </c>
      <c r="AF673" s="6" t="s">
        <v>113</v>
      </c>
      <c r="AG673" s="26" t="str">
        <f t="shared" ref="AG673" si="4837">CM$7</f>
        <v>4,14,28,14,6,4,14,28,14,6</v>
      </c>
      <c r="AH673" s="26" t="str">
        <f t="shared" ref="AH673" si="4838">CN$7</f>
        <v>0,0,0,0,1,0,0,0,0,1</v>
      </c>
      <c r="AI673" s="26" t="str">
        <f t="shared" ref="AI673" si="4839">CO$7</f>
        <v>0,0,0,0,1,0,0,0,0,1</v>
      </c>
      <c r="AJ673" s="26" t="str">
        <f t="shared" ref="AJ673" si="4840">CP$7</f>
        <v>0,0,0,0,5,0,0,0,0,5</v>
      </c>
      <c r="AK673" s="26" t="str">
        <f t="shared" ref="AK673" si="4841">CQ$7</f>
        <v>100,1,1000,2,5,200,1,1000,2,5</v>
      </c>
      <c r="AL673" s="26" t="str">
        <f t="shared" ref="AL673" si="4842">CR$7</f>
        <v>5,5,5,5,5,5,5,5,5,5</v>
      </c>
      <c r="AM673" s="7">
        <v>2001</v>
      </c>
      <c r="AO673">
        <f t="shared" ref="AO673" si="4843">AQ673*100+4</f>
        <v>7504</v>
      </c>
      <c r="AP673">
        <v>669</v>
      </c>
      <c r="AQ673">
        <f t="shared" si="4633"/>
        <v>75</v>
      </c>
      <c r="AR673">
        <v>12</v>
      </c>
      <c r="AS673" s="17">
        <f t="shared" si="4714"/>
        <v>425</v>
      </c>
      <c r="AT673">
        <v>11</v>
      </c>
      <c r="AU673">
        <f t="shared" si="4634"/>
        <v>34</v>
      </c>
      <c r="AV673">
        <v>150</v>
      </c>
      <c r="AW673">
        <f t="shared" si="4635"/>
        <v>111248.64</v>
      </c>
      <c r="AX673">
        <f t="shared" si="4764"/>
        <v>626400000</v>
      </c>
      <c r="AY673">
        <f t="shared" si="4636"/>
        <v>10440</v>
      </c>
      <c r="AZ673">
        <f t="shared" si="4637"/>
        <v>20880</v>
      </c>
      <c r="BA673">
        <f t="shared" si="4638"/>
        <v>125280</v>
      </c>
      <c r="BB673">
        <f t="shared" si="4639"/>
        <v>5220</v>
      </c>
      <c r="BC673">
        <f t="shared" si="4765"/>
        <v>626400000</v>
      </c>
      <c r="BD673">
        <f t="shared" si="4640"/>
        <v>0.29411764705882354</v>
      </c>
      <c r="BE673" s="27">
        <f t="shared" si="4766"/>
        <v>1167321456.0000002</v>
      </c>
      <c r="BF673" s="30">
        <f t="shared" si="4641"/>
        <v>0.48</v>
      </c>
      <c r="BG673" s="27"/>
      <c r="BH673" s="27"/>
      <c r="BI673" s="27"/>
      <c r="CA673" s="20">
        <f t="shared" si="4642"/>
        <v>470</v>
      </c>
      <c r="CB673" s="20">
        <f t="shared" si="4643"/>
        <v>47000</v>
      </c>
    </row>
    <row r="674" spans="1:80" x14ac:dyDescent="0.15">
      <c r="A674">
        <v>7505</v>
      </c>
      <c r="B674" s="3" t="s">
        <v>122</v>
      </c>
      <c r="C674" s="4" t="s">
        <v>109</v>
      </c>
      <c r="D674" s="4" t="s">
        <v>110</v>
      </c>
      <c r="E674" s="5">
        <v>2</v>
      </c>
      <c r="F674" s="7" t="s">
        <v>146</v>
      </c>
      <c r="G674" s="5">
        <v>3</v>
      </c>
      <c r="H674" s="7" t="s">
        <v>191</v>
      </c>
      <c r="I674" s="5">
        <v>0</v>
      </c>
      <c r="J674" s="7" t="s">
        <v>148</v>
      </c>
      <c r="K674">
        <v>6</v>
      </c>
      <c r="L674">
        <v>1.5</v>
      </c>
      <c r="M674" s="5">
        <v>1.5</v>
      </c>
      <c r="N674" s="5">
        <v>10</v>
      </c>
      <c r="O674" s="5">
        <f t="shared" si="4623"/>
        <v>112527</v>
      </c>
      <c r="P674" s="5">
        <f t="shared" si="4624"/>
        <v>633600000</v>
      </c>
      <c r="Q674" s="5">
        <f t="shared" si="4625"/>
        <v>10560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70051</v>
      </c>
      <c r="X674" s="6" t="s">
        <v>183</v>
      </c>
      <c r="Y674" s="5">
        <v>300</v>
      </c>
      <c r="Z674" s="5">
        <v>1</v>
      </c>
      <c r="AA674" s="5">
        <v>259250544</v>
      </c>
      <c r="AB674" s="16" t="s">
        <v>111</v>
      </c>
      <c r="AC674" s="7" t="s">
        <v>112</v>
      </c>
      <c r="AD674" s="7" t="s">
        <v>112</v>
      </c>
      <c r="AE674" s="7" t="s">
        <v>112</v>
      </c>
      <c r="AF674" s="6" t="s">
        <v>113</v>
      </c>
      <c r="AG674" s="26" t="str">
        <f t="shared" ref="AG674" si="4844">CM$8</f>
        <v>4,19,28,19,6,4,19,28,19,6</v>
      </c>
      <c r="AH674" s="26" t="str">
        <f t="shared" ref="AH674" si="4845">CN$8</f>
        <v>0,0,0,0,1,0,0,0,0,1</v>
      </c>
      <c r="AI674" s="26" t="str">
        <f t="shared" ref="AI674" si="4846">CO$8</f>
        <v>0,0,0,0,1,0,0,0,0,1</v>
      </c>
      <c r="AJ674" s="26" t="str">
        <f t="shared" ref="AJ674" si="4847">CP$8</f>
        <v>0,0,0,0,5,0,0,0,0,5</v>
      </c>
      <c r="AK674" s="26" t="str">
        <f t="shared" ref="AK674" si="4848">CQ$8</f>
        <v>200,100,1000,200,5,200,100,1000,200,5</v>
      </c>
      <c r="AL674" s="26" t="str">
        <f t="shared" ref="AL674" si="4849">CR$8</f>
        <v>5,5,5,5,5,5,5,5,5,5</v>
      </c>
      <c r="AM674" s="7">
        <v>2001</v>
      </c>
      <c r="AO674">
        <f t="shared" ref="AO674" si="4850">AQ674*100+5</f>
        <v>7505</v>
      </c>
      <c r="AP674">
        <v>670</v>
      </c>
      <c r="AQ674">
        <f t="shared" si="4633"/>
        <v>75</v>
      </c>
      <c r="AR674">
        <v>12</v>
      </c>
      <c r="AS674" s="17">
        <f t="shared" si="4714"/>
        <v>430</v>
      </c>
      <c r="AT674">
        <v>11</v>
      </c>
      <c r="AU674">
        <f t="shared" si="4634"/>
        <v>34</v>
      </c>
      <c r="AV674">
        <v>150</v>
      </c>
      <c r="AW674">
        <f t="shared" si="4635"/>
        <v>112527.36</v>
      </c>
      <c r="AX674">
        <f t="shared" si="4764"/>
        <v>633600000</v>
      </c>
      <c r="AY674">
        <f t="shared" si="4636"/>
        <v>10560</v>
      </c>
      <c r="AZ674">
        <f t="shared" si="4637"/>
        <v>21120</v>
      </c>
      <c r="BA674">
        <f t="shared" si="4638"/>
        <v>126720</v>
      </c>
      <c r="BB674">
        <f t="shared" si="4639"/>
        <v>5280</v>
      </c>
      <c r="BC674">
        <f t="shared" si="4765"/>
        <v>633600000</v>
      </c>
      <c r="BD674">
        <f t="shared" si="4640"/>
        <v>0.29411764705882354</v>
      </c>
      <c r="BE674" s="27">
        <f t="shared" si="4766"/>
        <v>1194310656.0000002</v>
      </c>
      <c r="BF674" s="30">
        <f t="shared" si="4641"/>
        <v>0.48</v>
      </c>
      <c r="BG674" s="27"/>
      <c r="BH674" s="27"/>
      <c r="BI674" s="27"/>
      <c r="CA674" s="20">
        <f t="shared" si="4642"/>
        <v>470</v>
      </c>
      <c r="CB674" s="20">
        <f t="shared" si="4643"/>
        <v>47000</v>
      </c>
    </row>
    <row r="675" spans="1:80" x14ac:dyDescent="0.15">
      <c r="A675">
        <v>7506</v>
      </c>
      <c r="B675" s="3" t="s">
        <v>124</v>
      </c>
      <c r="C675" s="4" t="s">
        <v>109</v>
      </c>
      <c r="D675" s="6" t="s">
        <v>120</v>
      </c>
      <c r="E675" s="5">
        <v>1</v>
      </c>
      <c r="F675" s="7" t="s">
        <v>147</v>
      </c>
      <c r="G675" s="5">
        <v>3</v>
      </c>
      <c r="H675" s="7" t="s">
        <v>192</v>
      </c>
      <c r="I675" s="5">
        <v>0</v>
      </c>
      <c r="J675" s="7" t="s">
        <v>149</v>
      </c>
      <c r="K675">
        <v>6</v>
      </c>
      <c r="L675">
        <v>1.5</v>
      </c>
      <c r="M675" s="5">
        <v>1.5</v>
      </c>
      <c r="N675" s="5">
        <v>10</v>
      </c>
      <c r="O675" s="5">
        <f t="shared" si="4623"/>
        <v>113806</v>
      </c>
      <c r="P675" s="5">
        <f t="shared" si="4624"/>
        <v>640800000</v>
      </c>
      <c r="Q675" s="5">
        <f t="shared" si="4625"/>
        <v>10680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70061</v>
      </c>
      <c r="X675" s="6" t="s">
        <v>184</v>
      </c>
      <c r="Y675" s="5">
        <v>300</v>
      </c>
      <c r="Z675" s="5">
        <v>1</v>
      </c>
      <c r="AA675" s="5">
        <v>265612284</v>
      </c>
      <c r="AB675" s="16" t="s">
        <v>111</v>
      </c>
      <c r="AC675" s="7" t="s">
        <v>112</v>
      </c>
      <c r="AD675" s="7" t="s">
        <v>112</v>
      </c>
      <c r="AE675" s="7" t="s">
        <v>112</v>
      </c>
      <c r="AF675" s="6" t="s">
        <v>113</v>
      </c>
      <c r="AG675" s="26" t="str">
        <f t="shared" ref="AG675" si="4851">CM$9</f>
        <v>4,33,28,33,6,4,33,28,33,6</v>
      </c>
      <c r="AH675" s="26" t="str">
        <f t="shared" ref="AH675" si="4852">CN$9</f>
        <v>0,6,0,6,1,0,6,0,6,1</v>
      </c>
      <c r="AI675" s="26" t="str">
        <f t="shared" ref="AI675" si="4853">CO$9</f>
        <v>0,0,0,0,1,0,0,0,0,1</v>
      </c>
      <c r="AJ675" s="26" t="str">
        <f t="shared" ref="AJ675" si="4854">CP$9</f>
        <v>0,0,0,0,5,0,0,0,0,5</v>
      </c>
      <c r="AK675" s="26" t="str">
        <f t="shared" ref="AK675" si="4855">CQ$9</f>
        <v>200,1,1000,2,5,200,1,1000,2,5</v>
      </c>
      <c r="AL675" s="26" t="str">
        <f t="shared" ref="AL675" si="4856">CR$9</f>
        <v>5,5,5,5,5,5,5,5,5,5</v>
      </c>
      <c r="AM675" s="7">
        <v>2001</v>
      </c>
      <c r="AO675">
        <f t="shared" ref="AO675" si="4857">AQ675*100+6</f>
        <v>7506</v>
      </c>
      <c r="AP675">
        <v>671</v>
      </c>
      <c r="AQ675">
        <f t="shared" si="4633"/>
        <v>75</v>
      </c>
      <c r="AR675">
        <v>12</v>
      </c>
      <c r="AS675" s="17">
        <f t="shared" si="4714"/>
        <v>435</v>
      </c>
      <c r="AT675">
        <v>11</v>
      </c>
      <c r="AU675">
        <f t="shared" si="4634"/>
        <v>34</v>
      </c>
      <c r="AV675">
        <v>150</v>
      </c>
      <c r="AW675">
        <f t="shared" si="4635"/>
        <v>113806.08</v>
      </c>
      <c r="AX675">
        <f t="shared" si="4764"/>
        <v>640800000</v>
      </c>
      <c r="AY675">
        <f t="shared" si="4636"/>
        <v>10680</v>
      </c>
      <c r="AZ675">
        <f t="shared" si="4637"/>
        <v>21360</v>
      </c>
      <c r="BA675">
        <f t="shared" si="4638"/>
        <v>128160</v>
      </c>
      <c r="BB675">
        <f t="shared" si="4639"/>
        <v>5340</v>
      </c>
      <c r="BC675">
        <f t="shared" si="4765"/>
        <v>640800000</v>
      </c>
      <c r="BD675">
        <f t="shared" si="4640"/>
        <v>0.29411764705882354</v>
      </c>
      <c r="BE675" s="27">
        <f t="shared" si="4766"/>
        <v>1221608304.0000002</v>
      </c>
      <c r="BF675" s="30">
        <f t="shared" si="4641"/>
        <v>0.48</v>
      </c>
      <c r="BG675" s="27"/>
      <c r="BH675" s="27"/>
      <c r="BI675" s="27"/>
      <c r="CA675" s="20">
        <f t="shared" si="4642"/>
        <v>470</v>
      </c>
      <c r="CB675" s="20">
        <f t="shared" si="4643"/>
        <v>47000</v>
      </c>
    </row>
    <row r="676" spans="1:80" x14ac:dyDescent="0.15">
      <c r="A676">
        <v>7507</v>
      </c>
      <c r="B676" s="3" t="s">
        <v>126</v>
      </c>
      <c r="C676" s="4" t="s">
        <v>109</v>
      </c>
      <c r="D676" s="4" t="s">
        <v>110</v>
      </c>
      <c r="E676" s="5">
        <v>2</v>
      </c>
      <c r="F676" s="7" t="s">
        <v>143</v>
      </c>
      <c r="G676" s="5">
        <v>3</v>
      </c>
      <c r="H676" s="7" t="s">
        <v>193</v>
      </c>
      <c r="I676" s="5">
        <v>0</v>
      </c>
      <c r="J676" s="5">
        <v>0</v>
      </c>
      <c r="K676">
        <v>2</v>
      </c>
      <c r="L676">
        <v>1.5</v>
      </c>
      <c r="M676" s="5">
        <v>1.5</v>
      </c>
      <c r="N676" s="5">
        <v>10</v>
      </c>
      <c r="O676" s="5">
        <f t="shared" si="4623"/>
        <v>115084</v>
      </c>
      <c r="P676" s="5">
        <f t="shared" si="4624"/>
        <v>648000000</v>
      </c>
      <c r="Q676" s="5">
        <f t="shared" si="4625"/>
        <v>10800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70071</v>
      </c>
      <c r="X676" s="6" t="s">
        <v>185</v>
      </c>
      <c r="Y676" s="5">
        <v>300</v>
      </c>
      <c r="Z676" s="5">
        <v>1</v>
      </c>
      <c r="AA676" s="5">
        <v>272051136</v>
      </c>
      <c r="AB676" s="16" t="s">
        <v>111</v>
      </c>
      <c r="AC676" s="7" t="s">
        <v>112</v>
      </c>
      <c r="AD676" s="7" t="s">
        <v>112</v>
      </c>
      <c r="AE676" s="7" t="s">
        <v>112</v>
      </c>
      <c r="AF676" s="6" t="s">
        <v>113</v>
      </c>
      <c r="AG676" s="26" t="str">
        <f t="shared" ref="AG676" si="4858">CM$10</f>
        <v>4,14,28,14,6,4,14,28,14,6</v>
      </c>
      <c r="AH676" s="26" t="str">
        <f t="shared" ref="AH676" si="4859">CN$10</f>
        <v>0,0,0,0,1,0,0,0,0,1</v>
      </c>
      <c r="AI676" s="26" t="str">
        <f t="shared" ref="AI676" si="4860">CO$10</f>
        <v>0,0,0,0,1,0,0,0,0,1</v>
      </c>
      <c r="AJ676" s="26" t="str">
        <f t="shared" ref="AJ676" si="4861">CP$10</f>
        <v>0,0,0,0,5,0,0,0,0,5</v>
      </c>
      <c r="AK676" s="26" t="str">
        <f t="shared" ref="AK676" si="4862">CQ$10</f>
        <v>200,1,1000,2,5,200,1,1000,2,5</v>
      </c>
      <c r="AL676" s="26" t="str">
        <f t="shared" ref="AL676" si="4863">CR$10</f>
        <v>5,5,5,5,5,5,5,5,5,5</v>
      </c>
      <c r="AM676" s="7">
        <v>2001</v>
      </c>
      <c r="AO676">
        <f t="shared" ref="AO676" si="4864">AQ676*100+7</f>
        <v>7507</v>
      </c>
      <c r="AP676">
        <v>672</v>
      </c>
      <c r="AQ676">
        <f t="shared" si="4633"/>
        <v>75</v>
      </c>
      <c r="AR676">
        <v>12</v>
      </c>
      <c r="AS676" s="17">
        <f t="shared" si="4714"/>
        <v>440</v>
      </c>
      <c r="AT676">
        <v>11</v>
      </c>
      <c r="AU676">
        <f t="shared" si="4634"/>
        <v>34</v>
      </c>
      <c r="AV676">
        <v>150</v>
      </c>
      <c r="AW676">
        <f t="shared" si="4635"/>
        <v>115084.8</v>
      </c>
      <c r="AX676">
        <f t="shared" si="4764"/>
        <v>648000000</v>
      </c>
      <c r="AY676">
        <f t="shared" si="4636"/>
        <v>10800</v>
      </c>
      <c r="AZ676">
        <f t="shared" si="4637"/>
        <v>21600</v>
      </c>
      <c r="BA676">
        <f t="shared" si="4638"/>
        <v>129600</v>
      </c>
      <c r="BB676">
        <f t="shared" si="4639"/>
        <v>5400</v>
      </c>
      <c r="BC676">
        <f t="shared" si="4765"/>
        <v>648000000</v>
      </c>
      <c r="BD676">
        <f t="shared" si="4640"/>
        <v>0.29411764705882354</v>
      </c>
      <c r="BE676" s="27">
        <f t="shared" si="4766"/>
        <v>1249214400.0000002</v>
      </c>
      <c r="BF676" s="30">
        <f t="shared" si="4641"/>
        <v>0.48</v>
      </c>
      <c r="BG676" s="27"/>
      <c r="BH676" s="27"/>
      <c r="BI676" s="27"/>
      <c r="CA676" s="20">
        <f t="shared" si="4642"/>
        <v>470</v>
      </c>
      <c r="CB676" s="20">
        <f t="shared" si="4643"/>
        <v>47000</v>
      </c>
    </row>
    <row r="677" spans="1:80" x14ac:dyDescent="0.15">
      <c r="A677">
        <v>7508</v>
      </c>
      <c r="B677" s="3" t="s">
        <v>128</v>
      </c>
      <c r="C677" s="4" t="s">
        <v>109</v>
      </c>
      <c r="D677" s="4" t="s">
        <v>110</v>
      </c>
      <c r="E677" s="5">
        <v>5</v>
      </c>
      <c r="F677" s="7" t="s">
        <v>129</v>
      </c>
      <c r="G677" s="5">
        <v>2</v>
      </c>
      <c r="H677" s="7" t="s">
        <v>130</v>
      </c>
      <c r="I677" s="5">
        <v>0</v>
      </c>
      <c r="J677" s="5">
        <v>0</v>
      </c>
      <c r="K677">
        <v>2</v>
      </c>
      <c r="L677">
        <v>1.5</v>
      </c>
      <c r="M677" s="5">
        <v>1.5</v>
      </c>
      <c r="N677" s="5">
        <v>10</v>
      </c>
      <c r="O677" s="5">
        <f t="shared" si="4623"/>
        <v>116363</v>
      </c>
      <c r="P677" s="5">
        <f t="shared" si="4624"/>
        <v>655200000</v>
      </c>
      <c r="Q677" s="5">
        <f t="shared" si="4625"/>
        <v>10920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70081</v>
      </c>
      <c r="X677" s="6" t="s">
        <v>186</v>
      </c>
      <c r="Y677" s="5">
        <v>300</v>
      </c>
      <c r="Z677" s="5">
        <v>1</v>
      </c>
      <c r="AA677" s="5">
        <v>278567100</v>
      </c>
      <c r="AB677" s="16" t="s">
        <v>111</v>
      </c>
      <c r="AC677" s="7" t="s">
        <v>112</v>
      </c>
      <c r="AD677" s="7" t="s">
        <v>112</v>
      </c>
      <c r="AE677" s="7" t="s">
        <v>112</v>
      </c>
      <c r="AF677" s="6" t="s">
        <v>113</v>
      </c>
      <c r="AG677" s="26" t="str">
        <f t="shared" ref="AG677" si="4865">CM$11</f>
        <v>4,28,6,28,6,4,28,6,28,6</v>
      </c>
      <c r="AH677" s="26" t="str">
        <f t="shared" ref="AH677" si="4866">CN$11</f>
        <v>0,0,1,0,1,0,0,1,0,1</v>
      </c>
      <c r="AI677" s="26" t="str">
        <f t="shared" ref="AI677" si="4867">CO$11</f>
        <v>0,0,1,0,1,0,0,1,0,1</v>
      </c>
      <c r="AJ677" s="26" t="str">
        <f t="shared" ref="AJ677" si="4868">CP$11</f>
        <v>0,0,5,0,5,0,0,5,0,5</v>
      </c>
      <c r="AK677" s="26" t="str">
        <f t="shared" ref="AK677" si="4869">CQ$11</f>
        <v>100,1000,5,1500,5,200,1000,5,1500,5</v>
      </c>
      <c r="AL677" s="26" t="str">
        <f t="shared" ref="AL677" si="4870">CR$11</f>
        <v>5,5,5,5,5,5,5,5,5,5</v>
      </c>
      <c r="AM677" s="7">
        <v>2001</v>
      </c>
      <c r="AO677">
        <f t="shared" ref="AO677" si="4871">AQ677*100+8</f>
        <v>7508</v>
      </c>
      <c r="AP677">
        <v>673</v>
      </c>
      <c r="AQ677">
        <f t="shared" si="4633"/>
        <v>75</v>
      </c>
      <c r="AR677">
        <v>12</v>
      </c>
      <c r="AS677" s="17">
        <f t="shared" si="4714"/>
        <v>445</v>
      </c>
      <c r="AT677">
        <v>11</v>
      </c>
      <c r="AU677">
        <f t="shared" si="4634"/>
        <v>34</v>
      </c>
      <c r="AV677">
        <v>150</v>
      </c>
      <c r="AW677">
        <f t="shared" si="4635"/>
        <v>116363.52</v>
      </c>
      <c r="AX677">
        <f t="shared" si="4764"/>
        <v>655200000</v>
      </c>
      <c r="AY677">
        <f t="shared" si="4636"/>
        <v>10920</v>
      </c>
      <c r="AZ677">
        <f t="shared" si="4637"/>
        <v>21840</v>
      </c>
      <c r="BA677">
        <f t="shared" si="4638"/>
        <v>131040</v>
      </c>
      <c r="BB677">
        <f t="shared" si="4639"/>
        <v>5460</v>
      </c>
      <c r="BC677">
        <f t="shared" si="4765"/>
        <v>655200000</v>
      </c>
      <c r="BD677">
        <f t="shared" si="4640"/>
        <v>0.29411764705882354</v>
      </c>
      <c r="BE677" s="27">
        <f t="shared" si="4766"/>
        <v>1277128944.0000002</v>
      </c>
      <c r="BF677" s="30">
        <f t="shared" si="4641"/>
        <v>0.48</v>
      </c>
      <c r="BG677" s="27"/>
      <c r="BH677" s="27"/>
      <c r="BI677" s="27"/>
      <c r="CA677" s="20">
        <f t="shared" si="4642"/>
        <v>470</v>
      </c>
      <c r="CB677" s="20">
        <f t="shared" si="4643"/>
        <v>47000</v>
      </c>
    </row>
    <row r="678" spans="1:80" x14ac:dyDescent="0.15">
      <c r="A678">
        <v>7509</v>
      </c>
      <c r="B678" s="3" t="s">
        <v>132</v>
      </c>
      <c r="C678" s="4" t="s">
        <v>109</v>
      </c>
      <c r="D678" s="4" t="s">
        <v>110</v>
      </c>
      <c r="E678" s="5">
        <v>5</v>
      </c>
      <c r="F678" s="7" t="s">
        <v>140</v>
      </c>
      <c r="G678" s="5">
        <v>3</v>
      </c>
      <c r="H678" s="7" t="s">
        <v>140</v>
      </c>
      <c r="I678" s="5">
        <v>0</v>
      </c>
      <c r="J678" s="7">
        <v>0</v>
      </c>
      <c r="K678">
        <v>6</v>
      </c>
      <c r="L678">
        <v>1.5</v>
      </c>
      <c r="M678" s="5">
        <v>1.5</v>
      </c>
      <c r="N678" s="5">
        <v>10</v>
      </c>
      <c r="O678" s="5">
        <f t="shared" si="4623"/>
        <v>117642</v>
      </c>
      <c r="P678" s="5">
        <f t="shared" si="4624"/>
        <v>662400000</v>
      </c>
      <c r="Q678" s="5">
        <f t="shared" si="4625"/>
        <v>11040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70091</v>
      </c>
      <c r="X678" s="6" t="s">
        <v>187</v>
      </c>
      <c r="Y678" s="5">
        <v>300</v>
      </c>
      <c r="Z678" s="5">
        <v>1</v>
      </c>
      <c r="AA678" s="5">
        <v>285160176</v>
      </c>
      <c r="AB678" s="16" t="s">
        <v>111</v>
      </c>
      <c r="AC678" s="7" t="s">
        <v>112</v>
      </c>
      <c r="AD678" s="7" t="s">
        <v>112</v>
      </c>
      <c r="AE678" s="7" t="s">
        <v>112</v>
      </c>
      <c r="AF678" s="6" t="s">
        <v>113</v>
      </c>
      <c r="AG678" s="26" t="str">
        <f t="shared" ref="AG678" si="4872">CM$12</f>
        <v>4,33,28,33,6,4,33,28,33,6</v>
      </c>
      <c r="AH678" s="26" t="str">
        <f t="shared" ref="AH678" si="4873">CN$12</f>
        <v>0,5,0,5,1,0,5,0,5,1</v>
      </c>
      <c r="AI678" s="26" t="str">
        <f t="shared" ref="AI678" si="4874">CO$12</f>
        <v>0,0,0,0,1,0,0,0,0,1</v>
      </c>
      <c r="AJ678" s="26" t="str">
        <f t="shared" ref="AJ678" si="4875">CP$12</f>
        <v>0,0,0,0,5,0,0,0,0,5</v>
      </c>
      <c r="AK678" s="26" t="str">
        <f t="shared" ref="AK678" si="4876">CQ$12</f>
        <v>100,1,1000,2,5,200,1,1000,2,5</v>
      </c>
      <c r="AL678" s="26" t="str">
        <f t="shared" ref="AL678" si="4877">CR$12</f>
        <v>5,5,5,5,5,5,5,5,5,5</v>
      </c>
      <c r="AM678" s="7">
        <v>2001</v>
      </c>
      <c r="AO678">
        <f t="shared" ref="AO678" si="4878">AQ678*100+9</f>
        <v>7509</v>
      </c>
      <c r="AP678">
        <v>674</v>
      </c>
      <c r="AQ678">
        <f t="shared" si="4633"/>
        <v>75</v>
      </c>
      <c r="AR678">
        <v>12</v>
      </c>
      <c r="AS678" s="17">
        <f t="shared" si="4714"/>
        <v>450</v>
      </c>
      <c r="AT678">
        <v>11</v>
      </c>
      <c r="AU678">
        <f t="shared" si="4634"/>
        <v>34</v>
      </c>
      <c r="AV678">
        <v>150</v>
      </c>
      <c r="AW678">
        <f t="shared" si="4635"/>
        <v>117642.24000000001</v>
      </c>
      <c r="AX678">
        <f t="shared" si="4764"/>
        <v>662400000</v>
      </c>
      <c r="AY678">
        <f t="shared" si="4636"/>
        <v>11040</v>
      </c>
      <c r="AZ678">
        <f t="shared" si="4637"/>
        <v>22080</v>
      </c>
      <c r="BA678">
        <f t="shared" si="4638"/>
        <v>132480</v>
      </c>
      <c r="BB678">
        <f t="shared" si="4639"/>
        <v>5520</v>
      </c>
      <c r="BC678">
        <f t="shared" si="4765"/>
        <v>662400000</v>
      </c>
      <c r="BD678">
        <f t="shared" si="4640"/>
        <v>0.29411764705882354</v>
      </c>
      <c r="BE678" s="27">
        <f t="shared" si="4766"/>
        <v>1305351936.0000002</v>
      </c>
      <c r="BF678" s="30">
        <f t="shared" si="4641"/>
        <v>0.48</v>
      </c>
      <c r="BG678" s="27"/>
      <c r="BH678" s="27"/>
      <c r="BI678" s="27"/>
      <c r="CA678" s="20">
        <f t="shared" si="4642"/>
        <v>470</v>
      </c>
      <c r="CB678" s="20">
        <f t="shared" si="4643"/>
        <v>47000</v>
      </c>
    </row>
    <row r="679" spans="1:80" x14ac:dyDescent="0.15">
      <c r="A679">
        <v>7601</v>
      </c>
      <c r="B679" s="3" t="s">
        <v>108</v>
      </c>
      <c r="C679" s="4" t="s">
        <v>109</v>
      </c>
      <c r="D679" s="4" t="s">
        <v>110</v>
      </c>
      <c r="E679" s="5">
        <v>3</v>
      </c>
      <c r="F679" s="7" t="s">
        <v>141</v>
      </c>
      <c r="G679" s="5">
        <v>2.5</v>
      </c>
      <c r="H679" s="7" t="s">
        <v>194</v>
      </c>
      <c r="I679" s="5">
        <v>0</v>
      </c>
      <c r="J679" s="5">
        <v>0</v>
      </c>
      <c r="K679">
        <v>2</v>
      </c>
      <c r="L679">
        <v>1.5</v>
      </c>
      <c r="M679" s="5">
        <v>1.5</v>
      </c>
      <c r="N679" s="5">
        <v>10</v>
      </c>
      <c r="O679" s="5">
        <f t="shared" si="4623"/>
        <v>108867</v>
      </c>
      <c r="P679" s="5">
        <f t="shared" si="4624"/>
        <v>612000000</v>
      </c>
      <c r="Q679" s="5">
        <f t="shared" si="4625"/>
        <v>10200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70011</v>
      </c>
      <c r="X679" s="6" t="s">
        <v>179</v>
      </c>
      <c r="Y679" s="5">
        <v>300</v>
      </c>
      <c r="Z679" s="5">
        <v>1</v>
      </c>
      <c r="AA679" s="5">
        <v>291830364</v>
      </c>
      <c r="AB679" s="16" t="s">
        <v>111</v>
      </c>
      <c r="AC679" s="7" t="s">
        <v>112</v>
      </c>
      <c r="AD679" s="7" t="s">
        <v>112</v>
      </c>
      <c r="AE679" s="7" t="s">
        <v>112</v>
      </c>
      <c r="AF679" s="6" t="s">
        <v>113</v>
      </c>
      <c r="AG679" s="26" t="str">
        <f t="shared" ref="AG679" si="4879">CM$4</f>
        <v>4,33,28,33,6,4,33,28,33,6</v>
      </c>
      <c r="AH679" s="26" t="str">
        <f t="shared" ref="AH679" si="4880">CN$4</f>
        <v>0,8,0,8,1,0,8,0,8,1</v>
      </c>
      <c r="AI679" s="26" t="str">
        <f t="shared" ref="AI679" si="4881">CO$4</f>
        <v>0,0,0,0,1,0,0,0,0,1</v>
      </c>
      <c r="AJ679" s="26" t="str">
        <f t="shared" ref="AJ679" si="4882">CP$4</f>
        <v>0,0,0,0,5,0,0,0,0,5</v>
      </c>
      <c r="AK679" s="26" t="str">
        <f t="shared" ref="AK679" si="4883">CQ$4</f>
        <v>100,1,1000,2,5,200,1,1000,2,5</v>
      </c>
      <c r="AL679" s="26" t="str">
        <f t="shared" ref="AL679" si="4884">CR$4</f>
        <v>5,5,5,5,5,5,5,5,5,5</v>
      </c>
      <c r="AM679" s="7">
        <v>2001</v>
      </c>
      <c r="AO679">
        <f t="shared" ref="AO679" si="4885">AQ679*100+1</f>
        <v>7601</v>
      </c>
      <c r="AP679">
        <v>675</v>
      </c>
      <c r="AQ679">
        <f t="shared" si="4633"/>
        <v>76</v>
      </c>
      <c r="AR679">
        <v>12</v>
      </c>
      <c r="AS679" s="17">
        <f t="shared" si="4714"/>
        <v>415</v>
      </c>
      <c r="AT679">
        <v>11</v>
      </c>
      <c r="AU679">
        <f t="shared" si="4634"/>
        <v>34</v>
      </c>
      <c r="AV679">
        <v>150</v>
      </c>
      <c r="AW679">
        <f t="shared" si="4635"/>
        <v>108867.45599999999</v>
      </c>
      <c r="AX679">
        <f t="shared" si="4764"/>
        <v>612000000</v>
      </c>
      <c r="AY679">
        <f t="shared" si="4636"/>
        <v>10200</v>
      </c>
      <c r="AZ679">
        <f t="shared" si="4637"/>
        <v>20400</v>
      </c>
      <c r="BA679">
        <f t="shared" si="4638"/>
        <v>122400</v>
      </c>
      <c r="BB679">
        <f t="shared" si="4639"/>
        <v>5100</v>
      </c>
      <c r="BC679">
        <f t="shared" si="4765"/>
        <v>612000000</v>
      </c>
      <c r="BD679">
        <f t="shared" si="4640"/>
        <v>0.29411764705882354</v>
      </c>
      <c r="BE679" s="27">
        <f t="shared" si="4766"/>
        <v>1114268400.0000002</v>
      </c>
      <c r="BF679" s="30">
        <f t="shared" si="4641"/>
        <v>0.48239999999999994</v>
      </c>
      <c r="BG679" s="27"/>
      <c r="BH679" s="27"/>
      <c r="BI679" s="27"/>
      <c r="CA679" s="20">
        <f t="shared" si="4642"/>
        <v>475</v>
      </c>
      <c r="CB679" s="20">
        <f t="shared" si="4643"/>
        <v>47500</v>
      </c>
    </row>
    <row r="680" spans="1:80" x14ac:dyDescent="0.15">
      <c r="A680">
        <v>7602</v>
      </c>
      <c r="B680" s="3" t="s">
        <v>115</v>
      </c>
      <c r="C680" s="4" t="s">
        <v>109</v>
      </c>
      <c r="D680" s="6" t="s">
        <v>110</v>
      </c>
      <c r="E680" s="5">
        <v>3</v>
      </c>
      <c r="F680" s="7" t="s">
        <v>142</v>
      </c>
      <c r="G680" s="5">
        <v>3</v>
      </c>
      <c r="H680" s="7" t="s">
        <v>188</v>
      </c>
      <c r="I680" s="5">
        <v>0</v>
      </c>
      <c r="J680" s="5">
        <v>0</v>
      </c>
      <c r="K680">
        <v>2</v>
      </c>
      <c r="L680">
        <v>1.5</v>
      </c>
      <c r="M680" s="5">
        <v>1.5</v>
      </c>
      <c r="N680" s="5">
        <v>10</v>
      </c>
      <c r="O680" s="5">
        <f t="shared" si="4623"/>
        <v>110148</v>
      </c>
      <c r="P680" s="5">
        <f t="shared" si="4624"/>
        <v>619200000</v>
      </c>
      <c r="Q680" s="5">
        <f t="shared" si="4625"/>
        <v>10320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70021</v>
      </c>
      <c r="X680" s="6" t="s">
        <v>180</v>
      </c>
      <c r="Y680" s="5">
        <v>300</v>
      </c>
      <c r="Z680" s="5">
        <v>1</v>
      </c>
      <c r="AA680" s="5">
        <v>246758400</v>
      </c>
      <c r="AB680" s="16" t="s">
        <v>111</v>
      </c>
      <c r="AC680" s="7" t="s">
        <v>112</v>
      </c>
      <c r="AD680" s="7" t="s">
        <v>112</v>
      </c>
      <c r="AE680" s="7" t="s">
        <v>112</v>
      </c>
      <c r="AF680" s="6" t="s">
        <v>113</v>
      </c>
      <c r="AG680" s="26" t="str">
        <f t="shared" ref="AG680" si="4886">CM$5</f>
        <v>4,33,28,33,6,4,33,28,33,6</v>
      </c>
      <c r="AH680" s="26" t="str">
        <f t="shared" ref="AH680" si="4887">CN$5</f>
        <v>0,7,0,7,1,0,7,0,7,1</v>
      </c>
      <c r="AI680" s="26" t="str">
        <f t="shared" ref="AI680" si="4888">CO$5</f>
        <v>0,0,0,0,1,0,0,0,0,1</v>
      </c>
      <c r="AJ680" s="26" t="str">
        <f t="shared" ref="AJ680" si="4889">CP$5</f>
        <v>0,0,0,0,5,0,0,0,0,5</v>
      </c>
      <c r="AK680" s="26" t="str">
        <f t="shared" ref="AK680" si="4890">CQ$5</f>
        <v>100,1,1000,2,5,200,1,1000,2,5</v>
      </c>
      <c r="AL680" s="26" t="str">
        <f t="shared" ref="AL680" si="4891">CR$5</f>
        <v>5,5,5,5,5,5,5,5,5,5</v>
      </c>
      <c r="AM680" s="7">
        <v>2001</v>
      </c>
      <c r="AO680">
        <f t="shared" ref="AO680" si="4892">AQ680*100+2</f>
        <v>7602</v>
      </c>
      <c r="AP680">
        <v>676</v>
      </c>
      <c r="AQ680">
        <f t="shared" si="4633"/>
        <v>76</v>
      </c>
      <c r="AR680">
        <v>12</v>
      </c>
      <c r="AS680" s="17">
        <f t="shared" si="4714"/>
        <v>420</v>
      </c>
      <c r="AT680">
        <v>11</v>
      </c>
      <c r="AU680">
        <f t="shared" si="4634"/>
        <v>34</v>
      </c>
      <c r="AV680">
        <v>150</v>
      </c>
      <c r="AW680">
        <f t="shared" si="4635"/>
        <v>110148.2496</v>
      </c>
      <c r="AX680">
        <f t="shared" si="4764"/>
        <v>619200000</v>
      </c>
      <c r="AY680">
        <f t="shared" si="4636"/>
        <v>10320</v>
      </c>
      <c r="AZ680">
        <f t="shared" si="4637"/>
        <v>20640</v>
      </c>
      <c r="BA680">
        <f t="shared" si="4638"/>
        <v>123840</v>
      </c>
      <c r="BB680">
        <f t="shared" si="4639"/>
        <v>5160</v>
      </c>
      <c r="BC680">
        <f t="shared" si="4765"/>
        <v>619200000</v>
      </c>
      <c r="BD680">
        <f t="shared" si="4640"/>
        <v>0.29411764705882354</v>
      </c>
      <c r="BE680" s="27">
        <f t="shared" si="4766"/>
        <v>1140640704.0000002</v>
      </c>
      <c r="BF680" s="30">
        <f t="shared" si="4641"/>
        <v>0.48239999999999994</v>
      </c>
      <c r="BG680" s="27"/>
      <c r="BH680" s="27"/>
      <c r="BI680" s="27"/>
      <c r="CA680" s="20">
        <f t="shared" si="4642"/>
        <v>475</v>
      </c>
      <c r="CB680" s="20">
        <f t="shared" si="4643"/>
        <v>47500</v>
      </c>
    </row>
    <row r="681" spans="1:80" x14ac:dyDescent="0.15">
      <c r="A681">
        <v>7603</v>
      </c>
      <c r="B681" s="3" t="s">
        <v>117</v>
      </c>
      <c r="C681" s="4" t="s">
        <v>109</v>
      </c>
      <c r="D681" s="4" t="s">
        <v>110</v>
      </c>
      <c r="E681" s="5">
        <v>1</v>
      </c>
      <c r="F681" s="7" t="s">
        <v>144</v>
      </c>
      <c r="G681" s="5">
        <v>3</v>
      </c>
      <c r="H681" s="7" t="s">
        <v>189</v>
      </c>
      <c r="I681" s="5">
        <v>0</v>
      </c>
      <c r="J681" s="2">
        <v>0</v>
      </c>
      <c r="K681">
        <v>6</v>
      </c>
      <c r="L681">
        <v>1.5</v>
      </c>
      <c r="M681" s="5">
        <v>1.5</v>
      </c>
      <c r="N681" s="5">
        <v>10</v>
      </c>
      <c r="O681" s="5">
        <f t="shared" si="4623"/>
        <v>111429</v>
      </c>
      <c r="P681" s="5">
        <f t="shared" si="4624"/>
        <v>626400000</v>
      </c>
      <c r="Q681" s="5">
        <f t="shared" si="4625"/>
        <v>10440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70031</v>
      </c>
      <c r="X681" s="6" t="s">
        <v>181</v>
      </c>
      <c r="Y681" s="5">
        <v>300</v>
      </c>
      <c r="Z681" s="5">
        <v>1</v>
      </c>
      <c r="AA681" s="5">
        <v>252965916</v>
      </c>
      <c r="AB681" s="16" t="s">
        <v>111</v>
      </c>
      <c r="AC681" s="7" t="s">
        <v>112</v>
      </c>
      <c r="AD681" s="7" t="s">
        <v>112</v>
      </c>
      <c r="AE681" s="7" t="s">
        <v>112</v>
      </c>
      <c r="AF681" s="6" t="s">
        <v>113</v>
      </c>
      <c r="AG681" s="26" t="str">
        <f t="shared" ref="AG681" si="4893">CM$6</f>
        <v>4,28,6,28,6,4,28,6,28,6</v>
      </c>
      <c r="AH681" s="26" t="str">
        <f t="shared" ref="AH681" si="4894">CN$6</f>
        <v>0,0,1,0,1,0,0,1,0,1</v>
      </c>
      <c r="AI681" s="26" t="str">
        <f t="shared" ref="AI681" si="4895">CO$6</f>
        <v>0,0,0,0,1,0,0,0,0,1</v>
      </c>
      <c r="AJ681" s="26" t="str">
        <f t="shared" ref="AJ681" si="4896">CP$6</f>
        <v>0,0,5,0,5,0,0,5,0,5</v>
      </c>
      <c r="AK681" s="26" t="str">
        <f t="shared" ref="AK681" si="4897">CQ$6</f>
        <v>100,1000,5,1500,5,200,1000,5,1500,5</v>
      </c>
      <c r="AL681" s="26" t="str">
        <f t="shared" ref="AL681" si="4898">CR$6</f>
        <v>5,5,5,5,5,5,5,5,5,5</v>
      </c>
      <c r="AM681" s="7">
        <v>2001</v>
      </c>
      <c r="AO681">
        <f t="shared" ref="AO681" si="4899">AQ681*100+3</f>
        <v>7603</v>
      </c>
      <c r="AP681">
        <v>677</v>
      </c>
      <c r="AQ681">
        <f t="shared" si="4633"/>
        <v>76</v>
      </c>
      <c r="AR681">
        <v>12</v>
      </c>
      <c r="AS681" s="17">
        <f t="shared" si="4714"/>
        <v>425</v>
      </c>
      <c r="AT681">
        <v>11</v>
      </c>
      <c r="AU681">
        <f t="shared" si="4634"/>
        <v>34</v>
      </c>
      <c r="AV681">
        <v>150</v>
      </c>
      <c r="AW681">
        <f t="shared" si="4635"/>
        <v>111429.0432</v>
      </c>
      <c r="AX681">
        <f t="shared" si="4764"/>
        <v>626400000</v>
      </c>
      <c r="AY681">
        <f t="shared" si="4636"/>
        <v>10440</v>
      </c>
      <c r="AZ681">
        <f t="shared" si="4637"/>
        <v>20880</v>
      </c>
      <c r="BA681">
        <f t="shared" si="4638"/>
        <v>125280</v>
      </c>
      <c r="BB681">
        <f t="shared" si="4639"/>
        <v>5220</v>
      </c>
      <c r="BC681">
        <f t="shared" si="4765"/>
        <v>626400000</v>
      </c>
      <c r="BD681">
        <f t="shared" si="4640"/>
        <v>0.29411764705882354</v>
      </c>
      <c r="BE681" s="27">
        <f t="shared" si="4766"/>
        <v>1167321456.0000002</v>
      </c>
      <c r="BF681" s="30">
        <f t="shared" si="4641"/>
        <v>0.48239999999999994</v>
      </c>
      <c r="BG681" s="27"/>
      <c r="BH681" s="27"/>
      <c r="BI681" s="27"/>
      <c r="CA681" s="20">
        <f t="shared" si="4642"/>
        <v>475</v>
      </c>
      <c r="CB681" s="20">
        <f t="shared" si="4643"/>
        <v>47500</v>
      </c>
    </row>
    <row r="682" spans="1:80" x14ac:dyDescent="0.15">
      <c r="A682">
        <v>7604</v>
      </c>
      <c r="B682" s="3" t="s">
        <v>119</v>
      </c>
      <c r="C682" s="4" t="s">
        <v>109</v>
      </c>
      <c r="D682" s="6" t="s">
        <v>120</v>
      </c>
      <c r="E682" s="5">
        <v>3</v>
      </c>
      <c r="F682" s="7" t="s">
        <v>145</v>
      </c>
      <c r="G682" s="5">
        <v>3</v>
      </c>
      <c r="H682" s="7" t="s">
        <v>190</v>
      </c>
      <c r="I682" s="5">
        <v>0</v>
      </c>
      <c r="J682" s="5">
        <v>0</v>
      </c>
      <c r="K682">
        <v>2</v>
      </c>
      <c r="L682">
        <v>1.5</v>
      </c>
      <c r="M682" s="5">
        <v>1.5</v>
      </c>
      <c r="N682" s="5">
        <v>10</v>
      </c>
      <c r="O682" s="5">
        <f t="shared" si="4623"/>
        <v>112709</v>
      </c>
      <c r="P682" s="5">
        <f t="shared" si="4624"/>
        <v>633600000</v>
      </c>
      <c r="Q682" s="5">
        <f t="shared" si="4625"/>
        <v>10560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70041</v>
      </c>
      <c r="X682" s="6" t="s">
        <v>182</v>
      </c>
      <c r="Y682" s="5">
        <v>300</v>
      </c>
      <c r="Z682" s="5">
        <v>1</v>
      </c>
      <c r="AA682" s="5">
        <v>259250544</v>
      </c>
      <c r="AB682" s="16" t="s">
        <v>111</v>
      </c>
      <c r="AC682" s="7" t="s">
        <v>112</v>
      </c>
      <c r="AD682" s="7" t="s">
        <v>112</v>
      </c>
      <c r="AE682" s="7" t="s">
        <v>112</v>
      </c>
      <c r="AF682" s="6" t="s">
        <v>113</v>
      </c>
      <c r="AG682" s="26" t="str">
        <f t="shared" ref="AG682" si="4900">CM$7</f>
        <v>4,14,28,14,6,4,14,28,14,6</v>
      </c>
      <c r="AH682" s="26" t="str">
        <f t="shared" ref="AH682" si="4901">CN$7</f>
        <v>0,0,0,0,1,0,0,0,0,1</v>
      </c>
      <c r="AI682" s="26" t="str">
        <f t="shared" ref="AI682" si="4902">CO$7</f>
        <v>0,0,0,0,1,0,0,0,0,1</v>
      </c>
      <c r="AJ682" s="26" t="str">
        <f t="shared" ref="AJ682" si="4903">CP$7</f>
        <v>0,0,0,0,5,0,0,0,0,5</v>
      </c>
      <c r="AK682" s="26" t="str">
        <f t="shared" ref="AK682" si="4904">CQ$7</f>
        <v>100,1,1000,2,5,200,1,1000,2,5</v>
      </c>
      <c r="AL682" s="26" t="str">
        <f t="shared" ref="AL682" si="4905">CR$7</f>
        <v>5,5,5,5,5,5,5,5,5,5</v>
      </c>
      <c r="AM682" s="7">
        <v>2001</v>
      </c>
      <c r="AO682">
        <f t="shared" ref="AO682" si="4906">AQ682*100+4</f>
        <v>7604</v>
      </c>
      <c r="AP682">
        <v>678</v>
      </c>
      <c r="AQ682">
        <f t="shared" si="4633"/>
        <v>76</v>
      </c>
      <c r="AR682">
        <v>12</v>
      </c>
      <c r="AS682" s="17">
        <f t="shared" si="4714"/>
        <v>430</v>
      </c>
      <c r="AT682">
        <v>11</v>
      </c>
      <c r="AU682">
        <f t="shared" si="4634"/>
        <v>34</v>
      </c>
      <c r="AV682">
        <v>150</v>
      </c>
      <c r="AW682">
        <f t="shared" si="4635"/>
        <v>112709.83679999999</v>
      </c>
      <c r="AX682">
        <f t="shared" si="4764"/>
        <v>633600000</v>
      </c>
      <c r="AY682">
        <f t="shared" si="4636"/>
        <v>10560</v>
      </c>
      <c r="AZ682">
        <f t="shared" si="4637"/>
        <v>21120</v>
      </c>
      <c r="BA682">
        <f t="shared" si="4638"/>
        <v>126720</v>
      </c>
      <c r="BB682">
        <f t="shared" si="4639"/>
        <v>5280</v>
      </c>
      <c r="BC682">
        <f t="shared" si="4765"/>
        <v>633600000</v>
      </c>
      <c r="BD682">
        <f t="shared" si="4640"/>
        <v>0.29411764705882354</v>
      </c>
      <c r="BE682" s="27">
        <f t="shared" si="4766"/>
        <v>1194310656.0000002</v>
      </c>
      <c r="BF682" s="30">
        <f t="shared" si="4641"/>
        <v>0.48239999999999994</v>
      </c>
      <c r="BG682" s="27"/>
      <c r="BH682" s="27"/>
      <c r="BI682" s="27"/>
      <c r="CA682" s="20">
        <f t="shared" si="4642"/>
        <v>475</v>
      </c>
      <c r="CB682" s="20">
        <f t="shared" si="4643"/>
        <v>47500</v>
      </c>
    </row>
    <row r="683" spans="1:80" x14ac:dyDescent="0.15">
      <c r="A683">
        <v>7605</v>
      </c>
      <c r="B683" s="3" t="s">
        <v>122</v>
      </c>
      <c r="C683" s="4" t="s">
        <v>109</v>
      </c>
      <c r="D683" s="4" t="s">
        <v>110</v>
      </c>
      <c r="E683" s="5">
        <v>2</v>
      </c>
      <c r="F683" s="7" t="s">
        <v>146</v>
      </c>
      <c r="G683" s="5">
        <v>3</v>
      </c>
      <c r="H683" s="7" t="s">
        <v>191</v>
      </c>
      <c r="I683" s="5">
        <v>0</v>
      </c>
      <c r="J683" s="7" t="s">
        <v>148</v>
      </c>
      <c r="K683">
        <v>6</v>
      </c>
      <c r="L683">
        <v>1.5</v>
      </c>
      <c r="M683" s="5">
        <v>1.5</v>
      </c>
      <c r="N683" s="5">
        <v>10</v>
      </c>
      <c r="O683" s="5">
        <f t="shared" si="4623"/>
        <v>113990</v>
      </c>
      <c r="P683" s="5">
        <f t="shared" si="4624"/>
        <v>640800000</v>
      </c>
      <c r="Q683" s="5">
        <f t="shared" si="4625"/>
        <v>10680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70051</v>
      </c>
      <c r="X683" s="6" t="s">
        <v>183</v>
      </c>
      <c r="Y683" s="5">
        <v>300</v>
      </c>
      <c r="Z683" s="5">
        <v>1</v>
      </c>
      <c r="AA683" s="5">
        <v>265612284</v>
      </c>
      <c r="AB683" s="16" t="s">
        <v>111</v>
      </c>
      <c r="AC683" s="7" t="s">
        <v>112</v>
      </c>
      <c r="AD683" s="7" t="s">
        <v>112</v>
      </c>
      <c r="AE683" s="7" t="s">
        <v>112</v>
      </c>
      <c r="AF683" s="6" t="s">
        <v>113</v>
      </c>
      <c r="AG683" s="26" t="str">
        <f t="shared" ref="AG683" si="4907">CM$8</f>
        <v>4,19,28,19,6,4,19,28,19,6</v>
      </c>
      <c r="AH683" s="26" t="str">
        <f t="shared" ref="AH683" si="4908">CN$8</f>
        <v>0,0,0,0,1,0,0,0,0,1</v>
      </c>
      <c r="AI683" s="26" t="str">
        <f t="shared" ref="AI683" si="4909">CO$8</f>
        <v>0,0,0,0,1,0,0,0,0,1</v>
      </c>
      <c r="AJ683" s="26" t="str">
        <f t="shared" ref="AJ683" si="4910">CP$8</f>
        <v>0,0,0,0,5,0,0,0,0,5</v>
      </c>
      <c r="AK683" s="26" t="str">
        <f t="shared" ref="AK683" si="4911">CQ$8</f>
        <v>200,100,1000,200,5,200,100,1000,200,5</v>
      </c>
      <c r="AL683" s="26" t="str">
        <f t="shared" ref="AL683" si="4912">CR$8</f>
        <v>5,5,5,5,5,5,5,5,5,5</v>
      </c>
      <c r="AM683" s="7">
        <v>2001</v>
      </c>
      <c r="AO683">
        <f t="shared" ref="AO683" si="4913">AQ683*100+5</f>
        <v>7605</v>
      </c>
      <c r="AP683">
        <v>679</v>
      </c>
      <c r="AQ683">
        <f t="shared" si="4633"/>
        <v>76</v>
      </c>
      <c r="AR683">
        <v>12</v>
      </c>
      <c r="AS683" s="17">
        <f t="shared" si="4714"/>
        <v>435</v>
      </c>
      <c r="AT683">
        <v>11</v>
      </c>
      <c r="AU683">
        <f t="shared" si="4634"/>
        <v>34</v>
      </c>
      <c r="AV683">
        <v>150</v>
      </c>
      <c r="AW683">
        <f t="shared" si="4635"/>
        <v>113990.63039999999</v>
      </c>
      <c r="AX683">
        <f t="shared" si="4764"/>
        <v>640800000</v>
      </c>
      <c r="AY683">
        <f t="shared" si="4636"/>
        <v>10680</v>
      </c>
      <c r="AZ683">
        <f t="shared" si="4637"/>
        <v>21360</v>
      </c>
      <c r="BA683">
        <f t="shared" si="4638"/>
        <v>128160</v>
      </c>
      <c r="BB683">
        <f t="shared" si="4639"/>
        <v>5340</v>
      </c>
      <c r="BC683">
        <f t="shared" si="4765"/>
        <v>640800000</v>
      </c>
      <c r="BD683">
        <f t="shared" si="4640"/>
        <v>0.29411764705882354</v>
      </c>
      <c r="BE683" s="27">
        <f t="shared" si="4766"/>
        <v>1221608304.0000002</v>
      </c>
      <c r="BF683" s="30">
        <f t="shared" si="4641"/>
        <v>0.48239999999999994</v>
      </c>
      <c r="BG683" s="27"/>
      <c r="BH683" s="27"/>
      <c r="BI683" s="27"/>
      <c r="CA683" s="20">
        <f t="shared" si="4642"/>
        <v>475</v>
      </c>
      <c r="CB683" s="20">
        <f t="shared" si="4643"/>
        <v>47500</v>
      </c>
    </row>
    <row r="684" spans="1:80" x14ac:dyDescent="0.15">
      <c r="A684">
        <v>7606</v>
      </c>
      <c r="B684" s="3" t="s">
        <v>124</v>
      </c>
      <c r="C684" s="4" t="s">
        <v>109</v>
      </c>
      <c r="D684" s="6" t="s">
        <v>120</v>
      </c>
      <c r="E684" s="5">
        <v>1</v>
      </c>
      <c r="F684" s="7" t="s">
        <v>147</v>
      </c>
      <c r="G684" s="5">
        <v>3</v>
      </c>
      <c r="H684" s="7" t="s">
        <v>192</v>
      </c>
      <c r="I684" s="5">
        <v>0</v>
      </c>
      <c r="J684" s="7" t="s">
        <v>149</v>
      </c>
      <c r="K684">
        <v>6</v>
      </c>
      <c r="L684">
        <v>1.5</v>
      </c>
      <c r="M684" s="5">
        <v>1.5</v>
      </c>
      <c r="N684" s="5">
        <v>10</v>
      </c>
      <c r="O684" s="5">
        <f t="shared" si="4623"/>
        <v>115271</v>
      </c>
      <c r="P684" s="5">
        <f t="shared" si="4624"/>
        <v>648000000</v>
      </c>
      <c r="Q684" s="5">
        <f t="shared" si="4625"/>
        <v>10800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70061</v>
      </c>
      <c r="X684" s="6" t="s">
        <v>184</v>
      </c>
      <c r="Y684" s="5">
        <v>300</v>
      </c>
      <c r="Z684" s="5">
        <v>1</v>
      </c>
      <c r="AA684" s="5">
        <v>272051136</v>
      </c>
      <c r="AB684" s="16" t="s">
        <v>111</v>
      </c>
      <c r="AC684" s="7" t="s">
        <v>112</v>
      </c>
      <c r="AD684" s="7" t="s">
        <v>112</v>
      </c>
      <c r="AE684" s="7" t="s">
        <v>112</v>
      </c>
      <c r="AF684" s="6" t="s">
        <v>113</v>
      </c>
      <c r="AG684" s="26" t="str">
        <f t="shared" ref="AG684" si="4914">CM$9</f>
        <v>4,33,28,33,6,4,33,28,33,6</v>
      </c>
      <c r="AH684" s="26" t="str">
        <f t="shared" ref="AH684" si="4915">CN$9</f>
        <v>0,6,0,6,1,0,6,0,6,1</v>
      </c>
      <c r="AI684" s="26" t="str">
        <f t="shared" ref="AI684" si="4916">CO$9</f>
        <v>0,0,0,0,1,0,0,0,0,1</v>
      </c>
      <c r="AJ684" s="26" t="str">
        <f t="shared" ref="AJ684" si="4917">CP$9</f>
        <v>0,0,0,0,5,0,0,0,0,5</v>
      </c>
      <c r="AK684" s="26" t="str">
        <f t="shared" ref="AK684" si="4918">CQ$9</f>
        <v>200,1,1000,2,5,200,1,1000,2,5</v>
      </c>
      <c r="AL684" s="26" t="str">
        <f t="shared" ref="AL684" si="4919">CR$9</f>
        <v>5,5,5,5,5,5,5,5,5,5</v>
      </c>
      <c r="AM684" s="7">
        <v>2001</v>
      </c>
      <c r="AO684">
        <f t="shared" ref="AO684" si="4920">AQ684*100+6</f>
        <v>7606</v>
      </c>
      <c r="AP684">
        <v>680</v>
      </c>
      <c r="AQ684">
        <f t="shared" si="4633"/>
        <v>76</v>
      </c>
      <c r="AR684">
        <v>12</v>
      </c>
      <c r="AS684" s="17">
        <f t="shared" si="4714"/>
        <v>440</v>
      </c>
      <c r="AT684">
        <v>11</v>
      </c>
      <c r="AU684">
        <f t="shared" si="4634"/>
        <v>34</v>
      </c>
      <c r="AV684">
        <v>150</v>
      </c>
      <c r="AW684">
        <f t="shared" si="4635"/>
        <v>115271.424</v>
      </c>
      <c r="AX684">
        <f t="shared" si="4764"/>
        <v>648000000</v>
      </c>
      <c r="AY684">
        <f t="shared" si="4636"/>
        <v>10800</v>
      </c>
      <c r="AZ684">
        <f t="shared" si="4637"/>
        <v>21600</v>
      </c>
      <c r="BA684">
        <f t="shared" si="4638"/>
        <v>129600</v>
      </c>
      <c r="BB684">
        <f t="shared" si="4639"/>
        <v>5400</v>
      </c>
      <c r="BC684">
        <f t="shared" si="4765"/>
        <v>648000000</v>
      </c>
      <c r="BD684">
        <f t="shared" si="4640"/>
        <v>0.29411764705882354</v>
      </c>
      <c r="BE684" s="27">
        <f t="shared" si="4766"/>
        <v>1249214400.0000002</v>
      </c>
      <c r="BF684" s="30">
        <f t="shared" si="4641"/>
        <v>0.48239999999999994</v>
      </c>
      <c r="BG684" s="27"/>
      <c r="BH684" s="27"/>
      <c r="BI684" s="27"/>
      <c r="CA684" s="20">
        <f t="shared" si="4642"/>
        <v>475</v>
      </c>
      <c r="CB684" s="20">
        <f t="shared" si="4643"/>
        <v>47500</v>
      </c>
    </row>
    <row r="685" spans="1:80" x14ac:dyDescent="0.15">
      <c r="A685">
        <v>7607</v>
      </c>
      <c r="B685" s="3" t="s">
        <v>126</v>
      </c>
      <c r="C685" s="4" t="s">
        <v>109</v>
      </c>
      <c r="D685" s="4" t="s">
        <v>110</v>
      </c>
      <c r="E685" s="5">
        <v>2</v>
      </c>
      <c r="F685" s="7" t="s">
        <v>143</v>
      </c>
      <c r="G685" s="5">
        <v>3</v>
      </c>
      <c r="H685" s="7" t="s">
        <v>193</v>
      </c>
      <c r="I685" s="5">
        <v>0</v>
      </c>
      <c r="J685" s="5">
        <v>0</v>
      </c>
      <c r="K685">
        <v>2</v>
      </c>
      <c r="L685">
        <v>1.5</v>
      </c>
      <c r="M685" s="5">
        <v>1.5</v>
      </c>
      <c r="N685" s="5">
        <v>10</v>
      </c>
      <c r="O685" s="5">
        <f t="shared" si="4623"/>
        <v>116552</v>
      </c>
      <c r="P685" s="5">
        <f t="shared" si="4624"/>
        <v>655200000</v>
      </c>
      <c r="Q685" s="5">
        <f t="shared" si="4625"/>
        <v>10920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70071</v>
      </c>
      <c r="X685" s="6" t="s">
        <v>185</v>
      </c>
      <c r="Y685" s="5">
        <v>300</v>
      </c>
      <c r="Z685" s="5">
        <v>1</v>
      </c>
      <c r="AA685" s="5">
        <v>278567100</v>
      </c>
      <c r="AB685" s="16" t="s">
        <v>111</v>
      </c>
      <c r="AC685" s="7" t="s">
        <v>112</v>
      </c>
      <c r="AD685" s="7" t="s">
        <v>112</v>
      </c>
      <c r="AE685" s="7" t="s">
        <v>112</v>
      </c>
      <c r="AF685" s="6" t="s">
        <v>113</v>
      </c>
      <c r="AG685" s="26" t="str">
        <f t="shared" ref="AG685" si="4921">CM$10</f>
        <v>4,14,28,14,6,4,14,28,14,6</v>
      </c>
      <c r="AH685" s="26" t="str">
        <f t="shared" ref="AH685" si="4922">CN$10</f>
        <v>0,0,0,0,1,0,0,0,0,1</v>
      </c>
      <c r="AI685" s="26" t="str">
        <f t="shared" ref="AI685" si="4923">CO$10</f>
        <v>0,0,0,0,1,0,0,0,0,1</v>
      </c>
      <c r="AJ685" s="26" t="str">
        <f t="shared" ref="AJ685" si="4924">CP$10</f>
        <v>0,0,0,0,5,0,0,0,0,5</v>
      </c>
      <c r="AK685" s="26" t="str">
        <f t="shared" ref="AK685" si="4925">CQ$10</f>
        <v>200,1,1000,2,5,200,1,1000,2,5</v>
      </c>
      <c r="AL685" s="26" t="str">
        <f t="shared" ref="AL685" si="4926">CR$10</f>
        <v>5,5,5,5,5,5,5,5,5,5</v>
      </c>
      <c r="AM685" s="7">
        <v>2001</v>
      </c>
      <c r="AO685">
        <f t="shared" ref="AO685" si="4927">AQ685*100+7</f>
        <v>7607</v>
      </c>
      <c r="AP685">
        <v>681</v>
      </c>
      <c r="AQ685">
        <f t="shared" si="4633"/>
        <v>76</v>
      </c>
      <c r="AR685">
        <v>12</v>
      </c>
      <c r="AS685" s="17">
        <f t="shared" si="4714"/>
        <v>445</v>
      </c>
      <c r="AT685">
        <v>11</v>
      </c>
      <c r="AU685">
        <f t="shared" si="4634"/>
        <v>34</v>
      </c>
      <c r="AV685">
        <v>150</v>
      </c>
      <c r="AW685">
        <f t="shared" si="4635"/>
        <v>116552.21759999999</v>
      </c>
      <c r="AX685">
        <f t="shared" si="4764"/>
        <v>655200000</v>
      </c>
      <c r="AY685">
        <f t="shared" si="4636"/>
        <v>10920</v>
      </c>
      <c r="AZ685">
        <f t="shared" si="4637"/>
        <v>21840</v>
      </c>
      <c r="BA685">
        <f t="shared" si="4638"/>
        <v>131040</v>
      </c>
      <c r="BB685">
        <f t="shared" si="4639"/>
        <v>5460</v>
      </c>
      <c r="BC685">
        <f t="shared" si="4765"/>
        <v>655200000</v>
      </c>
      <c r="BD685">
        <f t="shared" si="4640"/>
        <v>0.29411764705882354</v>
      </c>
      <c r="BE685" s="27">
        <f t="shared" si="4766"/>
        <v>1277128944.0000002</v>
      </c>
      <c r="BF685" s="30">
        <f t="shared" si="4641"/>
        <v>0.48239999999999994</v>
      </c>
      <c r="BG685" s="27"/>
      <c r="BH685" s="27"/>
      <c r="BI685" s="27"/>
      <c r="CA685" s="20">
        <f t="shared" si="4642"/>
        <v>475</v>
      </c>
      <c r="CB685" s="20">
        <f t="shared" si="4643"/>
        <v>47500</v>
      </c>
    </row>
    <row r="686" spans="1:80" x14ac:dyDescent="0.15">
      <c r="A686">
        <v>7608</v>
      </c>
      <c r="B686" s="3" t="s">
        <v>128</v>
      </c>
      <c r="C686" s="4" t="s">
        <v>109</v>
      </c>
      <c r="D686" s="4" t="s">
        <v>110</v>
      </c>
      <c r="E686" s="5">
        <v>5</v>
      </c>
      <c r="F686" s="7" t="s">
        <v>129</v>
      </c>
      <c r="G686" s="5">
        <v>2</v>
      </c>
      <c r="H686" s="7" t="s">
        <v>130</v>
      </c>
      <c r="I686" s="5">
        <v>0</v>
      </c>
      <c r="J686" s="5">
        <v>0</v>
      </c>
      <c r="K686">
        <v>2</v>
      </c>
      <c r="L686">
        <v>1.5</v>
      </c>
      <c r="M686" s="5">
        <v>1.5</v>
      </c>
      <c r="N686" s="5">
        <v>10</v>
      </c>
      <c r="O686" s="5">
        <f t="shared" si="4623"/>
        <v>117833</v>
      </c>
      <c r="P686" s="5">
        <f t="shared" si="4624"/>
        <v>662400000</v>
      </c>
      <c r="Q686" s="5">
        <f t="shared" si="4625"/>
        <v>11040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70081</v>
      </c>
      <c r="X686" s="6" t="s">
        <v>186</v>
      </c>
      <c r="Y686" s="5">
        <v>300</v>
      </c>
      <c r="Z686" s="5">
        <v>1</v>
      </c>
      <c r="AA686" s="5">
        <v>285160176</v>
      </c>
      <c r="AB686" s="16" t="s">
        <v>111</v>
      </c>
      <c r="AC686" s="7" t="s">
        <v>112</v>
      </c>
      <c r="AD686" s="7" t="s">
        <v>112</v>
      </c>
      <c r="AE686" s="7" t="s">
        <v>112</v>
      </c>
      <c r="AF686" s="6" t="s">
        <v>113</v>
      </c>
      <c r="AG686" s="26" t="str">
        <f t="shared" ref="AG686" si="4928">CM$11</f>
        <v>4,28,6,28,6,4,28,6,28,6</v>
      </c>
      <c r="AH686" s="26" t="str">
        <f t="shared" ref="AH686" si="4929">CN$11</f>
        <v>0,0,1,0,1,0,0,1,0,1</v>
      </c>
      <c r="AI686" s="26" t="str">
        <f t="shared" ref="AI686" si="4930">CO$11</f>
        <v>0,0,1,0,1,0,0,1,0,1</v>
      </c>
      <c r="AJ686" s="26" t="str">
        <f t="shared" ref="AJ686" si="4931">CP$11</f>
        <v>0,0,5,0,5,0,0,5,0,5</v>
      </c>
      <c r="AK686" s="26" t="str">
        <f t="shared" ref="AK686" si="4932">CQ$11</f>
        <v>100,1000,5,1500,5,200,1000,5,1500,5</v>
      </c>
      <c r="AL686" s="26" t="str">
        <f t="shared" ref="AL686" si="4933">CR$11</f>
        <v>5,5,5,5,5,5,5,5,5,5</v>
      </c>
      <c r="AM686" s="7">
        <v>2001</v>
      </c>
      <c r="AO686">
        <f t="shared" ref="AO686" si="4934">AQ686*100+8</f>
        <v>7608</v>
      </c>
      <c r="AP686">
        <v>682</v>
      </c>
      <c r="AQ686">
        <f t="shared" si="4633"/>
        <v>76</v>
      </c>
      <c r="AR686">
        <v>12</v>
      </c>
      <c r="AS686" s="17">
        <f t="shared" si="4714"/>
        <v>450</v>
      </c>
      <c r="AT686">
        <v>11</v>
      </c>
      <c r="AU686">
        <f t="shared" si="4634"/>
        <v>34</v>
      </c>
      <c r="AV686">
        <v>150</v>
      </c>
      <c r="AW686">
        <f t="shared" si="4635"/>
        <v>117833.01119999999</v>
      </c>
      <c r="AX686">
        <f t="shared" si="4764"/>
        <v>662400000</v>
      </c>
      <c r="AY686">
        <f t="shared" si="4636"/>
        <v>11040</v>
      </c>
      <c r="AZ686">
        <f t="shared" si="4637"/>
        <v>22080</v>
      </c>
      <c r="BA686">
        <f t="shared" si="4638"/>
        <v>132480</v>
      </c>
      <c r="BB686">
        <f t="shared" si="4639"/>
        <v>5520</v>
      </c>
      <c r="BC686">
        <f t="shared" si="4765"/>
        <v>662400000</v>
      </c>
      <c r="BD686">
        <f t="shared" si="4640"/>
        <v>0.29411764705882354</v>
      </c>
      <c r="BE686" s="27">
        <f t="shared" si="4766"/>
        <v>1305351936.0000002</v>
      </c>
      <c r="BF686" s="30">
        <f t="shared" si="4641"/>
        <v>0.48239999999999994</v>
      </c>
      <c r="BG686" s="27"/>
      <c r="BH686" s="27"/>
      <c r="BI686" s="27"/>
      <c r="CA686" s="20">
        <f t="shared" si="4642"/>
        <v>475</v>
      </c>
      <c r="CB686" s="20">
        <f t="shared" si="4643"/>
        <v>47500</v>
      </c>
    </row>
    <row r="687" spans="1:80" x14ac:dyDescent="0.15">
      <c r="A687">
        <v>7609</v>
      </c>
      <c r="B687" s="3" t="s">
        <v>132</v>
      </c>
      <c r="C687" s="4" t="s">
        <v>109</v>
      </c>
      <c r="D687" s="4" t="s">
        <v>110</v>
      </c>
      <c r="E687" s="5">
        <v>5</v>
      </c>
      <c r="F687" s="7" t="s">
        <v>140</v>
      </c>
      <c r="G687" s="5">
        <v>3</v>
      </c>
      <c r="H687" s="7" t="s">
        <v>140</v>
      </c>
      <c r="I687" s="5">
        <v>0</v>
      </c>
      <c r="J687" s="7">
        <v>0</v>
      </c>
      <c r="K687">
        <v>6</v>
      </c>
      <c r="L687">
        <v>1.5</v>
      </c>
      <c r="M687" s="5">
        <v>1.5</v>
      </c>
      <c r="N687" s="5">
        <v>10</v>
      </c>
      <c r="O687" s="5">
        <f t="shared" si="4623"/>
        <v>119113</v>
      </c>
      <c r="P687" s="5">
        <f t="shared" si="4624"/>
        <v>669600000</v>
      </c>
      <c r="Q687" s="5">
        <f t="shared" si="4625"/>
        <v>11160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70091</v>
      </c>
      <c r="X687" s="6" t="s">
        <v>187</v>
      </c>
      <c r="Y687" s="5">
        <v>300</v>
      </c>
      <c r="Z687" s="5">
        <v>1</v>
      </c>
      <c r="AA687" s="5">
        <v>291830364</v>
      </c>
      <c r="AB687" s="16" t="s">
        <v>111</v>
      </c>
      <c r="AC687" s="7" t="s">
        <v>112</v>
      </c>
      <c r="AD687" s="7" t="s">
        <v>112</v>
      </c>
      <c r="AE687" s="7" t="s">
        <v>112</v>
      </c>
      <c r="AF687" s="6" t="s">
        <v>113</v>
      </c>
      <c r="AG687" s="26" t="str">
        <f t="shared" ref="AG687" si="4935">CM$12</f>
        <v>4,33,28,33,6,4,33,28,33,6</v>
      </c>
      <c r="AH687" s="26" t="str">
        <f t="shared" ref="AH687" si="4936">CN$12</f>
        <v>0,5,0,5,1,0,5,0,5,1</v>
      </c>
      <c r="AI687" s="26" t="str">
        <f t="shared" ref="AI687" si="4937">CO$12</f>
        <v>0,0,0,0,1,0,0,0,0,1</v>
      </c>
      <c r="AJ687" s="26" t="str">
        <f t="shared" ref="AJ687" si="4938">CP$12</f>
        <v>0,0,0,0,5,0,0,0,0,5</v>
      </c>
      <c r="AK687" s="26" t="str">
        <f t="shared" ref="AK687" si="4939">CQ$12</f>
        <v>100,1,1000,2,5,200,1,1000,2,5</v>
      </c>
      <c r="AL687" s="26" t="str">
        <f t="shared" ref="AL687" si="4940">CR$12</f>
        <v>5,5,5,5,5,5,5,5,5,5</v>
      </c>
      <c r="AM687" s="7">
        <v>2001</v>
      </c>
      <c r="AO687">
        <f t="shared" ref="AO687" si="4941">AQ687*100+9</f>
        <v>7609</v>
      </c>
      <c r="AP687">
        <v>683</v>
      </c>
      <c r="AQ687">
        <f t="shared" si="4633"/>
        <v>76</v>
      </c>
      <c r="AR687">
        <v>12</v>
      </c>
      <c r="AS687" s="17">
        <f t="shared" si="4714"/>
        <v>455</v>
      </c>
      <c r="AT687">
        <v>11</v>
      </c>
      <c r="AU687">
        <f t="shared" si="4634"/>
        <v>34</v>
      </c>
      <c r="AV687">
        <v>150</v>
      </c>
      <c r="AW687">
        <f t="shared" si="4635"/>
        <v>119113.8048</v>
      </c>
      <c r="AX687">
        <f t="shared" si="4764"/>
        <v>669600000</v>
      </c>
      <c r="AY687">
        <f t="shared" si="4636"/>
        <v>11160</v>
      </c>
      <c r="AZ687">
        <f t="shared" si="4637"/>
        <v>22320</v>
      </c>
      <c r="BA687">
        <f t="shared" si="4638"/>
        <v>133920</v>
      </c>
      <c r="BB687">
        <f t="shared" si="4639"/>
        <v>5580</v>
      </c>
      <c r="BC687">
        <f t="shared" si="4765"/>
        <v>669600000</v>
      </c>
      <c r="BD687">
        <f t="shared" si="4640"/>
        <v>0.29411764705882354</v>
      </c>
      <c r="BE687" s="27">
        <f t="shared" si="4766"/>
        <v>1333883376.0000002</v>
      </c>
      <c r="BF687" s="30">
        <f t="shared" si="4641"/>
        <v>0.48239999999999994</v>
      </c>
      <c r="BG687" s="27"/>
      <c r="BH687" s="27"/>
      <c r="BI687" s="27"/>
      <c r="CA687" s="20">
        <f t="shared" si="4642"/>
        <v>475</v>
      </c>
      <c r="CB687" s="20">
        <f t="shared" si="4643"/>
        <v>47500</v>
      </c>
    </row>
    <row r="688" spans="1:80" x14ac:dyDescent="0.15">
      <c r="A688">
        <v>7701</v>
      </c>
      <c r="B688" s="3" t="s">
        <v>108</v>
      </c>
      <c r="C688" s="4" t="s">
        <v>109</v>
      </c>
      <c r="D688" s="4" t="s">
        <v>110</v>
      </c>
      <c r="E688" s="5">
        <v>3</v>
      </c>
      <c r="F688" s="7" t="s">
        <v>141</v>
      </c>
      <c r="G688" s="5">
        <v>2.5</v>
      </c>
      <c r="H688" s="7" t="s">
        <v>194</v>
      </c>
      <c r="I688" s="5">
        <v>0</v>
      </c>
      <c r="J688" s="5">
        <v>0</v>
      </c>
      <c r="K688">
        <v>2</v>
      </c>
      <c r="L688">
        <v>1.5</v>
      </c>
      <c r="M688" s="5">
        <v>1.5</v>
      </c>
      <c r="N688" s="5">
        <v>10</v>
      </c>
      <c r="O688" s="5">
        <f t="shared" si="4623"/>
        <v>110326</v>
      </c>
      <c r="P688" s="5">
        <f t="shared" si="4624"/>
        <v>619200000</v>
      </c>
      <c r="Q688" s="5">
        <f t="shared" si="4625"/>
        <v>10320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70011</v>
      </c>
      <c r="X688" s="6" t="s">
        <v>179</v>
      </c>
      <c r="Y688" s="5">
        <v>300</v>
      </c>
      <c r="Z688" s="5">
        <v>1</v>
      </c>
      <c r="AA688" s="5">
        <v>298577664</v>
      </c>
      <c r="AB688" s="16" t="s">
        <v>111</v>
      </c>
      <c r="AC688" s="7" t="s">
        <v>112</v>
      </c>
      <c r="AD688" s="7" t="s">
        <v>112</v>
      </c>
      <c r="AE688" s="7" t="s">
        <v>112</v>
      </c>
      <c r="AF688" s="6" t="s">
        <v>113</v>
      </c>
      <c r="AG688" s="26" t="str">
        <f t="shared" ref="AG688" si="4942">CM$4</f>
        <v>4,33,28,33,6,4,33,28,33,6</v>
      </c>
      <c r="AH688" s="26" t="str">
        <f t="shared" ref="AH688" si="4943">CN$4</f>
        <v>0,8,0,8,1,0,8,0,8,1</v>
      </c>
      <c r="AI688" s="26" t="str">
        <f t="shared" ref="AI688" si="4944">CO$4</f>
        <v>0,0,0,0,1,0,0,0,0,1</v>
      </c>
      <c r="AJ688" s="26" t="str">
        <f t="shared" ref="AJ688" si="4945">CP$4</f>
        <v>0,0,0,0,5,0,0,0,0,5</v>
      </c>
      <c r="AK688" s="26" t="str">
        <f t="shared" ref="AK688" si="4946">CQ$4</f>
        <v>100,1,1000,2,5,200,1,1000,2,5</v>
      </c>
      <c r="AL688" s="26" t="str">
        <f t="shared" ref="AL688" si="4947">CR$4</f>
        <v>5,5,5,5,5,5,5,5,5,5</v>
      </c>
      <c r="AM688" s="7">
        <v>2001</v>
      </c>
      <c r="AO688">
        <f t="shared" ref="AO688" si="4948">AQ688*100+1</f>
        <v>7701</v>
      </c>
      <c r="AP688">
        <v>684</v>
      </c>
      <c r="AQ688">
        <f t="shared" si="4633"/>
        <v>77</v>
      </c>
      <c r="AR688">
        <v>12</v>
      </c>
      <c r="AS688" s="17">
        <f t="shared" si="4714"/>
        <v>420</v>
      </c>
      <c r="AT688">
        <v>11</v>
      </c>
      <c r="AU688">
        <f t="shared" si="4634"/>
        <v>34</v>
      </c>
      <c r="AV688">
        <v>150</v>
      </c>
      <c r="AW688">
        <f t="shared" si="4635"/>
        <v>110326.57919999999</v>
      </c>
      <c r="AX688">
        <f t="shared" si="4764"/>
        <v>619200000</v>
      </c>
      <c r="AY688">
        <f t="shared" si="4636"/>
        <v>10320</v>
      </c>
      <c r="AZ688">
        <f t="shared" si="4637"/>
        <v>20640</v>
      </c>
      <c r="BA688">
        <f t="shared" si="4638"/>
        <v>123840</v>
      </c>
      <c r="BB688">
        <f t="shared" si="4639"/>
        <v>5160</v>
      </c>
      <c r="BC688">
        <f t="shared" si="4765"/>
        <v>619200000</v>
      </c>
      <c r="BD688">
        <f t="shared" si="4640"/>
        <v>0.29411764705882354</v>
      </c>
      <c r="BE688" s="27">
        <f t="shared" si="4766"/>
        <v>1140640704.0000002</v>
      </c>
      <c r="BF688" s="30">
        <f t="shared" si="4641"/>
        <v>0.48480000000000001</v>
      </c>
      <c r="BG688" s="27"/>
      <c r="BH688" s="27"/>
      <c r="BI688" s="27"/>
      <c r="CA688" s="20">
        <f t="shared" si="4642"/>
        <v>480</v>
      </c>
      <c r="CB688" s="20">
        <f t="shared" si="4643"/>
        <v>48000</v>
      </c>
    </row>
    <row r="689" spans="1:80" x14ac:dyDescent="0.15">
      <c r="A689">
        <v>7702</v>
      </c>
      <c r="B689" s="3" t="s">
        <v>115</v>
      </c>
      <c r="C689" s="4" t="s">
        <v>109</v>
      </c>
      <c r="D689" s="6" t="s">
        <v>110</v>
      </c>
      <c r="E689" s="5">
        <v>3</v>
      </c>
      <c r="F689" s="7" t="s">
        <v>142</v>
      </c>
      <c r="G689" s="5">
        <v>3</v>
      </c>
      <c r="H689" s="7" t="s">
        <v>188</v>
      </c>
      <c r="I689" s="5">
        <v>0</v>
      </c>
      <c r="J689" s="5">
        <v>0</v>
      </c>
      <c r="K689">
        <v>2</v>
      </c>
      <c r="L689">
        <v>1.5</v>
      </c>
      <c r="M689" s="5">
        <v>1.5</v>
      </c>
      <c r="N689" s="5">
        <v>10</v>
      </c>
      <c r="O689" s="5">
        <f t="shared" si="4623"/>
        <v>111609</v>
      </c>
      <c r="P689" s="5">
        <f t="shared" si="4624"/>
        <v>626400000</v>
      </c>
      <c r="Q689" s="5">
        <f t="shared" si="4625"/>
        <v>10440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70021</v>
      </c>
      <c r="X689" s="6" t="s">
        <v>180</v>
      </c>
      <c r="Y689" s="5">
        <v>300</v>
      </c>
      <c r="Z689" s="5">
        <v>1</v>
      </c>
      <c r="AA689" s="5">
        <v>252965916</v>
      </c>
      <c r="AB689" s="16" t="s">
        <v>111</v>
      </c>
      <c r="AC689" s="7" t="s">
        <v>112</v>
      </c>
      <c r="AD689" s="7" t="s">
        <v>112</v>
      </c>
      <c r="AE689" s="7" t="s">
        <v>112</v>
      </c>
      <c r="AF689" s="6" t="s">
        <v>113</v>
      </c>
      <c r="AG689" s="26" t="str">
        <f t="shared" ref="AG689" si="4949">CM$5</f>
        <v>4,33,28,33,6,4,33,28,33,6</v>
      </c>
      <c r="AH689" s="26" t="str">
        <f t="shared" ref="AH689" si="4950">CN$5</f>
        <v>0,7,0,7,1,0,7,0,7,1</v>
      </c>
      <c r="AI689" s="26" t="str">
        <f t="shared" ref="AI689" si="4951">CO$5</f>
        <v>0,0,0,0,1,0,0,0,0,1</v>
      </c>
      <c r="AJ689" s="26" t="str">
        <f t="shared" ref="AJ689" si="4952">CP$5</f>
        <v>0,0,0,0,5,0,0,0,0,5</v>
      </c>
      <c r="AK689" s="26" t="str">
        <f t="shared" ref="AK689" si="4953">CQ$5</f>
        <v>100,1,1000,2,5,200,1,1000,2,5</v>
      </c>
      <c r="AL689" s="26" t="str">
        <f t="shared" ref="AL689" si="4954">CR$5</f>
        <v>5,5,5,5,5,5,5,5,5,5</v>
      </c>
      <c r="AM689" s="7">
        <v>2001</v>
      </c>
      <c r="AO689">
        <f t="shared" ref="AO689" si="4955">AQ689*100+2</f>
        <v>7702</v>
      </c>
      <c r="AP689">
        <v>685</v>
      </c>
      <c r="AQ689">
        <f t="shared" si="4633"/>
        <v>77</v>
      </c>
      <c r="AR689">
        <v>12</v>
      </c>
      <c r="AS689" s="17">
        <f t="shared" si="4714"/>
        <v>425</v>
      </c>
      <c r="AT689">
        <v>11</v>
      </c>
      <c r="AU689">
        <f t="shared" si="4634"/>
        <v>34</v>
      </c>
      <c r="AV689">
        <v>150</v>
      </c>
      <c r="AW689">
        <f t="shared" si="4635"/>
        <v>111609.44639999999</v>
      </c>
      <c r="AX689">
        <f t="shared" si="4764"/>
        <v>626400000</v>
      </c>
      <c r="AY689">
        <f t="shared" si="4636"/>
        <v>10440</v>
      </c>
      <c r="AZ689">
        <f t="shared" si="4637"/>
        <v>20880</v>
      </c>
      <c r="BA689">
        <f t="shared" si="4638"/>
        <v>125280</v>
      </c>
      <c r="BB689">
        <f t="shared" si="4639"/>
        <v>5220</v>
      </c>
      <c r="BC689">
        <f t="shared" si="4765"/>
        <v>626400000</v>
      </c>
      <c r="BD689">
        <f t="shared" si="4640"/>
        <v>0.29411764705882354</v>
      </c>
      <c r="BE689" s="27">
        <f t="shared" si="4766"/>
        <v>1167321456.0000002</v>
      </c>
      <c r="BF689" s="30">
        <f t="shared" si="4641"/>
        <v>0.48480000000000001</v>
      </c>
      <c r="BG689" s="27"/>
      <c r="BH689" s="27"/>
      <c r="BI689" s="27"/>
      <c r="CA689" s="20">
        <f t="shared" si="4642"/>
        <v>480</v>
      </c>
      <c r="CB689" s="20">
        <f t="shared" si="4643"/>
        <v>48000</v>
      </c>
    </row>
    <row r="690" spans="1:80" x14ac:dyDescent="0.15">
      <c r="A690">
        <v>7703</v>
      </c>
      <c r="B690" s="3" t="s">
        <v>117</v>
      </c>
      <c r="C690" s="4" t="s">
        <v>109</v>
      </c>
      <c r="D690" s="4" t="s">
        <v>110</v>
      </c>
      <c r="E690" s="5">
        <v>1</v>
      </c>
      <c r="F690" s="7" t="s">
        <v>144</v>
      </c>
      <c r="G690" s="5">
        <v>3</v>
      </c>
      <c r="H690" s="7" t="s">
        <v>189</v>
      </c>
      <c r="I690" s="5">
        <v>0</v>
      </c>
      <c r="J690" s="2">
        <v>0</v>
      </c>
      <c r="K690">
        <v>6</v>
      </c>
      <c r="L690">
        <v>1.5</v>
      </c>
      <c r="M690" s="5">
        <v>1.5</v>
      </c>
      <c r="N690" s="5">
        <v>10</v>
      </c>
      <c r="O690" s="5">
        <f t="shared" si="4623"/>
        <v>112892</v>
      </c>
      <c r="P690" s="5">
        <f t="shared" si="4624"/>
        <v>633600000</v>
      </c>
      <c r="Q690" s="5">
        <f t="shared" si="4625"/>
        <v>10560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70031</v>
      </c>
      <c r="X690" s="6" t="s">
        <v>181</v>
      </c>
      <c r="Y690" s="5">
        <v>300</v>
      </c>
      <c r="Z690" s="5">
        <v>1</v>
      </c>
      <c r="AA690" s="5">
        <v>259250544</v>
      </c>
      <c r="AB690" s="16" t="s">
        <v>111</v>
      </c>
      <c r="AC690" s="7" t="s">
        <v>112</v>
      </c>
      <c r="AD690" s="7" t="s">
        <v>112</v>
      </c>
      <c r="AE690" s="7" t="s">
        <v>112</v>
      </c>
      <c r="AF690" s="6" t="s">
        <v>113</v>
      </c>
      <c r="AG690" s="26" t="str">
        <f t="shared" ref="AG690" si="4956">CM$6</f>
        <v>4,28,6,28,6,4,28,6,28,6</v>
      </c>
      <c r="AH690" s="26" t="str">
        <f t="shared" ref="AH690" si="4957">CN$6</f>
        <v>0,0,1,0,1,0,0,1,0,1</v>
      </c>
      <c r="AI690" s="26" t="str">
        <f t="shared" ref="AI690" si="4958">CO$6</f>
        <v>0,0,0,0,1,0,0,0,0,1</v>
      </c>
      <c r="AJ690" s="26" t="str">
        <f t="shared" ref="AJ690" si="4959">CP$6</f>
        <v>0,0,5,0,5,0,0,5,0,5</v>
      </c>
      <c r="AK690" s="26" t="str">
        <f t="shared" ref="AK690" si="4960">CQ$6</f>
        <v>100,1000,5,1500,5,200,1000,5,1500,5</v>
      </c>
      <c r="AL690" s="26" t="str">
        <f t="shared" ref="AL690" si="4961">CR$6</f>
        <v>5,5,5,5,5,5,5,5,5,5</v>
      </c>
      <c r="AM690" s="7">
        <v>2001</v>
      </c>
      <c r="AO690">
        <f t="shared" ref="AO690" si="4962">AQ690*100+3</f>
        <v>7703</v>
      </c>
      <c r="AP690">
        <v>686</v>
      </c>
      <c r="AQ690">
        <f t="shared" si="4633"/>
        <v>77</v>
      </c>
      <c r="AR690">
        <v>12</v>
      </c>
      <c r="AS690" s="17">
        <f t="shared" si="4714"/>
        <v>430</v>
      </c>
      <c r="AT690">
        <v>11</v>
      </c>
      <c r="AU690">
        <f t="shared" si="4634"/>
        <v>34</v>
      </c>
      <c r="AV690">
        <v>150</v>
      </c>
      <c r="AW690">
        <f t="shared" si="4635"/>
        <v>112892.31359999999</v>
      </c>
      <c r="AX690">
        <f t="shared" si="4764"/>
        <v>633600000</v>
      </c>
      <c r="AY690">
        <f t="shared" si="4636"/>
        <v>10560</v>
      </c>
      <c r="AZ690">
        <f t="shared" si="4637"/>
        <v>21120</v>
      </c>
      <c r="BA690">
        <f t="shared" si="4638"/>
        <v>126720</v>
      </c>
      <c r="BB690">
        <f t="shared" si="4639"/>
        <v>5280</v>
      </c>
      <c r="BC690">
        <f t="shared" si="4765"/>
        <v>633600000</v>
      </c>
      <c r="BD690">
        <f t="shared" si="4640"/>
        <v>0.29411764705882354</v>
      </c>
      <c r="BE690" s="27">
        <f t="shared" si="4766"/>
        <v>1194310656.0000002</v>
      </c>
      <c r="BF690" s="30">
        <f t="shared" si="4641"/>
        <v>0.48480000000000001</v>
      </c>
      <c r="BG690" s="27"/>
      <c r="BH690" s="27"/>
      <c r="BI690" s="27"/>
      <c r="CA690" s="20">
        <f t="shared" si="4642"/>
        <v>480</v>
      </c>
      <c r="CB690" s="20">
        <f t="shared" si="4643"/>
        <v>48000</v>
      </c>
    </row>
    <row r="691" spans="1:80" x14ac:dyDescent="0.15">
      <c r="A691">
        <v>7704</v>
      </c>
      <c r="B691" s="3" t="s">
        <v>119</v>
      </c>
      <c r="C691" s="4" t="s">
        <v>109</v>
      </c>
      <c r="D691" s="6" t="s">
        <v>120</v>
      </c>
      <c r="E691" s="5">
        <v>3</v>
      </c>
      <c r="F691" s="7" t="s">
        <v>145</v>
      </c>
      <c r="G691" s="5">
        <v>3</v>
      </c>
      <c r="H691" s="7" t="s">
        <v>190</v>
      </c>
      <c r="I691" s="5">
        <v>0</v>
      </c>
      <c r="J691" s="5">
        <v>0</v>
      </c>
      <c r="K691">
        <v>2</v>
      </c>
      <c r="L691">
        <v>1.5</v>
      </c>
      <c r="M691" s="5">
        <v>1.5</v>
      </c>
      <c r="N691" s="5">
        <v>10</v>
      </c>
      <c r="O691" s="5">
        <f t="shared" si="4623"/>
        <v>114175</v>
      </c>
      <c r="P691" s="5">
        <f t="shared" si="4624"/>
        <v>640800000</v>
      </c>
      <c r="Q691" s="5">
        <f t="shared" si="4625"/>
        <v>10680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70041</v>
      </c>
      <c r="X691" s="6" t="s">
        <v>182</v>
      </c>
      <c r="Y691" s="5">
        <v>300</v>
      </c>
      <c r="Z691" s="5">
        <v>1</v>
      </c>
      <c r="AA691" s="5">
        <v>265612284</v>
      </c>
      <c r="AB691" s="16" t="s">
        <v>111</v>
      </c>
      <c r="AC691" s="7" t="s">
        <v>112</v>
      </c>
      <c r="AD691" s="7" t="s">
        <v>112</v>
      </c>
      <c r="AE691" s="7" t="s">
        <v>112</v>
      </c>
      <c r="AF691" s="6" t="s">
        <v>113</v>
      </c>
      <c r="AG691" s="26" t="str">
        <f t="shared" ref="AG691" si="4963">CM$7</f>
        <v>4,14,28,14,6,4,14,28,14,6</v>
      </c>
      <c r="AH691" s="26" t="str">
        <f t="shared" ref="AH691" si="4964">CN$7</f>
        <v>0,0,0,0,1,0,0,0,0,1</v>
      </c>
      <c r="AI691" s="26" t="str">
        <f t="shared" ref="AI691" si="4965">CO$7</f>
        <v>0,0,0,0,1,0,0,0,0,1</v>
      </c>
      <c r="AJ691" s="26" t="str">
        <f t="shared" ref="AJ691" si="4966">CP$7</f>
        <v>0,0,0,0,5,0,0,0,0,5</v>
      </c>
      <c r="AK691" s="26" t="str">
        <f t="shared" ref="AK691" si="4967">CQ$7</f>
        <v>100,1,1000,2,5,200,1,1000,2,5</v>
      </c>
      <c r="AL691" s="26" t="str">
        <f t="shared" ref="AL691" si="4968">CR$7</f>
        <v>5,5,5,5,5,5,5,5,5,5</v>
      </c>
      <c r="AM691" s="7">
        <v>2001</v>
      </c>
      <c r="AO691">
        <f t="shared" ref="AO691" si="4969">AQ691*100+4</f>
        <v>7704</v>
      </c>
      <c r="AP691">
        <v>687</v>
      </c>
      <c r="AQ691">
        <f t="shared" si="4633"/>
        <v>77</v>
      </c>
      <c r="AR691">
        <v>12</v>
      </c>
      <c r="AS691" s="17">
        <f t="shared" si="4714"/>
        <v>435</v>
      </c>
      <c r="AT691">
        <v>11</v>
      </c>
      <c r="AU691">
        <f t="shared" si="4634"/>
        <v>34</v>
      </c>
      <c r="AV691">
        <v>150</v>
      </c>
      <c r="AW691">
        <f t="shared" si="4635"/>
        <v>114175.18079999999</v>
      </c>
      <c r="AX691">
        <f t="shared" si="4764"/>
        <v>640800000</v>
      </c>
      <c r="AY691">
        <f t="shared" si="4636"/>
        <v>10680</v>
      </c>
      <c r="AZ691">
        <f t="shared" si="4637"/>
        <v>21360</v>
      </c>
      <c r="BA691">
        <f t="shared" si="4638"/>
        <v>128160</v>
      </c>
      <c r="BB691">
        <f t="shared" si="4639"/>
        <v>5340</v>
      </c>
      <c r="BC691">
        <f t="shared" si="4765"/>
        <v>640800000</v>
      </c>
      <c r="BD691">
        <f t="shared" si="4640"/>
        <v>0.29411764705882354</v>
      </c>
      <c r="BE691" s="27">
        <f t="shared" si="4766"/>
        <v>1221608304.0000002</v>
      </c>
      <c r="BF691" s="30">
        <f t="shared" si="4641"/>
        <v>0.48480000000000001</v>
      </c>
      <c r="BG691" s="27"/>
      <c r="BH691" s="27"/>
      <c r="BI691" s="27"/>
      <c r="CA691" s="20">
        <f t="shared" si="4642"/>
        <v>480</v>
      </c>
      <c r="CB691" s="20">
        <f t="shared" si="4643"/>
        <v>48000</v>
      </c>
    </row>
    <row r="692" spans="1:80" x14ac:dyDescent="0.15">
      <c r="A692">
        <v>7705</v>
      </c>
      <c r="B692" s="3" t="s">
        <v>122</v>
      </c>
      <c r="C692" s="4" t="s">
        <v>109</v>
      </c>
      <c r="D692" s="4" t="s">
        <v>110</v>
      </c>
      <c r="E692" s="5">
        <v>2</v>
      </c>
      <c r="F692" s="7" t="s">
        <v>146</v>
      </c>
      <c r="G692" s="5">
        <v>3</v>
      </c>
      <c r="H692" s="7" t="s">
        <v>191</v>
      </c>
      <c r="I692" s="5">
        <v>0</v>
      </c>
      <c r="J692" s="7" t="s">
        <v>148</v>
      </c>
      <c r="K692">
        <v>6</v>
      </c>
      <c r="L692">
        <v>1.5</v>
      </c>
      <c r="M692" s="5">
        <v>1.5</v>
      </c>
      <c r="N692" s="5">
        <v>10</v>
      </c>
      <c r="O692" s="5">
        <f t="shared" si="4623"/>
        <v>115458</v>
      </c>
      <c r="P692" s="5">
        <f t="shared" si="4624"/>
        <v>648000000</v>
      </c>
      <c r="Q692" s="5">
        <f t="shared" si="4625"/>
        <v>10800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70051</v>
      </c>
      <c r="X692" s="6" t="s">
        <v>183</v>
      </c>
      <c r="Y692" s="5">
        <v>300</v>
      </c>
      <c r="Z692" s="5">
        <v>1</v>
      </c>
      <c r="AA692" s="5">
        <v>272051136</v>
      </c>
      <c r="AB692" s="16" t="s">
        <v>111</v>
      </c>
      <c r="AC692" s="7" t="s">
        <v>112</v>
      </c>
      <c r="AD692" s="7" t="s">
        <v>112</v>
      </c>
      <c r="AE692" s="7" t="s">
        <v>112</v>
      </c>
      <c r="AF692" s="6" t="s">
        <v>113</v>
      </c>
      <c r="AG692" s="26" t="str">
        <f t="shared" ref="AG692" si="4970">CM$8</f>
        <v>4,19,28,19,6,4,19,28,19,6</v>
      </c>
      <c r="AH692" s="26" t="str">
        <f t="shared" ref="AH692" si="4971">CN$8</f>
        <v>0,0,0,0,1,0,0,0,0,1</v>
      </c>
      <c r="AI692" s="26" t="str">
        <f t="shared" ref="AI692" si="4972">CO$8</f>
        <v>0,0,0,0,1,0,0,0,0,1</v>
      </c>
      <c r="AJ692" s="26" t="str">
        <f t="shared" ref="AJ692" si="4973">CP$8</f>
        <v>0,0,0,0,5,0,0,0,0,5</v>
      </c>
      <c r="AK692" s="26" t="str">
        <f t="shared" ref="AK692" si="4974">CQ$8</f>
        <v>200,100,1000,200,5,200,100,1000,200,5</v>
      </c>
      <c r="AL692" s="26" t="str">
        <f t="shared" ref="AL692" si="4975">CR$8</f>
        <v>5,5,5,5,5,5,5,5,5,5</v>
      </c>
      <c r="AM692" s="7">
        <v>2001</v>
      </c>
      <c r="AO692">
        <f t="shared" ref="AO692" si="4976">AQ692*100+5</f>
        <v>7705</v>
      </c>
      <c r="AP692">
        <v>688</v>
      </c>
      <c r="AQ692">
        <f t="shared" si="4633"/>
        <v>77</v>
      </c>
      <c r="AR692">
        <v>12</v>
      </c>
      <c r="AS692" s="17">
        <f t="shared" si="4714"/>
        <v>440</v>
      </c>
      <c r="AT692">
        <v>11</v>
      </c>
      <c r="AU692">
        <f t="shared" si="4634"/>
        <v>34</v>
      </c>
      <c r="AV692">
        <v>150</v>
      </c>
      <c r="AW692">
        <f t="shared" si="4635"/>
        <v>115458.048</v>
      </c>
      <c r="AX692">
        <f t="shared" si="4764"/>
        <v>648000000</v>
      </c>
      <c r="AY692">
        <f t="shared" si="4636"/>
        <v>10800</v>
      </c>
      <c r="AZ692">
        <f t="shared" si="4637"/>
        <v>21600</v>
      </c>
      <c r="BA692">
        <f t="shared" si="4638"/>
        <v>129600</v>
      </c>
      <c r="BB692">
        <f t="shared" si="4639"/>
        <v>5400</v>
      </c>
      <c r="BC692">
        <f t="shared" si="4765"/>
        <v>648000000</v>
      </c>
      <c r="BD692">
        <f t="shared" si="4640"/>
        <v>0.29411764705882354</v>
      </c>
      <c r="BE692" s="27">
        <f t="shared" si="4766"/>
        <v>1249214400.0000002</v>
      </c>
      <c r="BF692" s="30">
        <f t="shared" si="4641"/>
        <v>0.48480000000000001</v>
      </c>
      <c r="BG692" s="27"/>
      <c r="BH692" s="27"/>
      <c r="BI692" s="27"/>
      <c r="CA692" s="20">
        <f t="shared" si="4642"/>
        <v>480</v>
      </c>
      <c r="CB692" s="20">
        <f t="shared" si="4643"/>
        <v>48000</v>
      </c>
    </row>
    <row r="693" spans="1:80" x14ac:dyDescent="0.15">
      <c r="A693">
        <v>7706</v>
      </c>
      <c r="B693" s="3" t="s">
        <v>124</v>
      </c>
      <c r="C693" s="4" t="s">
        <v>109</v>
      </c>
      <c r="D693" s="6" t="s">
        <v>120</v>
      </c>
      <c r="E693" s="5">
        <v>1</v>
      </c>
      <c r="F693" s="7" t="s">
        <v>147</v>
      </c>
      <c r="G693" s="5">
        <v>3</v>
      </c>
      <c r="H693" s="7" t="s">
        <v>192</v>
      </c>
      <c r="I693" s="5">
        <v>0</v>
      </c>
      <c r="J693" s="7" t="s">
        <v>149</v>
      </c>
      <c r="K693">
        <v>6</v>
      </c>
      <c r="L693">
        <v>1.5</v>
      </c>
      <c r="M693" s="5">
        <v>1.5</v>
      </c>
      <c r="N693" s="5">
        <v>10</v>
      </c>
      <c r="O693" s="5">
        <f t="shared" si="4623"/>
        <v>116740</v>
      </c>
      <c r="P693" s="5">
        <f t="shared" si="4624"/>
        <v>655200000</v>
      </c>
      <c r="Q693" s="5">
        <f t="shared" si="4625"/>
        <v>10920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70061</v>
      </c>
      <c r="X693" s="6" t="s">
        <v>184</v>
      </c>
      <c r="Y693" s="5">
        <v>300</v>
      </c>
      <c r="Z693" s="5">
        <v>1</v>
      </c>
      <c r="AA693" s="5">
        <v>278567100</v>
      </c>
      <c r="AB693" s="16" t="s">
        <v>111</v>
      </c>
      <c r="AC693" s="7" t="s">
        <v>112</v>
      </c>
      <c r="AD693" s="7" t="s">
        <v>112</v>
      </c>
      <c r="AE693" s="7" t="s">
        <v>112</v>
      </c>
      <c r="AF693" s="6" t="s">
        <v>113</v>
      </c>
      <c r="AG693" s="26" t="str">
        <f t="shared" ref="AG693" si="4977">CM$9</f>
        <v>4,33,28,33,6,4,33,28,33,6</v>
      </c>
      <c r="AH693" s="26" t="str">
        <f t="shared" ref="AH693" si="4978">CN$9</f>
        <v>0,6,0,6,1,0,6,0,6,1</v>
      </c>
      <c r="AI693" s="26" t="str">
        <f t="shared" ref="AI693" si="4979">CO$9</f>
        <v>0,0,0,0,1,0,0,0,0,1</v>
      </c>
      <c r="AJ693" s="26" t="str">
        <f t="shared" ref="AJ693" si="4980">CP$9</f>
        <v>0,0,0,0,5,0,0,0,0,5</v>
      </c>
      <c r="AK693" s="26" t="str">
        <f t="shared" ref="AK693" si="4981">CQ$9</f>
        <v>200,1,1000,2,5,200,1,1000,2,5</v>
      </c>
      <c r="AL693" s="26" t="str">
        <f t="shared" ref="AL693" si="4982">CR$9</f>
        <v>5,5,5,5,5,5,5,5,5,5</v>
      </c>
      <c r="AM693" s="7">
        <v>2001</v>
      </c>
      <c r="AO693">
        <f t="shared" ref="AO693" si="4983">AQ693*100+6</f>
        <v>7706</v>
      </c>
      <c r="AP693">
        <v>689</v>
      </c>
      <c r="AQ693">
        <f t="shared" si="4633"/>
        <v>77</v>
      </c>
      <c r="AR693">
        <v>12</v>
      </c>
      <c r="AS693" s="17">
        <f t="shared" si="4714"/>
        <v>445</v>
      </c>
      <c r="AT693">
        <v>11</v>
      </c>
      <c r="AU693">
        <f t="shared" si="4634"/>
        <v>34</v>
      </c>
      <c r="AV693">
        <v>150</v>
      </c>
      <c r="AW693">
        <f t="shared" si="4635"/>
        <v>116740.91519999999</v>
      </c>
      <c r="AX693">
        <f t="shared" si="4764"/>
        <v>655200000</v>
      </c>
      <c r="AY693">
        <f t="shared" si="4636"/>
        <v>10920</v>
      </c>
      <c r="AZ693">
        <f t="shared" si="4637"/>
        <v>21840</v>
      </c>
      <c r="BA693">
        <f t="shared" si="4638"/>
        <v>131040</v>
      </c>
      <c r="BB693">
        <f t="shared" si="4639"/>
        <v>5460</v>
      </c>
      <c r="BC693">
        <f t="shared" si="4765"/>
        <v>655200000</v>
      </c>
      <c r="BD693">
        <f t="shared" si="4640"/>
        <v>0.29411764705882354</v>
      </c>
      <c r="BE693" s="27">
        <f t="shared" si="4766"/>
        <v>1277128944.0000002</v>
      </c>
      <c r="BF693" s="30">
        <f t="shared" si="4641"/>
        <v>0.48480000000000001</v>
      </c>
      <c r="BG693" s="27"/>
      <c r="BH693" s="27"/>
      <c r="BI693" s="27"/>
      <c r="CA693" s="20">
        <f t="shared" si="4642"/>
        <v>480</v>
      </c>
      <c r="CB693" s="20">
        <f t="shared" si="4643"/>
        <v>48000</v>
      </c>
    </row>
    <row r="694" spans="1:80" x14ac:dyDescent="0.15">
      <c r="A694">
        <v>7707</v>
      </c>
      <c r="B694" s="3" t="s">
        <v>126</v>
      </c>
      <c r="C694" s="4" t="s">
        <v>109</v>
      </c>
      <c r="D694" s="4" t="s">
        <v>110</v>
      </c>
      <c r="E694" s="5">
        <v>2</v>
      </c>
      <c r="F694" s="7" t="s">
        <v>143</v>
      </c>
      <c r="G694" s="5">
        <v>3</v>
      </c>
      <c r="H694" s="7" t="s">
        <v>193</v>
      </c>
      <c r="I694" s="5">
        <v>0</v>
      </c>
      <c r="J694" s="5">
        <v>0</v>
      </c>
      <c r="K694">
        <v>2</v>
      </c>
      <c r="L694">
        <v>1.5</v>
      </c>
      <c r="M694" s="5">
        <v>1.5</v>
      </c>
      <c r="N694" s="5">
        <v>10</v>
      </c>
      <c r="O694" s="5">
        <f t="shared" si="4623"/>
        <v>118023</v>
      </c>
      <c r="P694" s="5">
        <f t="shared" si="4624"/>
        <v>662400000</v>
      </c>
      <c r="Q694" s="5">
        <f t="shared" si="4625"/>
        <v>11040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70071</v>
      </c>
      <c r="X694" s="6" t="s">
        <v>185</v>
      </c>
      <c r="Y694" s="5">
        <v>300</v>
      </c>
      <c r="Z694" s="5">
        <v>1</v>
      </c>
      <c r="AA694" s="5">
        <v>285160176</v>
      </c>
      <c r="AB694" s="16" t="s">
        <v>111</v>
      </c>
      <c r="AC694" s="7" t="s">
        <v>112</v>
      </c>
      <c r="AD694" s="7" t="s">
        <v>112</v>
      </c>
      <c r="AE694" s="7" t="s">
        <v>112</v>
      </c>
      <c r="AF694" s="6" t="s">
        <v>113</v>
      </c>
      <c r="AG694" s="26" t="str">
        <f t="shared" ref="AG694" si="4984">CM$10</f>
        <v>4,14,28,14,6,4,14,28,14,6</v>
      </c>
      <c r="AH694" s="26" t="str">
        <f t="shared" ref="AH694" si="4985">CN$10</f>
        <v>0,0,0,0,1,0,0,0,0,1</v>
      </c>
      <c r="AI694" s="26" t="str">
        <f t="shared" ref="AI694" si="4986">CO$10</f>
        <v>0,0,0,0,1,0,0,0,0,1</v>
      </c>
      <c r="AJ694" s="26" t="str">
        <f t="shared" ref="AJ694" si="4987">CP$10</f>
        <v>0,0,0,0,5,0,0,0,0,5</v>
      </c>
      <c r="AK694" s="26" t="str">
        <f t="shared" ref="AK694" si="4988">CQ$10</f>
        <v>200,1,1000,2,5,200,1,1000,2,5</v>
      </c>
      <c r="AL694" s="26" t="str">
        <f t="shared" ref="AL694" si="4989">CR$10</f>
        <v>5,5,5,5,5,5,5,5,5,5</v>
      </c>
      <c r="AM694" s="7">
        <v>2001</v>
      </c>
      <c r="AO694">
        <f t="shared" ref="AO694" si="4990">AQ694*100+7</f>
        <v>7707</v>
      </c>
      <c r="AP694">
        <v>690</v>
      </c>
      <c r="AQ694">
        <f t="shared" si="4633"/>
        <v>77</v>
      </c>
      <c r="AR694">
        <v>12</v>
      </c>
      <c r="AS694" s="17">
        <f t="shared" si="4714"/>
        <v>450</v>
      </c>
      <c r="AT694">
        <v>11</v>
      </c>
      <c r="AU694">
        <f t="shared" si="4634"/>
        <v>34</v>
      </c>
      <c r="AV694">
        <v>150</v>
      </c>
      <c r="AW694">
        <f t="shared" si="4635"/>
        <v>118023.7824</v>
      </c>
      <c r="AX694">
        <f t="shared" si="4764"/>
        <v>662400000</v>
      </c>
      <c r="AY694">
        <f t="shared" si="4636"/>
        <v>11040</v>
      </c>
      <c r="AZ694">
        <f t="shared" si="4637"/>
        <v>22080</v>
      </c>
      <c r="BA694">
        <f t="shared" si="4638"/>
        <v>132480</v>
      </c>
      <c r="BB694">
        <f t="shared" si="4639"/>
        <v>5520</v>
      </c>
      <c r="BC694">
        <f t="shared" si="4765"/>
        <v>662400000</v>
      </c>
      <c r="BD694">
        <f t="shared" si="4640"/>
        <v>0.29411764705882354</v>
      </c>
      <c r="BE694" s="27">
        <f t="shared" si="4766"/>
        <v>1305351936.0000002</v>
      </c>
      <c r="BF694" s="30">
        <f t="shared" si="4641"/>
        <v>0.48480000000000001</v>
      </c>
      <c r="BG694" s="27"/>
      <c r="BH694" s="27"/>
      <c r="BI694" s="27"/>
      <c r="CA694" s="20">
        <f t="shared" si="4642"/>
        <v>480</v>
      </c>
      <c r="CB694" s="20">
        <f t="shared" si="4643"/>
        <v>48000</v>
      </c>
    </row>
    <row r="695" spans="1:80" x14ac:dyDescent="0.15">
      <c r="A695">
        <v>7708</v>
      </c>
      <c r="B695" s="3" t="s">
        <v>128</v>
      </c>
      <c r="C695" s="4" t="s">
        <v>109</v>
      </c>
      <c r="D695" s="4" t="s">
        <v>110</v>
      </c>
      <c r="E695" s="5">
        <v>5</v>
      </c>
      <c r="F695" s="7" t="s">
        <v>129</v>
      </c>
      <c r="G695" s="5">
        <v>2</v>
      </c>
      <c r="H695" s="7" t="s">
        <v>130</v>
      </c>
      <c r="I695" s="5">
        <v>0</v>
      </c>
      <c r="J695" s="5">
        <v>0</v>
      </c>
      <c r="K695">
        <v>2</v>
      </c>
      <c r="L695">
        <v>1.5</v>
      </c>
      <c r="M695" s="5">
        <v>1.5</v>
      </c>
      <c r="N695" s="5">
        <v>10</v>
      </c>
      <c r="O695" s="5">
        <f t="shared" si="4623"/>
        <v>119306</v>
      </c>
      <c r="P695" s="5">
        <f t="shared" si="4624"/>
        <v>669600000</v>
      </c>
      <c r="Q695" s="5">
        <f t="shared" si="4625"/>
        <v>11160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70081</v>
      </c>
      <c r="X695" s="6" t="s">
        <v>186</v>
      </c>
      <c r="Y695" s="5">
        <v>300</v>
      </c>
      <c r="Z695" s="5">
        <v>1</v>
      </c>
      <c r="AA695" s="5">
        <v>291830364</v>
      </c>
      <c r="AB695" s="16" t="s">
        <v>111</v>
      </c>
      <c r="AC695" s="7" t="s">
        <v>112</v>
      </c>
      <c r="AD695" s="7" t="s">
        <v>112</v>
      </c>
      <c r="AE695" s="7" t="s">
        <v>112</v>
      </c>
      <c r="AF695" s="6" t="s">
        <v>113</v>
      </c>
      <c r="AG695" s="26" t="str">
        <f t="shared" ref="AG695" si="4991">CM$11</f>
        <v>4,28,6,28,6,4,28,6,28,6</v>
      </c>
      <c r="AH695" s="26" t="str">
        <f t="shared" ref="AH695" si="4992">CN$11</f>
        <v>0,0,1,0,1,0,0,1,0,1</v>
      </c>
      <c r="AI695" s="26" t="str">
        <f t="shared" ref="AI695" si="4993">CO$11</f>
        <v>0,0,1,0,1,0,0,1,0,1</v>
      </c>
      <c r="AJ695" s="26" t="str">
        <f t="shared" ref="AJ695" si="4994">CP$11</f>
        <v>0,0,5,0,5,0,0,5,0,5</v>
      </c>
      <c r="AK695" s="26" t="str">
        <f t="shared" ref="AK695" si="4995">CQ$11</f>
        <v>100,1000,5,1500,5,200,1000,5,1500,5</v>
      </c>
      <c r="AL695" s="26" t="str">
        <f t="shared" ref="AL695" si="4996">CR$11</f>
        <v>5,5,5,5,5,5,5,5,5,5</v>
      </c>
      <c r="AM695" s="7">
        <v>2001</v>
      </c>
      <c r="AO695">
        <f t="shared" ref="AO695" si="4997">AQ695*100+8</f>
        <v>7708</v>
      </c>
      <c r="AP695">
        <v>691</v>
      </c>
      <c r="AQ695">
        <f t="shared" si="4633"/>
        <v>77</v>
      </c>
      <c r="AR695">
        <v>12</v>
      </c>
      <c r="AS695" s="17">
        <f t="shared" si="4714"/>
        <v>455</v>
      </c>
      <c r="AT695">
        <v>11</v>
      </c>
      <c r="AU695">
        <f t="shared" si="4634"/>
        <v>34</v>
      </c>
      <c r="AV695">
        <v>150</v>
      </c>
      <c r="AW695">
        <f t="shared" si="4635"/>
        <v>119306.64959999999</v>
      </c>
      <c r="AX695">
        <f t="shared" si="4764"/>
        <v>669600000</v>
      </c>
      <c r="AY695">
        <f t="shared" si="4636"/>
        <v>11160</v>
      </c>
      <c r="AZ695">
        <f t="shared" si="4637"/>
        <v>22320</v>
      </c>
      <c r="BA695">
        <f t="shared" si="4638"/>
        <v>133920</v>
      </c>
      <c r="BB695">
        <f t="shared" si="4639"/>
        <v>5580</v>
      </c>
      <c r="BC695">
        <f t="shared" si="4765"/>
        <v>669600000</v>
      </c>
      <c r="BD695">
        <f t="shared" si="4640"/>
        <v>0.29411764705882354</v>
      </c>
      <c r="BE695" s="27">
        <f t="shared" si="4766"/>
        <v>1333883376.0000002</v>
      </c>
      <c r="BF695" s="30">
        <f t="shared" si="4641"/>
        <v>0.48480000000000001</v>
      </c>
      <c r="BG695" s="27"/>
      <c r="BH695" s="27"/>
      <c r="BI695" s="27"/>
      <c r="CA695" s="20">
        <f t="shared" si="4642"/>
        <v>480</v>
      </c>
      <c r="CB695" s="20">
        <f t="shared" si="4643"/>
        <v>48000</v>
      </c>
    </row>
    <row r="696" spans="1:80" x14ac:dyDescent="0.15">
      <c r="A696">
        <v>7709</v>
      </c>
      <c r="B696" s="3" t="s">
        <v>132</v>
      </c>
      <c r="C696" s="4" t="s">
        <v>109</v>
      </c>
      <c r="D696" s="4" t="s">
        <v>110</v>
      </c>
      <c r="E696" s="5">
        <v>5</v>
      </c>
      <c r="F696" s="7" t="s">
        <v>140</v>
      </c>
      <c r="G696" s="5">
        <v>3</v>
      </c>
      <c r="H696" s="7" t="s">
        <v>140</v>
      </c>
      <c r="I696" s="5">
        <v>0</v>
      </c>
      <c r="J696" s="7">
        <v>0</v>
      </c>
      <c r="K696">
        <v>6</v>
      </c>
      <c r="L696">
        <v>1.5</v>
      </c>
      <c r="M696" s="5">
        <v>1.5</v>
      </c>
      <c r="N696" s="5">
        <v>10</v>
      </c>
      <c r="O696" s="5">
        <f t="shared" si="4623"/>
        <v>120589</v>
      </c>
      <c r="P696" s="5">
        <f t="shared" si="4624"/>
        <v>676800000</v>
      </c>
      <c r="Q696" s="5">
        <f t="shared" si="4625"/>
        <v>11280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70091</v>
      </c>
      <c r="X696" s="6" t="s">
        <v>187</v>
      </c>
      <c r="Y696" s="5">
        <v>300</v>
      </c>
      <c r="Z696" s="5">
        <v>1</v>
      </c>
      <c r="AA696" s="5">
        <v>298577664</v>
      </c>
      <c r="AB696" s="16" t="s">
        <v>111</v>
      </c>
      <c r="AC696" s="7" t="s">
        <v>112</v>
      </c>
      <c r="AD696" s="7" t="s">
        <v>112</v>
      </c>
      <c r="AE696" s="7" t="s">
        <v>112</v>
      </c>
      <c r="AF696" s="6" t="s">
        <v>113</v>
      </c>
      <c r="AG696" s="26" t="str">
        <f t="shared" ref="AG696" si="4998">CM$12</f>
        <v>4,33,28,33,6,4,33,28,33,6</v>
      </c>
      <c r="AH696" s="26" t="str">
        <f t="shared" ref="AH696" si="4999">CN$12</f>
        <v>0,5,0,5,1,0,5,0,5,1</v>
      </c>
      <c r="AI696" s="26" t="str">
        <f t="shared" ref="AI696" si="5000">CO$12</f>
        <v>0,0,0,0,1,0,0,0,0,1</v>
      </c>
      <c r="AJ696" s="26" t="str">
        <f t="shared" ref="AJ696" si="5001">CP$12</f>
        <v>0,0,0,0,5,0,0,0,0,5</v>
      </c>
      <c r="AK696" s="26" t="str">
        <f t="shared" ref="AK696" si="5002">CQ$12</f>
        <v>100,1,1000,2,5,200,1,1000,2,5</v>
      </c>
      <c r="AL696" s="26" t="str">
        <f t="shared" ref="AL696" si="5003">CR$12</f>
        <v>5,5,5,5,5,5,5,5,5,5</v>
      </c>
      <c r="AM696" s="7">
        <v>2001</v>
      </c>
      <c r="AO696">
        <f t="shared" ref="AO696" si="5004">AQ696*100+9</f>
        <v>7709</v>
      </c>
      <c r="AP696">
        <v>692</v>
      </c>
      <c r="AQ696">
        <f t="shared" si="4633"/>
        <v>77</v>
      </c>
      <c r="AR696">
        <v>12</v>
      </c>
      <c r="AS696" s="17">
        <f t="shared" si="4714"/>
        <v>460</v>
      </c>
      <c r="AT696">
        <v>11</v>
      </c>
      <c r="AU696">
        <f t="shared" si="4634"/>
        <v>34</v>
      </c>
      <c r="AV696">
        <v>150</v>
      </c>
      <c r="AW696">
        <f t="shared" si="4635"/>
        <v>120589.5168</v>
      </c>
      <c r="AX696">
        <f t="shared" si="4764"/>
        <v>676800000</v>
      </c>
      <c r="AY696">
        <f t="shared" si="4636"/>
        <v>11280</v>
      </c>
      <c r="AZ696">
        <f t="shared" si="4637"/>
        <v>22560</v>
      </c>
      <c r="BA696">
        <f t="shared" si="4638"/>
        <v>135360</v>
      </c>
      <c r="BB696">
        <f t="shared" si="4639"/>
        <v>5640</v>
      </c>
      <c r="BC696">
        <f t="shared" si="4765"/>
        <v>676800000</v>
      </c>
      <c r="BD696">
        <f t="shared" si="4640"/>
        <v>0.29411764705882354</v>
      </c>
      <c r="BE696" s="27">
        <f t="shared" si="4766"/>
        <v>1362723264.0000002</v>
      </c>
      <c r="BF696" s="30">
        <f t="shared" si="4641"/>
        <v>0.48480000000000001</v>
      </c>
      <c r="BG696" s="27"/>
      <c r="BH696" s="27"/>
      <c r="BI696" s="27"/>
      <c r="CA696" s="20">
        <f t="shared" si="4642"/>
        <v>480</v>
      </c>
      <c r="CB696" s="20">
        <f t="shared" si="4643"/>
        <v>48000</v>
      </c>
    </row>
    <row r="697" spans="1:80" x14ac:dyDescent="0.15">
      <c r="A697">
        <v>7801</v>
      </c>
      <c r="B697" s="3" t="s">
        <v>108</v>
      </c>
      <c r="C697" s="4" t="s">
        <v>109</v>
      </c>
      <c r="D697" s="4" t="s">
        <v>110</v>
      </c>
      <c r="E697" s="5">
        <v>3</v>
      </c>
      <c r="F697" s="7" t="s">
        <v>141</v>
      </c>
      <c r="G697" s="5">
        <v>2.5</v>
      </c>
      <c r="H697" s="7" t="s">
        <v>194</v>
      </c>
      <c r="I697" s="5">
        <v>0</v>
      </c>
      <c r="J697" s="5">
        <v>0</v>
      </c>
      <c r="K697">
        <v>2</v>
      </c>
      <c r="L697">
        <v>1.5</v>
      </c>
      <c r="M697" s="5">
        <v>1.5</v>
      </c>
      <c r="N697" s="5">
        <v>10</v>
      </c>
      <c r="O697" s="5">
        <f t="shared" si="4623"/>
        <v>111789</v>
      </c>
      <c r="P697" s="5">
        <f t="shared" si="4624"/>
        <v>626400000</v>
      </c>
      <c r="Q697" s="5">
        <f t="shared" si="4625"/>
        <v>10440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70011</v>
      </c>
      <c r="X697" s="6" t="s">
        <v>179</v>
      </c>
      <c r="Y697" s="5">
        <v>300</v>
      </c>
      <c r="Z697" s="5">
        <v>1</v>
      </c>
      <c r="AA697" s="5">
        <v>305402076</v>
      </c>
      <c r="AB697" s="16" t="s">
        <v>111</v>
      </c>
      <c r="AC697" s="7" t="s">
        <v>112</v>
      </c>
      <c r="AD697" s="7" t="s">
        <v>112</v>
      </c>
      <c r="AE697" s="7" t="s">
        <v>112</v>
      </c>
      <c r="AF697" s="6" t="s">
        <v>113</v>
      </c>
      <c r="AG697" s="26" t="str">
        <f t="shared" ref="AG697" si="5005">CM$4</f>
        <v>4,33,28,33,6,4,33,28,33,6</v>
      </c>
      <c r="AH697" s="26" t="str">
        <f t="shared" ref="AH697" si="5006">CN$4</f>
        <v>0,8,0,8,1,0,8,0,8,1</v>
      </c>
      <c r="AI697" s="26" t="str">
        <f t="shared" ref="AI697" si="5007">CO$4</f>
        <v>0,0,0,0,1,0,0,0,0,1</v>
      </c>
      <c r="AJ697" s="26" t="str">
        <f t="shared" ref="AJ697" si="5008">CP$4</f>
        <v>0,0,0,0,5,0,0,0,0,5</v>
      </c>
      <c r="AK697" s="26" t="str">
        <f t="shared" ref="AK697" si="5009">CQ$4</f>
        <v>100,1,1000,2,5,200,1,1000,2,5</v>
      </c>
      <c r="AL697" s="26" t="str">
        <f t="shared" ref="AL697" si="5010">CR$4</f>
        <v>5,5,5,5,5,5,5,5,5,5</v>
      </c>
      <c r="AM697" s="7">
        <v>2001</v>
      </c>
      <c r="AO697">
        <f t="shared" ref="AO697" si="5011">AQ697*100+1</f>
        <v>7801</v>
      </c>
      <c r="AP697">
        <v>693</v>
      </c>
      <c r="AQ697">
        <f t="shared" si="4633"/>
        <v>78</v>
      </c>
      <c r="AR697">
        <v>12</v>
      </c>
      <c r="AS697" s="17">
        <f t="shared" si="4714"/>
        <v>425</v>
      </c>
      <c r="AT697">
        <v>11</v>
      </c>
      <c r="AU697">
        <f t="shared" si="4634"/>
        <v>34</v>
      </c>
      <c r="AV697">
        <v>150</v>
      </c>
      <c r="AW697">
        <f t="shared" si="4635"/>
        <v>111789.8496</v>
      </c>
      <c r="AX697">
        <f t="shared" si="4764"/>
        <v>626400000</v>
      </c>
      <c r="AY697">
        <f t="shared" si="4636"/>
        <v>10440</v>
      </c>
      <c r="AZ697">
        <f t="shared" si="4637"/>
        <v>20880</v>
      </c>
      <c r="BA697">
        <f t="shared" si="4638"/>
        <v>125280</v>
      </c>
      <c r="BB697">
        <f t="shared" si="4639"/>
        <v>5220</v>
      </c>
      <c r="BC697">
        <f t="shared" si="4765"/>
        <v>626400000</v>
      </c>
      <c r="BD697">
        <f t="shared" si="4640"/>
        <v>0.29411764705882354</v>
      </c>
      <c r="BE697" s="27">
        <f t="shared" si="4766"/>
        <v>1167321456.0000002</v>
      </c>
      <c r="BF697" s="30">
        <f t="shared" si="4641"/>
        <v>0.48719999999999997</v>
      </c>
      <c r="BG697" s="27"/>
      <c r="BH697" s="27"/>
      <c r="BI697" s="27"/>
      <c r="CA697" s="20">
        <f t="shared" si="4642"/>
        <v>485</v>
      </c>
      <c r="CB697" s="20">
        <f t="shared" si="4643"/>
        <v>48500</v>
      </c>
    </row>
    <row r="698" spans="1:80" x14ac:dyDescent="0.15">
      <c r="A698">
        <v>7802</v>
      </c>
      <c r="B698" s="3" t="s">
        <v>115</v>
      </c>
      <c r="C698" s="4" t="s">
        <v>109</v>
      </c>
      <c r="D698" s="6" t="s">
        <v>110</v>
      </c>
      <c r="E698" s="5">
        <v>3</v>
      </c>
      <c r="F698" s="7" t="s">
        <v>142</v>
      </c>
      <c r="G698" s="5">
        <v>3</v>
      </c>
      <c r="H698" s="7" t="s">
        <v>188</v>
      </c>
      <c r="I698" s="5">
        <v>0</v>
      </c>
      <c r="J698" s="5">
        <v>0</v>
      </c>
      <c r="K698">
        <v>2</v>
      </c>
      <c r="L698">
        <v>1.5</v>
      </c>
      <c r="M698" s="5">
        <v>1.5</v>
      </c>
      <c r="N698" s="5">
        <v>10</v>
      </c>
      <c r="O698" s="5">
        <f t="shared" si="4623"/>
        <v>113074</v>
      </c>
      <c r="P698" s="5">
        <f t="shared" si="4624"/>
        <v>633600000</v>
      </c>
      <c r="Q698" s="5">
        <f t="shared" si="4625"/>
        <v>10560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70021</v>
      </c>
      <c r="X698" s="6" t="s">
        <v>180</v>
      </c>
      <c r="Y698" s="5">
        <v>300</v>
      </c>
      <c r="Z698" s="5">
        <v>1</v>
      </c>
      <c r="AA698" s="5">
        <v>259250544</v>
      </c>
      <c r="AB698" s="16" t="s">
        <v>111</v>
      </c>
      <c r="AC698" s="7" t="s">
        <v>112</v>
      </c>
      <c r="AD698" s="7" t="s">
        <v>112</v>
      </c>
      <c r="AE698" s="7" t="s">
        <v>112</v>
      </c>
      <c r="AF698" s="6" t="s">
        <v>113</v>
      </c>
      <c r="AG698" s="26" t="str">
        <f t="shared" ref="AG698" si="5012">CM$5</f>
        <v>4,33,28,33,6,4,33,28,33,6</v>
      </c>
      <c r="AH698" s="26" t="str">
        <f t="shared" ref="AH698" si="5013">CN$5</f>
        <v>0,7,0,7,1,0,7,0,7,1</v>
      </c>
      <c r="AI698" s="26" t="str">
        <f t="shared" ref="AI698" si="5014">CO$5</f>
        <v>0,0,0,0,1,0,0,0,0,1</v>
      </c>
      <c r="AJ698" s="26" t="str">
        <f t="shared" ref="AJ698" si="5015">CP$5</f>
        <v>0,0,0,0,5,0,0,0,0,5</v>
      </c>
      <c r="AK698" s="26" t="str">
        <f t="shared" ref="AK698" si="5016">CQ$5</f>
        <v>100,1,1000,2,5,200,1,1000,2,5</v>
      </c>
      <c r="AL698" s="26" t="str">
        <f t="shared" ref="AL698" si="5017">CR$5</f>
        <v>5,5,5,5,5,5,5,5,5,5</v>
      </c>
      <c r="AM698" s="7">
        <v>2001</v>
      </c>
      <c r="AO698">
        <f t="shared" ref="AO698" si="5018">AQ698*100+2</f>
        <v>7802</v>
      </c>
      <c r="AP698">
        <v>694</v>
      </c>
      <c r="AQ698">
        <f t="shared" si="4633"/>
        <v>78</v>
      </c>
      <c r="AR698">
        <v>12</v>
      </c>
      <c r="AS698" s="17">
        <f t="shared" si="4714"/>
        <v>430</v>
      </c>
      <c r="AT698">
        <v>11</v>
      </c>
      <c r="AU698">
        <f t="shared" si="4634"/>
        <v>34</v>
      </c>
      <c r="AV698">
        <v>150</v>
      </c>
      <c r="AW698">
        <f t="shared" si="4635"/>
        <v>113074.79040000001</v>
      </c>
      <c r="AX698">
        <f t="shared" si="4764"/>
        <v>633600000</v>
      </c>
      <c r="AY698">
        <f t="shared" si="4636"/>
        <v>10560</v>
      </c>
      <c r="AZ698">
        <f t="shared" si="4637"/>
        <v>21120</v>
      </c>
      <c r="BA698">
        <f t="shared" si="4638"/>
        <v>126720</v>
      </c>
      <c r="BB698">
        <f t="shared" si="4639"/>
        <v>5280</v>
      </c>
      <c r="BC698">
        <f t="shared" si="4765"/>
        <v>633600000</v>
      </c>
      <c r="BD698">
        <f t="shared" si="4640"/>
        <v>0.29411764705882354</v>
      </c>
      <c r="BE698" s="27">
        <f t="shared" si="4766"/>
        <v>1194310656.0000002</v>
      </c>
      <c r="BF698" s="30">
        <f t="shared" si="4641"/>
        <v>0.48719999999999997</v>
      </c>
      <c r="BG698" s="27"/>
      <c r="BH698" s="27"/>
      <c r="BI698" s="27"/>
      <c r="CA698" s="20">
        <f t="shared" si="4642"/>
        <v>485</v>
      </c>
      <c r="CB698" s="20">
        <f t="shared" si="4643"/>
        <v>48500</v>
      </c>
    </row>
    <row r="699" spans="1:80" x14ac:dyDescent="0.15">
      <c r="A699">
        <v>7803</v>
      </c>
      <c r="B699" s="3" t="s">
        <v>117</v>
      </c>
      <c r="C699" s="4" t="s">
        <v>109</v>
      </c>
      <c r="D699" s="4" t="s">
        <v>110</v>
      </c>
      <c r="E699" s="5">
        <v>1</v>
      </c>
      <c r="F699" s="7" t="s">
        <v>144</v>
      </c>
      <c r="G699" s="5">
        <v>3</v>
      </c>
      <c r="H699" s="7" t="s">
        <v>189</v>
      </c>
      <c r="I699" s="5">
        <v>0</v>
      </c>
      <c r="J699" s="2">
        <v>0</v>
      </c>
      <c r="K699">
        <v>6</v>
      </c>
      <c r="L699">
        <v>1.5</v>
      </c>
      <c r="M699" s="5">
        <v>1.5</v>
      </c>
      <c r="N699" s="5">
        <v>10</v>
      </c>
      <c r="O699" s="5">
        <f t="shared" si="4623"/>
        <v>114359</v>
      </c>
      <c r="P699" s="5">
        <f t="shared" si="4624"/>
        <v>640800000</v>
      </c>
      <c r="Q699" s="5">
        <f t="shared" si="4625"/>
        <v>10680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70031</v>
      </c>
      <c r="X699" s="6" t="s">
        <v>181</v>
      </c>
      <c r="Y699" s="5">
        <v>300</v>
      </c>
      <c r="Z699" s="5">
        <v>1</v>
      </c>
      <c r="AA699" s="5">
        <v>265612284</v>
      </c>
      <c r="AB699" s="16" t="s">
        <v>111</v>
      </c>
      <c r="AC699" s="7" t="s">
        <v>112</v>
      </c>
      <c r="AD699" s="7" t="s">
        <v>112</v>
      </c>
      <c r="AE699" s="7" t="s">
        <v>112</v>
      </c>
      <c r="AF699" s="6" t="s">
        <v>113</v>
      </c>
      <c r="AG699" s="26" t="str">
        <f t="shared" ref="AG699" si="5019">CM$6</f>
        <v>4,28,6,28,6,4,28,6,28,6</v>
      </c>
      <c r="AH699" s="26" t="str">
        <f t="shared" ref="AH699" si="5020">CN$6</f>
        <v>0,0,1,0,1,0,0,1,0,1</v>
      </c>
      <c r="AI699" s="26" t="str">
        <f t="shared" ref="AI699" si="5021">CO$6</f>
        <v>0,0,0,0,1,0,0,0,0,1</v>
      </c>
      <c r="AJ699" s="26" t="str">
        <f t="shared" ref="AJ699" si="5022">CP$6</f>
        <v>0,0,5,0,5,0,0,5,0,5</v>
      </c>
      <c r="AK699" s="26" t="str">
        <f t="shared" ref="AK699" si="5023">CQ$6</f>
        <v>100,1000,5,1500,5,200,1000,5,1500,5</v>
      </c>
      <c r="AL699" s="26" t="str">
        <f t="shared" ref="AL699" si="5024">CR$6</f>
        <v>5,5,5,5,5,5,5,5,5,5</v>
      </c>
      <c r="AM699" s="7">
        <v>2001</v>
      </c>
      <c r="AO699">
        <f t="shared" ref="AO699" si="5025">AQ699*100+3</f>
        <v>7803</v>
      </c>
      <c r="AP699">
        <v>695</v>
      </c>
      <c r="AQ699">
        <f t="shared" si="4633"/>
        <v>78</v>
      </c>
      <c r="AR699">
        <v>12</v>
      </c>
      <c r="AS699" s="17">
        <f t="shared" si="4714"/>
        <v>435</v>
      </c>
      <c r="AT699">
        <v>11</v>
      </c>
      <c r="AU699">
        <f t="shared" si="4634"/>
        <v>34</v>
      </c>
      <c r="AV699">
        <v>150</v>
      </c>
      <c r="AW699">
        <f t="shared" si="4635"/>
        <v>114359.73120000001</v>
      </c>
      <c r="AX699">
        <f t="shared" si="4764"/>
        <v>640800000</v>
      </c>
      <c r="AY699">
        <f t="shared" si="4636"/>
        <v>10680</v>
      </c>
      <c r="AZ699">
        <f t="shared" si="4637"/>
        <v>21360</v>
      </c>
      <c r="BA699">
        <f t="shared" si="4638"/>
        <v>128160</v>
      </c>
      <c r="BB699">
        <f t="shared" si="4639"/>
        <v>5340</v>
      </c>
      <c r="BC699">
        <f t="shared" si="4765"/>
        <v>640800000</v>
      </c>
      <c r="BD699">
        <f t="shared" si="4640"/>
        <v>0.29411764705882354</v>
      </c>
      <c r="BE699" s="27">
        <f t="shared" si="4766"/>
        <v>1221608304.0000002</v>
      </c>
      <c r="BF699" s="30">
        <f t="shared" si="4641"/>
        <v>0.48719999999999997</v>
      </c>
      <c r="BG699" s="27"/>
      <c r="BH699" s="27"/>
      <c r="BI699" s="27"/>
      <c r="CA699" s="20">
        <f t="shared" si="4642"/>
        <v>485</v>
      </c>
      <c r="CB699" s="20">
        <f t="shared" si="4643"/>
        <v>48500</v>
      </c>
    </row>
    <row r="700" spans="1:80" x14ac:dyDescent="0.15">
      <c r="A700">
        <v>7804</v>
      </c>
      <c r="B700" s="3" t="s">
        <v>119</v>
      </c>
      <c r="C700" s="4" t="s">
        <v>109</v>
      </c>
      <c r="D700" s="6" t="s">
        <v>120</v>
      </c>
      <c r="E700" s="5">
        <v>3</v>
      </c>
      <c r="F700" s="7" t="s">
        <v>145</v>
      </c>
      <c r="G700" s="5">
        <v>3</v>
      </c>
      <c r="H700" s="7" t="s">
        <v>190</v>
      </c>
      <c r="I700" s="5">
        <v>0</v>
      </c>
      <c r="J700" s="5">
        <v>0</v>
      </c>
      <c r="K700">
        <v>2</v>
      </c>
      <c r="L700">
        <v>1.5</v>
      </c>
      <c r="M700" s="5">
        <v>1.5</v>
      </c>
      <c r="N700" s="5">
        <v>10</v>
      </c>
      <c r="O700" s="5">
        <f t="shared" si="4623"/>
        <v>115644</v>
      </c>
      <c r="P700" s="5">
        <f t="shared" si="4624"/>
        <v>648000000</v>
      </c>
      <c r="Q700" s="5">
        <f t="shared" si="4625"/>
        <v>10800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70041</v>
      </c>
      <c r="X700" s="6" t="s">
        <v>182</v>
      </c>
      <c r="Y700" s="5">
        <v>300</v>
      </c>
      <c r="Z700" s="5">
        <v>1</v>
      </c>
      <c r="AA700" s="5">
        <v>272051136</v>
      </c>
      <c r="AB700" s="16" t="s">
        <v>111</v>
      </c>
      <c r="AC700" s="7" t="s">
        <v>112</v>
      </c>
      <c r="AD700" s="7" t="s">
        <v>112</v>
      </c>
      <c r="AE700" s="7" t="s">
        <v>112</v>
      </c>
      <c r="AF700" s="6" t="s">
        <v>113</v>
      </c>
      <c r="AG700" s="26" t="str">
        <f t="shared" ref="AG700" si="5026">CM$7</f>
        <v>4,14,28,14,6,4,14,28,14,6</v>
      </c>
      <c r="AH700" s="26" t="str">
        <f t="shared" ref="AH700" si="5027">CN$7</f>
        <v>0,0,0,0,1,0,0,0,0,1</v>
      </c>
      <c r="AI700" s="26" t="str">
        <f t="shared" ref="AI700" si="5028">CO$7</f>
        <v>0,0,0,0,1,0,0,0,0,1</v>
      </c>
      <c r="AJ700" s="26" t="str">
        <f t="shared" ref="AJ700" si="5029">CP$7</f>
        <v>0,0,0,0,5,0,0,0,0,5</v>
      </c>
      <c r="AK700" s="26" t="str">
        <f t="shared" ref="AK700" si="5030">CQ$7</f>
        <v>100,1,1000,2,5,200,1,1000,2,5</v>
      </c>
      <c r="AL700" s="26" t="str">
        <f t="shared" ref="AL700" si="5031">CR$7</f>
        <v>5,5,5,5,5,5,5,5,5,5</v>
      </c>
      <c r="AM700" s="7">
        <v>2001</v>
      </c>
      <c r="AO700">
        <f t="shared" ref="AO700" si="5032">AQ700*100+4</f>
        <v>7804</v>
      </c>
      <c r="AP700">
        <v>696</v>
      </c>
      <c r="AQ700">
        <f t="shared" si="4633"/>
        <v>78</v>
      </c>
      <c r="AR700">
        <v>12</v>
      </c>
      <c r="AS700" s="17">
        <f t="shared" si="4714"/>
        <v>440</v>
      </c>
      <c r="AT700">
        <v>11</v>
      </c>
      <c r="AU700">
        <f t="shared" si="4634"/>
        <v>34</v>
      </c>
      <c r="AV700">
        <v>150</v>
      </c>
      <c r="AW700">
        <f t="shared" si="4635"/>
        <v>115644.67200000001</v>
      </c>
      <c r="AX700">
        <f t="shared" si="4764"/>
        <v>648000000</v>
      </c>
      <c r="AY700">
        <f t="shared" si="4636"/>
        <v>10800</v>
      </c>
      <c r="AZ700">
        <f t="shared" si="4637"/>
        <v>21600</v>
      </c>
      <c r="BA700">
        <f t="shared" si="4638"/>
        <v>129600</v>
      </c>
      <c r="BB700">
        <f t="shared" si="4639"/>
        <v>5400</v>
      </c>
      <c r="BC700">
        <f t="shared" si="4765"/>
        <v>648000000</v>
      </c>
      <c r="BD700">
        <f t="shared" si="4640"/>
        <v>0.29411764705882354</v>
      </c>
      <c r="BE700" s="27">
        <f t="shared" si="4766"/>
        <v>1249214400.0000002</v>
      </c>
      <c r="BF700" s="30">
        <f t="shared" si="4641"/>
        <v>0.48719999999999997</v>
      </c>
      <c r="BG700" s="27"/>
      <c r="BH700" s="27"/>
      <c r="BI700" s="27"/>
      <c r="CA700" s="20">
        <f t="shared" si="4642"/>
        <v>485</v>
      </c>
      <c r="CB700" s="20">
        <f t="shared" si="4643"/>
        <v>48500</v>
      </c>
    </row>
    <row r="701" spans="1:80" x14ac:dyDescent="0.15">
      <c r="A701">
        <v>7805</v>
      </c>
      <c r="B701" s="3" t="s">
        <v>122</v>
      </c>
      <c r="C701" s="4" t="s">
        <v>109</v>
      </c>
      <c r="D701" s="4" t="s">
        <v>110</v>
      </c>
      <c r="E701" s="5">
        <v>2</v>
      </c>
      <c r="F701" s="7" t="s">
        <v>146</v>
      </c>
      <c r="G701" s="5">
        <v>3</v>
      </c>
      <c r="H701" s="7" t="s">
        <v>191</v>
      </c>
      <c r="I701" s="5">
        <v>0</v>
      </c>
      <c r="J701" s="7" t="s">
        <v>148</v>
      </c>
      <c r="K701">
        <v>6</v>
      </c>
      <c r="L701">
        <v>1.5</v>
      </c>
      <c r="M701" s="5">
        <v>1.5</v>
      </c>
      <c r="N701" s="5">
        <v>10</v>
      </c>
      <c r="O701" s="5">
        <f t="shared" si="4623"/>
        <v>116929</v>
      </c>
      <c r="P701" s="5">
        <f t="shared" si="4624"/>
        <v>655200000</v>
      </c>
      <c r="Q701" s="5">
        <f t="shared" si="4625"/>
        <v>10920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70051</v>
      </c>
      <c r="X701" s="6" t="s">
        <v>183</v>
      </c>
      <c r="Y701" s="5">
        <v>300</v>
      </c>
      <c r="Z701" s="5">
        <v>1</v>
      </c>
      <c r="AA701" s="5">
        <v>278567100</v>
      </c>
      <c r="AB701" s="16" t="s">
        <v>111</v>
      </c>
      <c r="AC701" s="7" t="s">
        <v>112</v>
      </c>
      <c r="AD701" s="7" t="s">
        <v>112</v>
      </c>
      <c r="AE701" s="7" t="s">
        <v>112</v>
      </c>
      <c r="AF701" s="6" t="s">
        <v>113</v>
      </c>
      <c r="AG701" s="26" t="str">
        <f t="shared" ref="AG701" si="5033">CM$8</f>
        <v>4,19,28,19,6,4,19,28,19,6</v>
      </c>
      <c r="AH701" s="26" t="str">
        <f t="shared" ref="AH701" si="5034">CN$8</f>
        <v>0,0,0,0,1,0,0,0,0,1</v>
      </c>
      <c r="AI701" s="26" t="str">
        <f t="shared" ref="AI701" si="5035">CO$8</f>
        <v>0,0,0,0,1,0,0,0,0,1</v>
      </c>
      <c r="AJ701" s="26" t="str">
        <f t="shared" ref="AJ701" si="5036">CP$8</f>
        <v>0,0,0,0,5,0,0,0,0,5</v>
      </c>
      <c r="AK701" s="26" t="str">
        <f t="shared" ref="AK701" si="5037">CQ$8</f>
        <v>200,100,1000,200,5,200,100,1000,200,5</v>
      </c>
      <c r="AL701" s="26" t="str">
        <f t="shared" ref="AL701" si="5038">CR$8</f>
        <v>5,5,5,5,5,5,5,5,5,5</v>
      </c>
      <c r="AM701" s="7">
        <v>2001</v>
      </c>
      <c r="AO701">
        <f t="shared" ref="AO701" si="5039">AQ701*100+5</f>
        <v>7805</v>
      </c>
      <c r="AP701">
        <v>697</v>
      </c>
      <c r="AQ701">
        <f t="shared" si="4633"/>
        <v>78</v>
      </c>
      <c r="AR701">
        <v>12</v>
      </c>
      <c r="AS701" s="17">
        <f t="shared" si="4714"/>
        <v>445</v>
      </c>
      <c r="AT701">
        <v>11</v>
      </c>
      <c r="AU701">
        <f t="shared" si="4634"/>
        <v>34</v>
      </c>
      <c r="AV701">
        <v>150</v>
      </c>
      <c r="AW701">
        <f t="shared" si="4635"/>
        <v>116929.6128</v>
      </c>
      <c r="AX701">
        <f t="shared" si="4764"/>
        <v>655200000</v>
      </c>
      <c r="AY701">
        <f t="shared" si="4636"/>
        <v>10920</v>
      </c>
      <c r="AZ701">
        <f t="shared" si="4637"/>
        <v>21840</v>
      </c>
      <c r="BA701">
        <f t="shared" si="4638"/>
        <v>131040</v>
      </c>
      <c r="BB701">
        <f t="shared" si="4639"/>
        <v>5460</v>
      </c>
      <c r="BC701">
        <f t="shared" si="4765"/>
        <v>655200000</v>
      </c>
      <c r="BD701">
        <f t="shared" si="4640"/>
        <v>0.29411764705882354</v>
      </c>
      <c r="BE701" s="27">
        <f t="shared" si="4766"/>
        <v>1277128944.0000002</v>
      </c>
      <c r="BF701" s="30">
        <f t="shared" si="4641"/>
        <v>0.48719999999999997</v>
      </c>
      <c r="BG701" s="27"/>
      <c r="BH701" s="27"/>
      <c r="BI701" s="27"/>
      <c r="CA701" s="20">
        <f t="shared" si="4642"/>
        <v>485</v>
      </c>
      <c r="CB701" s="20">
        <f t="shared" si="4643"/>
        <v>48500</v>
      </c>
    </row>
    <row r="702" spans="1:80" x14ac:dyDescent="0.15">
      <c r="A702">
        <v>7806</v>
      </c>
      <c r="B702" s="3" t="s">
        <v>124</v>
      </c>
      <c r="C702" s="4" t="s">
        <v>109</v>
      </c>
      <c r="D702" s="6" t="s">
        <v>120</v>
      </c>
      <c r="E702" s="5">
        <v>1</v>
      </c>
      <c r="F702" s="7" t="s">
        <v>147</v>
      </c>
      <c r="G702" s="5">
        <v>3</v>
      </c>
      <c r="H702" s="7" t="s">
        <v>192</v>
      </c>
      <c r="I702" s="5">
        <v>0</v>
      </c>
      <c r="J702" s="7" t="s">
        <v>149</v>
      </c>
      <c r="K702">
        <v>6</v>
      </c>
      <c r="L702">
        <v>1.5</v>
      </c>
      <c r="M702" s="5">
        <v>1.5</v>
      </c>
      <c r="N702" s="5">
        <v>10</v>
      </c>
      <c r="O702" s="5">
        <f t="shared" si="4623"/>
        <v>118214</v>
      </c>
      <c r="P702" s="5">
        <f t="shared" si="4624"/>
        <v>662400000</v>
      </c>
      <c r="Q702" s="5">
        <f t="shared" si="4625"/>
        <v>11040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70061</v>
      </c>
      <c r="X702" s="6" t="s">
        <v>184</v>
      </c>
      <c r="Y702" s="5">
        <v>300</v>
      </c>
      <c r="Z702" s="5">
        <v>1</v>
      </c>
      <c r="AA702" s="5">
        <v>285160176</v>
      </c>
      <c r="AB702" s="16" t="s">
        <v>111</v>
      </c>
      <c r="AC702" s="7" t="s">
        <v>112</v>
      </c>
      <c r="AD702" s="7" t="s">
        <v>112</v>
      </c>
      <c r="AE702" s="7" t="s">
        <v>112</v>
      </c>
      <c r="AF702" s="6" t="s">
        <v>113</v>
      </c>
      <c r="AG702" s="26" t="str">
        <f t="shared" ref="AG702" si="5040">CM$9</f>
        <v>4,33,28,33,6,4,33,28,33,6</v>
      </c>
      <c r="AH702" s="26" t="str">
        <f t="shared" ref="AH702" si="5041">CN$9</f>
        <v>0,6,0,6,1,0,6,0,6,1</v>
      </c>
      <c r="AI702" s="26" t="str">
        <f t="shared" ref="AI702" si="5042">CO$9</f>
        <v>0,0,0,0,1,0,0,0,0,1</v>
      </c>
      <c r="AJ702" s="26" t="str">
        <f t="shared" ref="AJ702" si="5043">CP$9</f>
        <v>0,0,0,0,5,0,0,0,0,5</v>
      </c>
      <c r="AK702" s="26" t="str">
        <f t="shared" ref="AK702" si="5044">CQ$9</f>
        <v>200,1,1000,2,5,200,1,1000,2,5</v>
      </c>
      <c r="AL702" s="26" t="str">
        <f t="shared" ref="AL702" si="5045">CR$9</f>
        <v>5,5,5,5,5,5,5,5,5,5</v>
      </c>
      <c r="AM702" s="7">
        <v>2001</v>
      </c>
      <c r="AO702">
        <f t="shared" ref="AO702" si="5046">AQ702*100+6</f>
        <v>7806</v>
      </c>
      <c r="AP702">
        <v>698</v>
      </c>
      <c r="AQ702">
        <f t="shared" si="4633"/>
        <v>78</v>
      </c>
      <c r="AR702">
        <v>12</v>
      </c>
      <c r="AS702" s="17">
        <f t="shared" si="4714"/>
        <v>450</v>
      </c>
      <c r="AT702">
        <v>11</v>
      </c>
      <c r="AU702">
        <f t="shared" si="4634"/>
        <v>34</v>
      </c>
      <c r="AV702">
        <v>150</v>
      </c>
      <c r="AW702">
        <f t="shared" si="4635"/>
        <v>118214.5536</v>
      </c>
      <c r="AX702">
        <f t="shared" si="4764"/>
        <v>662400000</v>
      </c>
      <c r="AY702">
        <f t="shared" si="4636"/>
        <v>11040</v>
      </c>
      <c r="AZ702">
        <f t="shared" si="4637"/>
        <v>22080</v>
      </c>
      <c r="BA702">
        <f t="shared" si="4638"/>
        <v>132480</v>
      </c>
      <c r="BB702">
        <f t="shared" si="4639"/>
        <v>5520</v>
      </c>
      <c r="BC702">
        <f t="shared" si="4765"/>
        <v>662400000</v>
      </c>
      <c r="BD702">
        <f t="shared" si="4640"/>
        <v>0.29411764705882354</v>
      </c>
      <c r="BE702" s="27">
        <f t="shared" si="4766"/>
        <v>1305351936.0000002</v>
      </c>
      <c r="BF702" s="30">
        <f t="shared" si="4641"/>
        <v>0.48719999999999997</v>
      </c>
      <c r="BG702" s="27"/>
      <c r="BH702" s="27"/>
      <c r="BI702" s="27"/>
      <c r="CA702" s="20">
        <f t="shared" si="4642"/>
        <v>485</v>
      </c>
      <c r="CB702" s="20">
        <f t="shared" si="4643"/>
        <v>48500</v>
      </c>
    </row>
    <row r="703" spans="1:80" x14ac:dyDescent="0.15">
      <c r="A703">
        <v>7807</v>
      </c>
      <c r="B703" s="3" t="s">
        <v>126</v>
      </c>
      <c r="C703" s="4" t="s">
        <v>109</v>
      </c>
      <c r="D703" s="4" t="s">
        <v>110</v>
      </c>
      <c r="E703" s="5">
        <v>2</v>
      </c>
      <c r="F703" s="7" t="s">
        <v>143</v>
      </c>
      <c r="G703" s="5">
        <v>3</v>
      </c>
      <c r="H703" s="7" t="s">
        <v>193</v>
      </c>
      <c r="I703" s="5">
        <v>0</v>
      </c>
      <c r="J703" s="5">
        <v>0</v>
      </c>
      <c r="K703">
        <v>2</v>
      </c>
      <c r="L703">
        <v>1.5</v>
      </c>
      <c r="M703" s="5">
        <v>1.5</v>
      </c>
      <c r="N703" s="5">
        <v>10</v>
      </c>
      <c r="O703" s="5">
        <f t="shared" si="4623"/>
        <v>119499</v>
      </c>
      <c r="P703" s="5">
        <f t="shared" si="4624"/>
        <v>669600000</v>
      </c>
      <c r="Q703" s="5">
        <f t="shared" si="4625"/>
        <v>11160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70071</v>
      </c>
      <c r="X703" s="6" t="s">
        <v>185</v>
      </c>
      <c r="Y703" s="5">
        <v>300</v>
      </c>
      <c r="Z703" s="5">
        <v>1</v>
      </c>
      <c r="AA703" s="5">
        <v>291830364</v>
      </c>
      <c r="AB703" s="16" t="s">
        <v>111</v>
      </c>
      <c r="AC703" s="7" t="s">
        <v>112</v>
      </c>
      <c r="AD703" s="7" t="s">
        <v>112</v>
      </c>
      <c r="AE703" s="7" t="s">
        <v>112</v>
      </c>
      <c r="AF703" s="6" t="s">
        <v>113</v>
      </c>
      <c r="AG703" s="26" t="str">
        <f t="shared" ref="AG703" si="5047">CM$10</f>
        <v>4,14,28,14,6,4,14,28,14,6</v>
      </c>
      <c r="AH703" s="26" t="str">
        <f t="shared" ref="AH703" si="5048">CN$10</f>
        <v>0,0,0,0,1,0,0,0,0,1</v>
      </c>
      <c r="AI703" s="26" t="str">
        <f t="shared" ref="AI703" si="5049">CO$10</f>
        <v>0,0,0,0,1,0,0,0,0,1</v>
      </c>
      <c r="AJ703" s="26" t="str">
        <f t="shared" ref="AJ703" si="5050">CP$10</f>
        <v>0,0,0,0,5,0,0,0,0,5</v>
      </c>
      <c r="AK703" s="26" t="str">
        <f t="shared" ref="AK703" si="5051">CQ$10</f>
        <v>200,1,1000,2,5,200,1,1000,2,5</v>
      </c>
      <c r="AL703" s="26" t="str">
        <f t="shared" ref="AL703" si="5052">CR$10</f>
        <v>5,5,5,5,5,5,5,5,5,5</v>
      </c>
      <c r="AM703" s="7">
        <v>2001</v>
      </c>
      <c r="AO703">
        <f t="shared" ref="AO703" si="5053">AQ703*100+7</f>
        <v>7807</v>
      </c>
      <c r="AP703">
        <v>699</v>
      </c>
      <c r="AQ703">
        <f t="shared" si="4633"/>
        <v>78</v>
      </c>
      <c r="AR703">
        <v>12</v>
      </c>
      <c r="AS703" s="17">
        <f t="shared" si="4714"/>
        <v>455</v>
      </c>
      <c r="AT703">
        <v>11</v>
      </c>
      <c r="AU703">
        <f t="shared" si="4634"/>
        <v>34</v>
      </c>
      <c r="AV703">
        <v>150</v>
      </c>
      <c r="AW703">
        <f t="shared" si="4635"/>
        <v>119499.49440000001</v>
      </c>
      <c r="AX703">
        <f t="shared" si="4764"/>
        <v>669600000</v>
      </c>
      <c r="AY703">
        <f t="shared" si="4636"/>
        <v>11160</v>
      </c>
      <c r="AZ703">
        <f t="shared" si="4637"/>
        <v>22320</v>
      </c>
      <c r="BA703">
        <f t="shared" si="4638"/>
        <v>133920</v>
      </c>
      <c r="BB703">
        <f t="shared" si="4639"/>
        <v>5580</v>
      </c>
      <c r="BC703">
        <f t="shared" si="4765"/>
        <v>669600000</v>
      </c>
      <c r="BD703">
        <f t="shared" si="4640"/>
        <v>0.29411764705882354</v>
      </c>
      <c r="BE703" s="27">
        <f t="shared" si="4766"/>
        <v>1333883376.0000002</v>
      </c>
      <c r="BF703" s="30">
        <f t="shared" si="4641"/>
        <v>0.48719999999999997</v>
      </c>
      <c r="BG703" s="27"/>
      <c r="BH703" s="27"/>
      <c r="BI703" s="27"/>
      <c r="CA703" s="20">
        <f t="shared" si="4642"/>
        <v>485</v>
      </c>
      <c r="CB703" s="20">
        <f t="shared" si="4643"/>
        <v>48500</v>
      </c>
    </row>
    <row r="704" spans="1:80" x14ac:dyDescent="0.15">
      <c r="A704">
        <v>7808</v>
      </c>
      <c r="B704" s="3" t="s">
        <v>128</v>
      </c>
      <c r="C704" s="4" t="s">
        <v>109</v>
      </c>
      <c r="D704" s="4" t="s">
        <v>110</v>
      </c>
      <c r="E704" s="5">
        <v>5</v>
      </c>
      <c r="F704" s="7" t="s">
        <v>129</v>
      </c>
      <c r="G704" s="5">
        <v>2</v>
      </c>
      <c r="H704" s="7" t="s">
        <v>130</v>
      </c>
      <c r="I704" s="5">
        <v>0</v>
      </c>
      <c r="J704" s="5">
        <v>0</v>
      </c>
      <c r="K704">
        <v>2</v>
      </c>
      <c r="L704">
        <v>1.5</v>
      </c>
      <c r="M704" s="5">
        <v>1.5</v>
      </c>
      <c r="N704" s="5">
        <v>10</v>
      </c>
      <c r="O704" s="5">
        <f t="shared" si="4623"/>
        <v>120784</v>
      </c>
      <c r="P704" s="5">
        <f t="shared" si="4624"/>
        <v>676800000</v>
      </c>
      <c r="Q704" s="5">
        <f t="shared" si="4625"/>
        <v>11280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70081</v>
      </c>
      <c r="X704" s="6" t="s">
        <v>186</v>
      </c>
      <c r="Y704" s="5">
        <v>300</v>
      </c>
      <c r="Z704" s="5">
        <v>1</v>
      </c>
      <c r="AA704" s="5">
        <v>298577664</v>
      </c>
      <c r="AB704" s="16" t="s">
        <v>111</v>
      </c>
      <c r="AC704" s="7" t="s">
        <v>112</v>
      </c>
      <c r="AD704" s="7" t="s">
        <v>112</v>
      </c>
      <c r="AE704" s="7" t="s">
        <v>112</v>
      </c>
      <c r="AF704" s="6" t="s">
        <v>113</v>
      </c>
      <c r="AG704" s="26" t="str">
        <f t="shared" ref="AG704" si="5054">CM$11</f>
        <v>4,28,6,28,6,4,28,6,28,6</v>
      </c>
      <c r="AH704" s="26" t="str">
        <f t="shared" ref="AH704" si="5055">CN$11</f>
        <v>0,0,1,0,1,0,0,1,0,1</v>
      </c>
      <c r="AI704" s="26" t="str">
        <f t="shared" ref="AI704" si="5056">CO$11</f>
        <v>0,0,1,0,1,0,0,1,0,1</v>
      </c>
      <c r="AJ704" s="26" t="str">
        <f t="shared" ref="AJ704" si="5057">CP$11</f>
        <v>0,0,5,0,5,0,0,5,0,5</v>
      </c>
      <c r="AK704" s="26" t="str">
        <f t="shared" ref="AK704" si="5058">CQ$11</f>
        <v>100,1000,5,1500,5,200,1000,5,1500,5</v>
      </c>
      <c r="AL704" s="26" t="str">
        <f t="shared" ref="AL704" si="5059">CR$11</f>
        <v>5,5,5,5,5,5,5,5,5,5</v>
      </c>
      <c r="AM704" s="7">
        <v>2001</v>
      </c>
      <c r="AO704">
        <f t="shared" ref="AO704" si="5060">AQ704*100+8</f>
        <v>7808</v>
      </c>
      <c r="AP704">
        <v>700</v>
      </c>
      <c r="AQ704">
        <f t="shared" si="4633"/>
        <v>78</v>
      </c>
      <c r="AR704">
        <v>12</v>
      </c>
      <c r="AS704" s="17">
        <f t="shared" si="4714"/>
        <v>460</v>
      </c>
      <c r="AT704">
        <v>11</v>
      </c>
      <c r="AU704">
        <f t="shared" si="4634"/>
        <v>34</v>
      </c>
      <c r="AV704">
        <v>150</v>
      </c>
      <c r="AW704">
        <f t="shared" si="4635"/>
        <v>120784.43520000001</v>
      </c>
      <c r="AX704">
        <f t="shared" si="4764"/>
        <v>676800000</v>
      </c>
      <c r="AY704">
        <f t="shared" si="4636"/>
        <v>11280</v>
      </c>
      <c r="AZ704">
        <f t="shared" si="4637"/>
        <v>22560</v>
      </c>
      <c r="BA704">
        <f t="shared" si="4638"/>
        <v>135360</v>
      </c>
      <c r="BB704">
        <f t="shared" si="4639"/>
        <v>5640</v>
      </c>
      <c r="BC704">
        <f t="shared" si="4765"/>
        <v>676800000</v>
      </c>
      <c r="BD704">
        <f t="shared" si="4640"/>
        <v>0.29411764705882354</v>
      </c>
      <c r="BE704" s="27">
        <f t="shared" si="4766"/>
        <v>1362723264.0000002</v>
      </c>
      <c r="BF704" s="30">
        <f t="shared" si="4641"/>
        <v>0.48719999999999997</v>
      </c>
      <c r="BG704" s="27"/>
      <c r="BH704" s="27"/>
      <c r="BI704" s="27"/>
      <c r="CA704" s="20">
        <f t="shared" si="4642"/>
        <v>485</v>
      </c>
      <c r="CB704" s="20">
        <f t="shared" si="4643"/>
        <v>48500</v>
      </c>
    </row>
    <row r="705" spans="1:80" x14ac:dyDescent="0.15">
      <c r="A705">
        <v>7809</v>
      </c>
      <c r="B705" s="3" t="s">
        <v>132</v>
      </c>
      <c r="C705" s="4" t="s">
        <v>109</v>
      </c>
      <c r="D705" s="4" t="s">
        <v>110</v>
      </c>
      <c r="E705" s="5">
        <v>5</v>
      </c>
      <c r="F705" s="7" t="s">
        <v>140</v>
      </c>
      <c r="G705" s="5">
        <v>3</v>
      </c>
      <c r="H705" s="7" t="s">
        <v>140</v>
      </c>
      <c r="I705" s="5">
        <v>0</v>
      </c>
      <c r="J705" s="7">
        <v>0</v>
      </c>
      <c r="K705">
        <v>6</v>
      </c>
      <c r="L705">
        <v>1.5</v>
      </c>
      <c r="M705" s="5">
        <v>1.5</v>
      </c>
      <c r="N705" s="5">
        <v>10</v>
      </c>
      <c r="O705" s="5">
        <f t="shared" si="4623"/>
        <v>122069</v>
      </c>
      <c r="P705" s="5">
        <f t="shared" si="4624"/>
        <v>684000000</v>
      </c>
      <c r="Q705" s="5">
        <f t="shared" si="4625"/>
        <v>11400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70091</v>
      </c>
      <c r="X705" s="6" t="s">
        <v>187</v>
      </c>
      <c r="Y705" s="5">
        <v>300</v>
      </c>
      <c r="Z705" s="5">
        <v>1</v>
      </c>
      <c r="AA705" s="5">
        <v>305402076</v>
      </c>
      <c r="AB705" s="16" t="s">
        <v>111</v>
      </c>
      <c r="AC705" s="7" t="s">
        <v>112</v>
      </c>
      <c r="AD705" s="7" t="s">
        <v>112</v>
      </c>
      <c r="AE705" s="7" t="s">
        <v>112</v>
      </c>
      <c r="AF705" s="6" t="s">
        <v>113</v>
      </c>
      <c r="AG705" s="26" t="str">
        <f t="shared" ref="AG705" si="5061">CM$12</f>
        <v>4,33,28,33,6,4,33,28,33,6</v>
      </c>
      <c r="AH705" s="26" t="str">
        <f t="shared" ref="AH705" si="5062">CN$12</f>
        <v>0,5,0,5,1,0,5,0,5,1</v>
      </c>
      <c r="AI705" s="26" t="str">
        <f t="shared" ref="AI705" si="5063">CO$12</f>
        <v>0,0,0,0,1,0,0,0,0,1</v>
      </c>
      <c r="AJ705" s="26" t="str">
        <f t="shared" ref="AJ705" si="5064">CP$12</f>
        <v>0,0,0,0,5,0,0,0,0,5</v>
      </c>
      <c r="AK705" s="26" t="str">
        <f t="shared" ref="AK705" si="5065">CQ$12</f>
        <v>100,1,1000,2,5,200,1,1000,2,5</v>
      </c>
      <c r="AL705" s="26" t="str">
        <f t="shared" ref="AL705" si="5066">CR$12</f>
        <v>5,5,5,5,5,5,5,5,5,5</v>
      </c>
      <c r="AM705" s="7">
        <v>2001</v>
      </c>
      <c r="AO705">
        <f t="shared" ref="AO705" si="5067">AQ705*100+9</f>
        <v>7809</v>
      </c>
      <c r="AP705">
        <v>701</v>
      </c>
      <c r="AQ705">
        <f t="shared" si="4633"/>
        <v>78</v>
      </c>
      <c r="AR705">
        <v>12</v>
      </c>
      <c r="AS705" s="17">
        <f t="shared" si="4714"/>
        <v>465</v>
      </c>
      <c r="AT705">
        <v>11</v>
      </c>
      <c r="AU705">
        <f t="shared" si="4634"/>
        <v>34</v>
      </c>
      <c r="AV705">
        <v>150</v>
      </c>
      <c r="AW705">
        <f t="shared" si="4635"/>
        <v>122069.376</v>
      </c>
      <c r="AX705">
        <f t="shared" si="4764"/>
        <v>684000000</v>
      </c>
      <c r="AY705">
        <f t="shared" si="4636"/>
        <v>11400</v>
      </c>
      <c r="AZ705">
        <f t="shared" si="4637"/>
        <v>22800</v>
      </c>
      <c r="BA705">
        <f t="shared" si="4638"/>
        <v>136800</v>
      </c>
      <c r="BB705">
        <f t="shared" si="4639"/>
        <v>5700</v>
      </c>
      <c r="BC705">
        <f t="shared" si="4765"/>
        <v>684000000</v>
      </c>
      <c r="BD705">
        <f t="shared" si="4640"/>
        <v>0.29411764705882354</v>
      </c>
      <c r="BE705" s="27">
        <f t="shared" si="4766"/>
        <v>1391871600.0000002</v>
      </c>
      <c r="BF705" s="30">
        <f t="shared" si="4641"/>
        <v>0.48719999999999997</v>
      </c>
      <c r="BG705" s="27"/>
      <c r="BH705" s="27"/>
      <c r="BI705" s="27"/>
      <c r="CA705" s="20">
        <f t="shared" si="4642"/>
        <v>485</v>
      </c>
      <c r="CB705" s="20">
        <f t="shared" si="4643"/>
        <v>48500</v>
      </c>
    </row>
    <row r="706" spans="1:80" x14ac:dyDescent="0.15">
      <c r="A706">
        <v>7901</v>
      </c>
      <c r="B706" s="3" t="s">
        <v>108</v>
      </c>
      <c r="C706" s="4" t="s">
        <v>109</v>
      </c>
      <c r="D706" s="4" t="s">
        <v>110</v>
      </c>
      <c r="E706" s="5">
        <v>3</v>
      </c>
      <c r="F706" s="7" t="s">
        <v>141</v>
      </c>
      <c r="G706" s="5">
        <v>2.5</v>
      </c>
      <c r="H706" s="7" t="s">
        <v>194</v>
      </c>
      <c r="I706" s="5">
        <v>0</v>
      </c>
      <c r="J706" s="5">
        <v>0</v>
      </c>
      <c r="K706">
        <v>2</v>
      </c>
      <c r="L706">
        <v>1.5</v>
      </c>
      <c r="M706" s="5">
        <v>1.5</v>
      </c>
      <c r="N706" s="5">
        <v>10</v>
      </c>
      <c r="O706" s="5">
        <f t="shared" si="4623"/>
        <v>113257</v>
      </c>
      <c r="P706" s="5">
        <f t="shared" si="4624"/>
        <v>633600000</v>
      </c>
      <c r="Q706" s="5">
        <f t="shared" si="4625"/>
        <v>10560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70011</v>
      </c>
      <c r="X706" s="6" t="s">
        <v>179</v>
      </c>
      <c r="Y706" s="5">
        <v>300</v>
      </c>
      <c r="Z706" s="5">
        <v>1</v>
      </c>
      <c r="AA706" s="5">
        <v>312303600</v>
      </c>
      <c r="AB706" s="16" t="s">
        <v>111</v>
      </c>
      <c r="AC706" s="7" t="s">
        <v>112</v>
      </c>
      <c r="AD706" s="7" t="s">
        <v>112</v>
      </c>
      <c r="AE706" s="7" t="s">
        <v>112</v>
      </c>
      <c r="AF706" s="6" t="s">
        <v>113</v>
      </c>
      <c r="AG706" s="26" t="str">
        <f t="shared" ref="AG706" si="5068">CM$4</f>
        <v>4,33,28,33,6,4,33,28,33,6</v>
      </c>
      <c r="AH706" s="26" t="str">
        <f t="shared" ref="AH706" si="5069">CN$4</f>
        <v>0,8,0,8,1,0,8,0,8,1</v>
      </c>
      <c r="AI706" s="26" t="str">
        <f t="shared" ref="AI706" si="5070">CO$4</f>
        <v>0,0,0,0,1,0,0,0,0,1</v>
      </c>
      <c r="AJ706" s="26" t="str">
        <f t="shared" ref="AJ706" si="5071">CP$4</f>
        <v>0,0,0,0,5,0,0,0,0,5</v>
      </c>
      <c r="AK706" s="26" t="str">
        <f t="shared" ref="AK706" si="5072">CQ$4</f>
        <v>100,1,1000,2,5,200,1,1000,2,5</v>
      </c>
      <c r="AL706" s="26" t="str">
        <f t="shared" ref="AL706" si="5073">CR$4</f>
        <v>5,5,5,5,5,5,5,5,5,5</v>
      </c>
      <c r="AM706" s="7">
        <v>2001</v>
      </c>
      <c r="AO706">
        <f t="shared" ref="AO706" si="5074">AQ706*100+1</f>
        <v>7901</v>
      </c>
      <c r="AP706">
        <v>702</v>
      </c>
      <c r="AQ706">
        <f t="shared" si="4633"/>
        <v>79</v>
      </c>
      <c r="AR706">
        <v>12</v>
      </c>
      <c r="AS706" s="17">
        <f t="shared" si="4714"/>
        <v>430</v>
      </c>
      <c r="AT706">
        <v>11</v>
      </c>
      <c r="AU706">
        <f t="shared" si="4634"/>
        <v>34</v>
      </c>
      <c r="AV706">
        <v>150</v>
      </c>
      <c r="AW706">
        <f t="shared" si="4635"/>
        <v>113257.2672</v>
      </c>
      <c r="AX706">
        <f t="shared" si="4764"/>
        <v>633600000</v>
      </c>
      <c r="AY706">
        <f t="shared" si="4636"/>
        <v>10560</v>
      </c>
      <c r="AZ706">
        <f t="shared" si="4637"/>
        <v>21120</v>
      </c>
      <c r="BA706">
        <f t="shared" si="4638"/>
        <v>126720</v>
      </c>
      <c r="BB706">
        <f t="shared" si="4639"/>
        <v>5280</v>
      </c>
      <c r="BC706">
        <f t="shared" si="4765"/>
        <v>633600000</v>
      </c>
      <c r="BD706">
        <f t="shared" si="4640"/>
        <v>0.29411764705882354</v>
      </c>
      <c r="BE706" s="27">
        <f t="shared" si="4766"/>
        <v>1194310656.0000002</v>
      </c>
      <c r="BF706" s="30">
        <f t="shared" si="4641"/>
        <v>0.48959999999999998</v>
      </c>
      <c r="BG706" s="27"/>
      <c r="BH706" s="27"/>
      <c r="BI706" s="27"/>
      <c r="CA706" s="20">
        <f t="shared" si="4642"/>
        <v>490</v>
      </c>
      <c r="CB706" s="20">
        <f t="shared" si="4643"/>
        <v>49000</v>
      </c>
    </row>
    <row r="707" spans="1:80" x14ac:dyDescent="0.15">
      <c r="A707">
        <v>7902</v>
      </c>
      <c r="B707" s="3" t="s">
        <v>115</v>
      </c>
      <c r="C707" s="4" t="s">
        <v>109</v>
      </c>
      <c r="D707" s="6" t="s">
        <v>110</v>
      </c>
      <c r="E707" s="5">
        <v>3</v>
      </c>
      <c r="F707" s="7" t="s">
        <v>142</v>
      </c>
      <c r="G707" s="5">
        <v>3</v>
      </c>
      <c r="H707" s="7" t="s">
        <v>188</v>
      </c>
      <c r="I707" s="5">
        <v>0</v>
      </c>
      <c r="J707" s="5">
        <v>0</v>
      </c>
      <c r="K707">
        <v>2</v>
      </c>
      <c r="L707">
        <v>1.5</v>
      </c>
      <c r="M707" s="5">
        <v>1.5</v>
      </c>
      <c r="N707" s="5">
        <v>10</v>
      </c>
      <c r="O707" s="5">
        <f t="shared" si="4623"/>
        <v>114544</v>
      </c>
      <c r="P707" s="5">
        <f t="shared" si="4624"/>
        <v>640800000</v>
      </c>
      <c r="Q707" s="5">
        <f t="shared" si="4625"/>
        <v>10680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70021</v>
      </c>
      <c r="X707" s="6" t="s">
        <v>180</v>
      </c>
      <c r="Y707" s="5">
        <v>300</v>
      </c>
      <c r="Z707" s="5">
        <v>1</v>
      </c>
      <c r="AA707" s="5">
        <v>265612284</v>
      </c>
      <c r="AB707" s="16" t="s">
        <v>111</v>
      </c>
      <c r="AC707" s="7" t="s">
        <v>112</v>
      </c>
      <c r="AD707" s="7" t="s">
        <v>112</v>
      </c>
      <c r="AE707" s="7" t="s">
        <v>112</v>
      </c>
      <c r="AF707" s="6" t="s">
        <v>113</v>
      </c>
      <c r="AG707" s="26" t="str">
        <f t="shared" ref="AG707" si="5075">CM$5</f>
        <v>4,33,28,33,6,4,33,28,33,6</v>
      </c>
      <c r="AH707" s="26" t="str">
        <f t="shared" ref="AH707" si="5076">CN$5</f>
        <v>0,7,0,7,1,0,7,0,7,1</v>
      </c>
      <c r="AI707" s="26" t="str">
        <f t="shared" ref="AI707" si="5077">CO$5</f>
        <v>0,0,0,0,1,0,0,0,0,1</v>
      </c>
      <c r="AJ707" s="26" t="str">
        <f t="shared" ref="AJ707" si="5078">CP$5</f>
        <v>0,0,0,0,5,0,0,0,0,5</v>
      </c>
      <c r="AK707" s="26" t="str">
        <f t="shared" ref="AK707" si="5079">CQ$5</f>
        <v>100,1,1000,2,5,200,1,1000,2,5</v>
      </c>
      <c r="AL707" s="26" t="str">
        <f t="shared" ref="AL707" si="5080">CR$5</f>
        <v>5,5,5,5,5,5,5,5,5,5</v>
      </c>
      <c r="AM707" s="7">
        <v>2001</v>
      </c>
      <c r="AO707">
        <f t="shared" ref="AO707" si="5081">AQ707*100+2</f>
        <v>7902</v>
      </c>
      <c r="AP707">
        <v>703</v>
      </c>
      <c r="AQ707">
        <f t="shared" si="4633"/>
        <v>79</v>
      </c>
      <c r="AR707">
        <v>12</v>
      </c>
      <c r="AS707" s="17">
        <f t="shared" si="4714"/>
        <v>435</v>
      </c>
      <c r="AT707">
        <v>11</v>
      </c>
      <c r="AU707">
        <f t="shared" si="4634"/>
        <v>34</v>
      </c>
      <c r="AV707">
        <v>150</v>
      </c>
      <c r="AW707">
        <f t="shared" si="4635"/>
        <v>114544.2816</v>
      </c>
      <c r="AX707">
        <f t="shared" si="4764"/>
        <v>640800000</v>
      </c>
      <c r="AY707">
        <f t="shared" si="4636"/>
        <v>10680</v>
      </c>
      <c r="AZ707">
        <f t="shared" si="4637"/>
        <v>21360</v>
      </c>
      <c r="BA707">
        <f t="shared" si="4638"/>
        <v>128160</v>
      </c>
      <c r="BB707">
        <f t="shared" si="4639"/>
        <v>5340</v>
      </c>
      <c r="BC707">
        <f t="shared" si="4765"/>
        <v>640800000</v>
      </c>
      <c r="BD707">
        <f t="shared" si="4640"/>
        <v>0.29411764705882354</v>
      </c>
      <c r="BE707" s="27">
        <f t="shared" si="4766"/>
        <v>1221608304.0000002</v>
      </c>
      <c r="BF707" s="30">
        <f t="shared" si="4641"/>
        <v>0.48959999999999998</v>
      </c>
      <c r="BG707" s="27"/>
      <c r="BH707" s="27"/>
      <c r="BI707" s="27"/>
      <c r="CA707" s="20">
        <f t="shared" si="4642"/>
        <v>490</v>
      </c>
      <c r="CB707" s="20">
        <f t="shared" si="4643"/>
        <v>49000</v>
      </c>
    </row>
    <row r="708" spans="1:80" x14ac:dyDescent="0.15">
      <c r="A708">
        <v>7903</v>
      </c>
      <c r="B708" s="3" t="s">
        <v>117</v>
      </c>
      <c r="C708" s="4" t="s">
        <v>109</v>
      </c>
      <c r="D708" s="4" t="s">
        <v>110</v>
      </c>
      <c r="E708" s="5">
        <v>1</v>
      </c>
      <c r="F708" s="7" t="s">
        <v>144</v>
      </c>
      <c r="G708" s="5">
        <v>3</v>
      </c>
      <c r="H708" s="7" t="s">
        <v>189</v>
      </c>
      <c r="I708" s="5">
        <v>0</v>
      </c>
      <c r="J708" s="2">
        <v>0</v>
      </c>
      <c r="K708">
        <v>6</v>
      </c>
      <c r="L708">
        <v>1.5</v>
      </c>
      <c r="M708" s="5">
        <v>1.5</v>
      </c>
      <c r="N708" s="5">
        <v>10</v>
      </c>
      <c r="O708" s="5">
        <f t="shared" si="4623"/>
        <v>115831</v>
      </c>
      <c r="P708" s="5">
        <f t="shared" si="4624"/>
        <v>648000000</v>
      </c>
      <c r="Q708" s="5">
        <f t="shared" si="4625"/>
        <v>10800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70031</v>
      </c>
      <c r="X708" s="6" t="s">
        <v>181</v>
      </c>
      <c r="Y708" s="5">
        <v>300</v>
      </c>
      <c r="Z708" s="5">
        <v>1</v>
      </c>
      <c r="AA708" s="5">
        <v>272051136</v>
      </c>
      <c r="AB708" s="16" t="s">
        <v>111</v>
      </c>
      <c r="AC708" s="7" t="s">
        <v>112</v>
      </c>
      <c r="AD708" s="7" t="s">
        <v>112</v>
      </c>
      <c r="AE708" s="7" t="s">
        <v>112</v>
      </c>
      <c r="AF708" s="6" t="s">
        <v>113</v>
      </c>
      <c r="AG708" s="26" t="str">
        <f t="shared" ref="AG708" si="5082">CM$6</f>
        <v>4,28,6,28,6,4,28,6,28,6</v>
      </c>
      <c r="AH708" s="26" t="str">
        <f t="shared" ref="AH708" si="5083">CN$6</f>
        <v>0,0,1,0,1,0,0,1,0,1</v>
      </c>
      <c r="AI708" s="26" t="str">
        <f t="shared" ref="AI708" si="5084">CO$6</f>
        <v>0,0,0,0,1,0,0,0,0,1</v>
      </c>
      <c r="AJ708" s="26" t="str">
        <f t="shared" ref="AJ708" si="5085">CP$6</f>
        <v>0,0,5,0,5,0,0,5,0,5</v>
      </c>
      <c r="AK708" s="26" t="str">
        <f t="shared" ref="AK708" si="5086">CQ$6</f>
        <v>100,1000,5,1500,5,200,1000,5,1500,5</v>
      </c>
      <c r="AL708" s="26" t="str">
        <f t="shared" ref="AL708" si="5087">CR$6</f>
        <v>5,5,5,5,5,5,5,5,5,5</v>
      </c>
      <c r="AM708" s="7">
        <v>2001</v>
      </c>
      <c r="AO708">
        <f t="shared" ref="AO708" si="5088">AQ708*100+3</f>
        <v>7903</v>
      </c>
      <c r="AP708">
        <v>704</v>
      </c>
      <c r="AQ708">
        <f t="shared" si="4633"/>
        <v>79</v>
      </c>
      <c r="AR708">
        <v>12</v>
      </c>
      <c r="AS708" s="17">
        <f t="shared" si="4714"/>
        <v>440</v>
      </c>
      <c r="AT708">
        <v>11</v>
      </c>
      <c r="AU708">
        <f t="shared" si="4634"/>
        <v>34</v>
      </c>
      <c r="AV708">
        <v>150</v>
      </c>
      <c r="AW708">
        <f t="shared" si="4635"/>
        <v>115831.296</v>
      </c>
      <c r="AX708">
        <f t="shared" si="4764"/>
        <v>648000000</v>
      </c>
      <c r="AY708">
        <f t="shared" si="4636"/>
        <v>10800</v>
      </c>
      <c r="AZ708">
        <f t="shared" si="4637"/>
        <v>21600</v>
      </c>
      <c r="BA708">
        <f t="shared" si="4638"/>
        <v>129600</v>
      </c>
      <c r="BB708">
        <f t="shared" si="4639"/>
        <v>5400</v>
      </c>
      <c r="BC708">
        <f t="shared" si="4765"/>
        <v>648000000</v>
      </c>
      <c r="BD708">
        <f t="shared" si="4640"/>
        <v>0.29411764705882354</v>
      </c>
      <c r="BE708" s="27">
        <f t="shared" si="4766"/>
        <v>1249214400.0000002</v>
      </c>
      <c r="BF708" s="30">
        <f t="shared" si="4641"/>
        <v>0.48959999999999998</v>
      </c>
      <c r="BG708" s="27"/>
      <c r="BH708" s="27"/>
      <c r="BI708" s="27"/>
      <c r="CA708" s="20">
        <f t="shared" si="4642"/>
        <v>490</v>
      </c>
      <c r="CB708" s="20">
        <f t="shared" si="4643"/>
        <v>49000</v>
      </c>
    </row>
    <row r="709" spans="1:80" x14ac:dyDescent="0.15">
      <c r="A709">
        <v>7904</v>
      </c>
      <c r="B709" s="3" t="s">
        <v>119</v>
      </c>
      <c r="C709" s="4" t="s">
        <v>109</v>
      </c>
      <c r="D709" s="6" t="s">
        <v>120</v>
      </c>
      <c r="E709" s="5">
        <v>3</v>
      </c>
      <c r="F709" s="7" t="s">
        <v>145</v>
      </c>
      <c r="G709" s="5">
        <v>3</v>
      </c>
      <c r="H709" s="7" t="s">
        <v>190</v>
      </c>
      <c r="I709" s="5">
        <v>0</v>
      </c>
      <c r="J709" s="5">
        <v>0</v>
      </c>
      <c r="K709">
        <v>2</v>
      </c>
      <c r="L709">
        <v>1.5</v>
      </c>
      <c r="M709" s="5">
        <v>1.5</v>
      </c>
      <c r="N709" s="5">
        <v>10</v>
      </c>
      <c r="O709" s="5">
        <f t="shared" ref="O709:O772" si="5089">FLOOR(AW709,1)</f>
        <v>117118</v>
      </c>
      <c r="P709" s="5">
        <f t="shared" ref="P709:P772" si="5090">FLOOR(BC709,1)</f>
        <v>655200000</v>
      </c>
      <c r="Q709" s="5">
        <f t="shared" ref="Q709:Q772" si="5091">FLOOR(AY709,1)</f>
        <v>10920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70041</v>
      </c>
      <c r="X709" s="6" t="s">
        <v>182</v>
      </c>
      <c r="Y709" s="5">
        <v>300</v>
      </c>
      <c r="Z709" s="5">
        <v>1</v>
      </c>
      <c r="AA709" s="5">
        <v>278567100</v>
      </c>
      <c r="AB709" s="16" t="s">
        <v>111</v>
      </c>
      <c r="AC709" s="7" t="s">
        <v>112</v>
      </c>
      <c r="AD709" s="7" t="s">
        <v>112</v>
      </c>
      <c r="AE709" s="7" t="s">
        <v>112</v>
      </c>
      <c r="AF709" s="6" t="s">
        <v>113</v>
      </c>
      <c r="AG709" s="26" t="str">
        <f t="shared" ref="AG709" si="5092">CM$7</f>
        <v>4,14,28,14,6,4,14,28,14,6</v>
      </c>
      <c r="AH709" s="26" t="str">
        <f t="shared" ref="AH709" si="5093">CN$7</f>
        <v>0,0,0,0,1,0,0,0,0,1</v>
      </c>
      <c r="AI709" s="26" t="str">
        <f t="shared" ref="AI709" si="5094">CO$7</f>
        <v>0,0,0,0,1,0,0,0,0,1</v>
      </c>
      <c r="AJ709" s="26" t="str">
        <f t="shared" ref="AJ709" si="5095">CP$7</f>
        <v>0,0,0,0,5,0,0,0,0,5</v>
      </c>
      <c r="AK709" s="26" t="str">
        <f t="shared" ref="AK709" si="5096">CQ$7</f>
        <v>100,1,1000,2,5,200,1,1000,2,5</v>
      </c>
      <c r="AL709" s="26" t="str">
        <f t="shared" ref="AL709" si="5097">CR$7</f>
        <v>5,5,5,5,5,5,5,5,5,5</v>
      </c>
      <c r="AM709" s="7">
        <v>2001</v>
      </c>
      <c r="AO709">
        <f t="shared" ref="AO709" si="5098">AQ709*100+4</f>
        <v>7904</v>
      </c>
      <c r="AP709">
        <v>705</v>
      </c>
      <c r="AQ709">
        <f t="shared" ref="AQ709:AQ772" si="5099">FLOOR(AP709/9+1,1)</f>
        <v>79</v>
      </c>
      <c r="AR709">
        <v>12</v>
      </c>
      <c r="AS709" s="17">
        <f t="shared" si="4714"/>
        <v>445</v>
      </c>
      <c r="AT709">
        <v>11</v>
      </c>
      <c r="AU709">
        <f t="shared" ref="AU709:AU772" si="5100">20+FLOOR(AQ709/10,1)*2</f>
        <v>34</v>
      </c>
      <c r="AV709">
        <v>150</v>
      </c>
      <c r="AW709">
        <f t="shared" ref="AW709:AW772" si="5101">BA709*0.6*(1+BF709)</f>
        <v>117118.3104</v>
      </c>
      <c r="AX709">
        <f t="shared" si="4764"/>
        <v>655200000</v>
      </c>
      <c r="AY709">
        <f t="shared" ref="AY709:AY772" si="5102">BB709*2</f>
        <v>10920</v>
      </c>
      <c r="AZ709">
        <f t="shared" ref="AZ709:AZ772" si="5103">(INDEX($BO$2:$BO$15,MATCH($AR709,$BK$2:$BK$15,0))+INDEX($BP$2:$BP$15,MATCH($AR709,$BK$2:$BK$15,0))*$AS709)*(1+INDEX($BZ$2:$BZ$15,MATCH($AT709,$BX$2:$BX$15,0)))</f>
        <v>21840</v>
      </c>
      <c r="BA709">
        <f t="shared" ref="BA709:BA772" si="5104">INDEX($BQ$2:$BQ$15,MATCH($AR709,$BK$2:$BK$15,0))+INDEX($BR$2:$BR$15,MATCH($AR709,$BK$2:$BK$15,0))*$AS709</f>
        <v>131040</v>
      </c>
      <c r="BB709">
        <f t="shared" ref="BB709:BB772" si="5105">(INDEX($BS$2:$BS$15,MATCH($AR709,$BK$2:$BK$15,0))+INDEX($BT$2:$BT$15,MATCH($AR709,$BK$2:$BK$15,0))*$AS709)*(1+INDEX($BZ$2:$BZ$15,MATCH($AT709,$BX$2:$BX$15,0)))</f>
        <v>5460</v>
      </c>
      <c r="BC709">
        <f t="shared" si="4765"/>
        <v>655200000</v>
      </c>
      <c r="BD709">
        <f t="shared" ref="BD709:BD772" si="5106">1/(1+AZ709*3/(5*BB709))</f>
        <v>0.29411764705882354</v>
      </c>
      <c r="BE709" s="27">
        <f t="shared" si="4766"/>
        <v>1277128944.0000002</v>
      </c>
      <c r="BF709" s="30">
        <f t="shared" ref="BF709:BF772" si="5107">0.3+AQ709*0.0024</f>
        <v>0.48959999999999998</v>
      </c>
      <c r="BG709" s="27"/>
      <c r="BH709" s="27"/>
      <c r="BI709" s="27"/>
      <c r="CA709" s="20">
        <f t="shared" ref="CA709:CA772" si="5108">$CA$2+(AQ709-1)*5</f>
        <v>490</v>
      </c>
      <c r="CB709" s="20">
        <f t="shared" ref="CB709:CB772" si="5109">$CB$2+(AQ709-1)*500</f>
        <v>49000</v>
      </c>
    </row>
    <row r="710" spans="1:80" x14ac:dyDescent="0.15">
      <c r="A710">
        <v>7905</v>
      </c>
      <c r="B710" s="3" t="s">
        <v>122</v>
      </c>
      <c r="C710" s="4" t="s">
        <v>109</v>
      </c>
      <c r="D710" s="4" t="s">
        <v>110</v>
      </c>
      <c r="E710" s="5">
        <v>2</v>
      </c>
      <c r="F710" s="7" t="s">
        <v>146</v>
      </c>
      <c r="G710" s="5">
        <v>3</v>
      </c>
      <c r="H710" s="7" t="s">
        <v>191</v>
      </c>
      <c r="I710" s="5">
        <v>0</v>
      </c>
      <c r="J710" s="7" t="s">
        <v>148</v>
      </c>
      <c r="K710">
        <v>6</v>
      </c>
      <c r="L710">
        <v>1.5</v>
      </c>
      <c r="M710" s="5">
        <v>1.5</v>
      </c>
      <c r="N710" s="5">
        <v>10</v>
      </c>
      <c r="O710" s="5">
        <f t="shared" si="5089"/>
        <v>118405</v>
      </c>
      <c r="P710" s="5">
        <f t="shared" si="5090"/>
        <v>662400000</v>
      </c>
      <c r="Q710" s="5">
        <f t="shared" si="5091"/>
        <v>11040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70051</v>
      </c>
      <c r="X710" s="6" t="s">
        <v>183</v>
      </c>
      <c r="Y710" s="5">
        <v>300</v>
      </c>
      <c r="Z710" s="5">
        <v>1</v>
      </c>
      <c r="AA710" s="5">
        <v>285160176</v>
      </c>
      <c r="AB710" s="16" t="s">
        <v>111</v>
      </c>
      <c r="AC710" s="7" t="s">
        <v>112</v>
      </c>
      <c r="AD710" s="7" t="s">
        <v>112</v>
      </c>
      <c r="AE710" s="7" t="s">
        <v>112</v>
      </c>
      <c r="AF710" s="6" t="s">
        <v>113</v>
      </c>
      <c r="AG710" s="26" t="str">
        <f t="shared" ref="AG710" si="5110">CM$8</f>
        <v>4,19,28,19,6,4,19,28,19,6</v>
      </c>
      <c r="AH710" s="26" t="str">
        <f t="shared" ref="AH710" si="5111">CN$8</f>
        <v>0,0,0,0,1,0,0,0,0,1</v>
      </c>
      <c r="AI710" s="26" t="str">
        <f t="shared" ref="AI710" si="5112">CO$8</f>
        <v>0,0,0,0,1,0,0,0,0,1</v>
      </c>
      <c r="AJ710" s="26" t="str">
        <f t="shared" ref="AJ710" si="5113">CP$8</f>
        <v>0,0,0,0,5,0,0,0,0,5</v>
      </c>
      <c r="AK710" s="26" t="str">
        <f t="shared" ref="AK710" si="5114">CQ$8</f>
        <v>200,100,1000,200,5,200,100,1000,200,5</v>
      </c>
      <c r="AL710" s="26" t="str">
        <f t="shared" ref="AL710" si="5115">CR$8</f>
        <v>5,5,5,5,5,5,5,5,5,5</v>
      </c>
      <c r="AM710" s="7">
        <v>2001</v>
      </c>
      <c r="AO710">
        <f t="shared" ref="AO710" si="5116">AQ710*100+5</f>
        <v>7905</v>
      </c>
      <c r="AP710">
        <v>706</v>
      </c>
      <c r="AQ710">
        <f t="shared" si="5099"/>
        <v>79</v>
      </c>
      <c r="AR710">
        <v>12</v>
      </c>
      <c r="AS710" s="17">
        <f t="shared" si="4714"/>
        <v>450</v>
      </c>
      <c r="AT710">
        <v>11</v>
      </c>
      <c r="AU710">
        <f t="shared" si="5100"/>
        <v>34</v>
      </c>
      <c r="AV710">
        <v>150</v>
      </c>
      <c r="AW710">
        <f t="shared" si="5101"/>
        <v>118405.3248</v>
      </c>
      <c r="AX710">
        <f t="shared" si="4764"/>
        <v>662400000</v>
      </c>
      <c r="AY710">
        <f t="shared" si="5102"/>
        <v>11040</v>
      </c>
      <c r="AZ710">
        <f t="shared" si="5103"/>
        <v>22080</v>
      </c>
      <c r="BA710">
        <f t="shared" si="5104"/>
        <v>132480</v>
      </c>
      <c r="BB710">
        <f t="shared" si="5105"/>
        <v>5520</v>
      </c>
      <c r="BC710">
        <f t="shared" si="4765"/>
        <v>662400000</v>
      </c>
      <c r="BD710">
        <f t="shared" si="5106"/>
        <v>0.29411764705882354</v>
      </c>
      <c r="BE710" s="27">
        <f t="shared" si="4766"/>
        <v>1305351936.0000002</v>
      </c>
      <c r="BF710" s="30">
        <f t="shared" si="5107"/>
        <v>0.48959999999999998</v>
      </c>
      <c r="BG710" s="27"/>
      <c r="BH710" s="27"/>
      <c r="BI710" s="27"/>
      <c r="CA710" s="20">
        <f t="shared" si="5108"/>
        <v>490</v>
      </c>
      <c r="CB710" s="20">
        <f t="shared" si="5109"/>
        <v>49000</v>
      </c>
    </row>
    <row r="711" spans="1:80" x14ac:dyDescent="0.15">
      <c r="A711">
        <v>7906</v>
      </c>
      <c r="B711" s="3" t="s">
        <v>124</v>
      </c>
      <c r="C711" s="4" t="s">
        <v>109</v>
      </c>
      <c r="D711" s="6" t="s">
        <v>120</v>
      </c>
      <c r="E711" s="5">
        <v>1</v>
      </c>
      <c r="F711" s="7" t="s">
        <v>147</v>
      </c>
      <c r="G711" s="5">
        <v>3</v>
      </c>
      <c r="H711" s="7" t="s">
        <v>192</v>
      </c>
      <c r="I711" s="5">
        <v>0</v>
      </c>
      <c r="J711" s="7" t="s">
        <v>149</v>
      </c>
      <c r="K711">
        <v>6</v>
      </c>
      <c r="L711">
        <v>1.5</v>
      </c>
      <c r="M711" s="5">
        <v>1.5</v>
      </c>
      <c r="N711" s="5">
        <v>10</v>
      </c>
      <c r="O711" s="5">
        <f t="shared" si="5089"/>
        <v>119692</v>
      </c>
      <c r="P711" s="5">
        <f t="shared" si="5090"/>
        <v>669600000</v>
      </c>
      <c r="Q711" s="5">
        <f t="shared" si="5091"/>
        <v>11160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70061</v>
      </c>
      <c r="X711" s="6" t="s">
        <v>184</v>
      </c>
      <c r="Y711" s="5">
        <v>300</v>
      </c>
      <c r="Z711" s="5">
        <v>1</v>
      </c>
      <c r="AA711" s="5">
        <v>291830364</v>
      </c>
      <c r="AB711" s="16" t="s">
        <v>111</v>
      </c>
      <c r="AC711" s="7" t="s">
        <v>112</v>
      </c>
      <c r="AD711" s="7" t="s">
        <v>112</v>
      </c>
      <c r="AE711" s="7" t="s">
        <v>112</v>
      </c>
      <c r="AF711" s="6" t="s">
        <v>113</v>
      </c>
      <c r="AG711" s="26" t="str">
        <f t="shared" ref="AG711" si="5117">CM$9</f>
        <v>4,33,28,33,6,4,33,28,33,6</v>
      </c>
      <c r="AH711" s="26" t="str">
        <f t="shared" ref="AH711" si="5118">CN$9</f>
        <v>0,6,0,6,1,0,6,0,6,1</v>
      </c>
      <c r="AI711" s="26" t="str">
        <f t="shared" ref="AI711" si="5119">CO$9</f>
        <v>0,0,0,0,1,0,0,0,0,1</v>
      </c>
      <c r="AJ711" s="26" t="str">
        <f t="shared" ref="AJ711" si="5120">CP$9</f>
        <v>0,0,0,0,5,0,0,0,0,5</v>
      </c>
      <c r="AK711" s="26" t="str">
        <f t="shared" ref="AK711" si="5121">CQ$9</f>
        <v>200,1,1000,2,5,200,1,1000,2,5</v>
      </c>
      <c r="AL711" s="26" t="str">
        <f t="shared" ref="AL711" si="5122">CR$9</f>
        <v>5,5,5,5,5,5,5,5,5,5</v>
      </c>
      <c r="AM711" s="7">
        <v>2001</v>
      </c>
      <c r="AO711">
        <f t="shared" ref="AO711" si="5123">AQ711*100+6</f>
        <v>7906</v>
      </c>
      <c r="AP711">
        <v>707</v>
      </c>
      <c r="AQ711">
        <f t="shared" si="5099"/>
        <v>79</v>
      </c>
      <c r="AR711">
        <v>12</v>
      </c>
      <c r="AS711" s="17">
        <f t="shared" si="4714"/>
        <v>455</v>
      </c>
      <c r="AT711">
        <v>11</v>
      </c>
      <c r="AU711">
        <f t="shared" si="5100"/>
        <v>34</v>
      </c>
      <c r="AV711">
        <v>150</v>
      </c>
      <c r="AW711">
        <f t="shared" si="5101"/>
        <v>119692.3392</v>
      </c>
      <c r="AX711">
        <f t="shared" si="4764"/>
        <v>669600000</v>
      </c>
      <c r="AY711">
        <f t="shared" si="5102"/>
        <v>11160</v>
      </c>
      <c r="AZ711">
        <f t="shared" si="5103"/>
        <v>22320</v>
      </c>
      <c r="BA711">
        <f t="shared" si="5104"/>
        <v>133920</v>
      </c>
      <c r="BB711">
        <f t="shared" si="5105"/>
        <v>5580</v>
      </c>
      <c r="BC711">
        <f t="shared" si="4765"/>
        <v>669600000</v>
      </c>
      <c r="BD711">
        <f t="shared" si="5106"/>
        <v>0.29411764705882354</v>
      </c>
      <c r="BE711" s="27">
        <f t="shared" si="4766"/>
        <v>1333883376.0000002</v>
      </c>
      <c r="BF711" s="30">
        <f t="shared" si="5107"/>
        <v>0.48959999999999998</v>
      </c>
      <c r="BG711" s="27"/>
      <c r="BH711" s="27"/>
      <c r="BI711" s="27"/>
      <c r="CA711" s="20">
        <f t="shared" si="5108"/>
        <v>490</v>
      </c>
      <c r="CB711" s="20">
        <f t="shared" si="5109"/>
        <v>49000</v>
      </c>
    </row>
    <row r="712" spans="1:80" x14ac:dyDescent="0.15">
      <c r="A712">
        <v>7907</v>
      </c>
      <c r="B712" s="3" t="s">
        <v>126</v>
      </c>
      <c r="C712" s="4" t="s">
        <v>109</v>
      </c>
      <c r="D712" s="4" t="s">
        <v>110</v>
      </c>
      <c r="E712" s="5">
        <v>2</v>
      </c>
      <c r="F712" s="7" t="s">
        <v>143</v>
      </c>
      <c r="G712" s="5">
        <v>3</v>
      </c>
      <c r="H712" s="7" t="s">
        <v>193</v>
      </c>
      <c r="I712" s="5">
        <v>0</v>
      </c>
      <c r="J712" s="5">
        <v>0</v>
      </c>
      <c r="K712">
        <v>2</v>
      </c>
      <c r="L712">
        <v>1.5</v>
      </c>
      <c r="M712" s="5">
        <v>1.5</v>
      </c>
      <c r="N712" s="5">
        <v>10</v>
      </c>
      <c r="O712" s="5">
        <f t="shared" si="5089"/>
        <v>120979</v>
      </c>
      <c r="P712" s="5">
        <f t="shared" si="5090"/>
        <v>676800000</v>
      </c>
      <c r="Q712" s="5">
        <f t="shared" si="5091"/>
        <v>11280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70071</v>
      </c>
      <c r="X712" s="6" t="s">
        <v>185</v>
      </c>
      <c r="Y712" s="5">
        <v>300</v>
      </c>
      <c r="Z712" s="5">
        <v>1</v>
      </c>
      <c r="AA712" s="5">
        <v>298577664</v>
      </c>
      <c r="AB712" s="16" t="s">
        <v>111</v>
      </c>
      <c r="AC712" s="7" t="s">
        <v>112</v>
      </c>
      <c r="AD712" s="7" t="s">
        <v>112</v>
      </c>
      <c r="AE712" s="7" t="s">
        <v>112</v>
      </c>
      <c r="AF712" s="6" t="s">
        <v>113</v>
      </c>
      <c r="AG712" s="26" t="str">
        <f t="shared" ref="AG712" si="5124">CM$10</f>
        <v>4,14,28,14,6,4,14,28,14,6</v>
      </c>
      <c r="AH712" s="26" t="str">
        <f t="shared" ref="AH712" si="5125">CN$10</f>
        <v>0,0,0,0,1,0,0,0,0,1</v>
      </c>
      <c r="AI712" s="26" t="str">
        <f t="shared" ref="AI712" si="5126">CO$10</f>
        <v>0,0,0,0,1,0,0,0,0,1</v>
      </c>
      <c r="AJ712" s="26" t="str">
        <f t="shared" ref="AJ712" si="5127">CP$10</f>
        <v>0,0,0,0,5,0,0,0,0,5</v>
      </c>
      <c r="AK712" s="26" t="str">
        <f t="shared" ref="AK712" si="5128">CQ$10</f>
        <v>200,1,1000,2,5,200,1,1000,2,5</v>
      </c>
      <c r="AL712" s="26" t="str">
        <f t="shared" ref="AL712" si="5129">CR$10</f>
        <v>5,5,5,5,5,5,5,5,5,5</v>
      </c>
      <c r="AM712" s="7">
        <v>2001</v>
      </c>
      <c r="AO712">
        <f t="shared" ref="AO712" si="5130">AQ712*100+7</f>
        <v>7907</v>
      </c>
      <c r="AP712">
        <v>708</v>
      </c>
      <c r="AQ712">
        <f t="shared" si="5099"/>
        <v>79</v>
      </c>
      <c r="AR712">
        <v>12</v>
      </c>
      <c r="AS712" s="17">
        <f t="shared" si="4714"/>
        <v>460</v>
      </c>
      <c r="AT712">
        <v>11</v>
      </c>
      <c r="AU712">
        <f t="shared" si="5100"/>
        <v>34</v>
      </c>
      <c r="AV712">
        <v>150</v>
      </c>
      <c r="AW712">
        <f t="shared" si="5101"/>
        <v>120979.3536</v>
      </c>
      <c r="AX712">
        <f t="shared" si="4764"/>
        <v>676800000</v>
      </c>
      <c r="AY712">
        <f t="shared" si="5102"/>
        <v>11280</v>
      </c>
      <c r="AZ712">
        <f t="shared" si="5103"/>
        <v>22560</v>
      </c>
      <c r="BA712">
        <f t="shared" si="5104"/>
        <v>135360</v>
      </c>
      <c r="BB712">
        <f t="shared" si="5105"/>
        <v>5640</v>
      </c>
      <c r="BC712">
        <f t="shared" si="4765"/>
        <v>676800000</v>
      </c>
      <c r="BD712">
        <f t="shared" si="5106"/>
        <v>0.29411764705882354</v>
      </c>
      <c r="BE712" s="27">
        <f t="shared" si="4766"/>
        <v>1362723264.0000002</v>
      </c>
      <c r="BF712" s="30">
        <f t="shared" si="5107"/>
        <v>0.48959999999999998</v>
      </c>
      <c r="BG712" s="27"/>
      <c r="BH712" s="27"/>
      <c r="BI712" s="27"/>
      <c r="CA712" s="20">
        <f t="shared" si="5108"/>
        <v>490</v>
      </c>
      <c r="CB712" s="20">
        <f t="shared" si="5109"/>
        <v>49000</v>
      </c>
    </row>
    <row r="713" spans="1:80" x14ac:dyDescent="0.15">
      <c r="A713">
        <v>7908</v>
      </c>
      <c r="B713" s="3" t="s">
        <v>128</v>
      </c>
      <c r="C713" s="4" t="s">
        <v>109</v>
      </c>
      <c r="D713" s="4" t="s">
        <v>110</v>
      </c>
      <c r="E713" s="5">
        <v>5</v>
      </c>
      <c r="F713" s="7" t="s">
        <v>129</v>
      </c>
      <c r="G713" s="5">
        <v>2</v>
      </c>
      <c r="H713" s="7" t="s">
        <v>130</v>
      </c>
      <c r="I713" s="5">
        <v>0</v>
      </c>
      <c r="J713" s="5">
        <v>0</v>
      </c>
      <c r="K713">
        <v>2</v>
      </c>
      <c r="L713">
        <v>1.5</v>
      </c>
      <c r="M713" s="5">
        <v>1.5</v>
      </c>
      <c r="N713" s="5">
        <v>10</v>
      </c>
      <c r="O713" s="5">
        <f t="shared" si="5089"/>
        <v>122266</v>
      </c>
      <c r="P713" s="5">
        <f t="shared" si="5090"/>
        <v>684000000</v>
      </c>
      <c r="Q713" s="5">
        <f t="shared" si="5091"/>
        <v>11400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70081</v>
      </c>
      <c r="X713" s="6" t="s">
        <v>186</v>
      </c>
      <c r="Y713" s="5">
        <v>300</v>
      </c>
      <c r="Z713" s="5">
        <v>1</v>
      </c>
      <c r="AA713" s="5">
        <v>305402076</v>
      </c>
      <c r="AB713" s="16" t="s">
        <v>111</v>
      </c>
      <c r="AC713" s="7" t="s">
        <v>112</v>
      </c>
      <c r="AD713" s="7" t="s">
        <v>112</v>
      </c>
      <c r="AE713" s="7" t="s">
        <v>112</v>
      </c>
      <c r="AF713" s="6" t="s">
        <v>113</v>
      </c>
      <c r="AG713" s="26" t="str">
        <f t="shared" ref="AG713" si="5131">CM$11</f>
        <v>4,28,6,28,6,4,28,6,28,6</v>
      </c>
      <c r="AH713" s="26" t="str">
        <f t="shared" ref="AH713" si="5132">CN$11</f>
        <v>0,0,1,0,1,0,0,1,0,1</v>
      </c>
      <c r="AI713" s="26" t="str">
        <f t="shared" ref="AI713" si="5133">CO$11</f>
        <v>0,0,1,0,1,0,0,1,0,1</v>
      </c>
      <c r="AJ713" s="26" t="str">
        <f t="shared" ref="AJ713" si="5134">CP$11</f>
        <v>0,0,5,0,5,0,0,5,0,5</v>
      </c>
      <c r="AK713" s="26" t="str">
        <f t="shared" ref="AK713" si="5135">CQ$11</f>
        <v>100,1000,5,1500,5,200,1000,5,1500,5</v>
      </c>
      <c r="AL713" s="26" t="str">
        <f t="shared" ref="AL713" si="5136">CR$11</f>
        <v>5,5,5,5,5,5,5,5,5,5</v>
      </c>
      <c r="AM713" s="7">
        <v>2001</v>
      </c>
      <c r="AO713">
        <f t="shared" ref="AO713" si="5137">AQ713*100+8</f>
        <v>7908</v>
      </c>
      <c r="AP713">
        <v>709</v>
      </c>
      <c r="AQ713">
        <f t="shared" si="5099"/>
        <v>79</v>
      </c>
      <c r="AR713">
        <v>12</v>
      </c>
      <c r="AS713" s="17">
        <f t="shared" si="4714"/>
        <v>465</v>
      </c>
      <c r="AT713">
        <v>11</v>
      </c>
      <c r="AU713">
        <f t="shared" si="5100"/>
        <v>34</v>
      </c>
      <c r="AV713">
        <v>150</v>
      </c>
      <c r="AW713">
        <f t="shared" si="5101"/>
        <v>122266.368</v>
      </c>
      <c r="AX713">
        <f t="shared" si="4764"/>
        <v>684000000</v>
      </c>
      <c r="AY713">
        <f t="shared" si="5102"/>
        <v>11400</v>
      </c>
      <c r="AZ713">
        <f t="shared" si="5103"/>
        <v>22800</v>
      </c>
      <c r="BA713">
        <f t="shared" si="5104"/>
        <v>136800</v>
      </c>
      <c r="BB713">
        <f t="shared" si="5105"/>
        <v>5700</v>
      </c>
      <c r="BC713">
        <f t="shared" si="4765"/>
        <v>684000000</v>
      </c>
      <c r="BD713">
        <f t="shared" si="5106"/>
        <v>0.29411764705882354</v>
      </c>
      <c r="BE713" s="27">
        <f t="shared" si="4766"/>
        <v>1391871600.0000002</v>
      </c>
      <c r="BF713" s="30">
        <f t="shared" si="5107"/>
        <v>0.48959999999999998</v>
      </c>
      <c r="BG713" s="27"/>
      <c r="BH713" s="27"/>
      <c r="BI713" s="27"/>
      <c r="CA713" s="20">
        <f t="shared" si="5108"/>
        <v>490</v>
      </c>
      <c r="CB713" s="20">
        <f t="shared" si="5109"/>
        <v>49000</v>
      </c>
    </row>
    <row r="714" spans="1:80" x14ac:dyDescent="0.15">
      <c r="A714">
        <v>7909</v>
      </c>
      <c r="B714" s="3" t="s">
        <v>132</v>
      </c>
      <c r="C714" s="4" t="s">
        <v>109</v>
      </c>
      <c r="D714" s="4" t="s">
        <v>110</v>
      </c>
      <c r="E714" s="5">
        <v>5</v>
      </c>
      <c r="F714" s="7" t="s">
        <v>140</v>
      </c>
      <c r="G714" s="5">
        <v>3</v>
      </c>
      <c r="H714" s="7" t="s">
        <v>140</v>
      </c>
      <c r="I714" s="5">
        <v>0</v>
      </c>
      <c r="J714" s="7">
        <v>0</v>
      </c>
      <c r="K714">
        <v>6</v>
      </c>
      <c r="L714">
        <v>1.5</v>
      </c>
      <c r="M714" s="5">
        <v>1.5</v>
      </c>
      <c r="N714" s="5">
        <v>10</v>
      </c>
      <c r="O714" s="5">
        <f t="shared" si="5089"/>
        <v>123553</v>
      </c>
      <c r="P714" s="5">
        <f t="shared" si="5090"/>
        <v>691200000</v>
      </c>
      <c r="Q714" s="5">
        <f t="shared" si="5091"/>
        <v>11520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70091</v>
      </c>
      <c r="X714" s="6" t="s">
        <v>187</v>
      </c>
      <c r="Y714" s="5">
        <v>300</v>
      </c>
      <c r="Z714" s="5">
        <v>1</v>
      </c>
      <c r="AA714" s="5">
        <v>312303600</v>
      </c>
      <c r="AB714" s="16" t="s">
        <v>111</v>
      </c>
      <c r="AC714" s="7" t="s">
        <v>112</v>
      </c>
      <c r="AD714" s="7" t="s">
        <v>112</v>
      </c>
      <c r="AE714" s="7" t="s">
        <v>112</v>
      </c>
      <c r="AF714" s="6" t="s">
        <v>113</v>
      </c>
      <c r="AG714" s="26" t="str">
        <f t="shared" ref="AG714" si="5138">CM$12</f>
        <v>4,33,28,33,6,4,33,28,33,6</v>
      </c>
      <c r="AH714" s="26" t="str">
        <f t="shared" ref="AH714" si="5139">CN$12</f>
        <v>0,5,0,5,1,0,5,0,5,1</v>
      </c>
      <c r="AI714" s="26" t="str">
        <f t="shared" ref="AI714" si="5140">CO$12</f>
        <v>0,0,0,0,1,0,0,0,0,1</v>
      </c>
      <c r="AJ714" s="26" t="str">
        <f t="shared" ref="AJ714" si="5141">CP$12</f>
        <v>0,0,0,0,5,0,0,0,0,5</v>
      </c>
      <c r="AK714" s="26" t="str">
        <f t="shared" ref="AK714" si="5142">CQ$12</f>
        <v>100,1,1000,2,5,200,1,1000,2,5</v>
      </c>
      <c r="AL714" s="26" t="str">
        <f t="shared" ref="AL714" si="5143">CR$12</f>
        <v>5,5,5,5,5,5,5,5,5,5</v>
      </c>
      <c r="AM714" s="7">
        <v>2001</v>
      </c>
      <c r="AO714">
        <f t="shared" ref="AO714" si="5144">AQ714*100+9</f>
        <v>7909</v>
      </c>
      <c r="AP714">
        <v>710</v>
      </c>
      <c r="AQ714">
        <f t="shared" si="5099"/>
        <v>79</v>
      </c>
      <c r="AR714">
        <v>12</v>
      </c>
      <c r="AS714" s="17">
        <f t="shared" si="4714"/>
        <v>470</v>
      </c>
      <c r="AT714">
        <v>11</v>
      </c>
      <c r="AU714">
        <f t="shared" si="5100"/>
        <v>34</v>
      </c>
      <c r="AV714">
        <v>150</v>
      </c>
      <c r="AW714">
        <f t="shared" si="5101"/>
        <v>123553.3824</v>
      </c>
      <c r="AX714">
        <f t="shared" si="4764"/>
        <v>691200000</v>
      </c>
      <c r="AY714">
        <f t="shared" si="5102"/>
        <v>11520</v>
      </c>
      <c r="AZ714">
        <f t="shared" si="5103"/>
        <v>23040</v>
      </c>
      <c r="BA714">
        <f t="shared" si="5104"/>
        <v>138240</v>
      </c>
      <c r="BB714">
        <f t="shared" si="5105"/>
        <v>5760</v>
      </c>
      <c r="BC714">
        <f t="shared" si="4765"/>
        <v>691200000</v>
      </c>
      <c r="BD714">
        <f t="shared" si="5106"/>
        <v>0.29411764705882354</v>
      </c>
      <c r="BE714" s="27">
        <f t="shared" si="4766"/>
        <v>1421328384.0000002</v>
      </c>
      <c r="BF714" s="30">
        <f t="shared" si="5107"/>
        <v>0.48959999999999998</v>
      </c>
      <c r="BG714" s="27"/>
      <c r="BH714" s="27"/>
      <c r="BI714" s="27"/>
      <c r="CA714" s="20">
        <f t="shared" si="5108"/>
        <v>490</v>
      </c>
      <c r="CB714" s="20">
        <f t="shared" si="5109"/>
        <v>49000</v>
      </c>
    </row>
    <row r="715" spans="1:80" x14ac:dyDescent="0.15">
      <c r="A715">
        <v>8001</v>
      </c>
      <c r="B715" s="3" t="s">
        <v>108</v>
      </c>
      <c r="C715" s="4" t="s">
        <v>109</v>
      </c>
      <c r="D715" s="4" t="s">
        <v>110</v>
      </c>
      <c r="E715" s="5">
        <v>3</v>
      </c>
      <c r="F715" s="7" t="s">
        <v>141</v>
      </c>
      <c r="G715" s="5">
        <v>2.5</v>
      </c>
      <c r="H715" s="7" t="s">
        <v>194</v>
      </c>
      <c r="I715" s="5">
        <v>0</v>
      </c>
      <c r="J715" s="5">
        <v>0</v>
      </c>
      <c r="K715">
        <v>2</v>
      </c>
      <c r="L715">
        <v>1.5</v>
      </c>
      <c r="M715" s="5">
        <v>1.5</v>
      </c>
      <c r="N715" s="5">
        <v>10</v>
      </c>
      <c r="O715" s="5">
        <f t="shared" si="5089"/>
        <v>114728</v>
      </c>
      <c r="P715" s="5">
        <f t="shared" si="5090"/>
        <v>640800000</v>
      </c>
      <c r="Q715" s="5">
        <f t="shared" si="5091"/>
        <v>10680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70011</v>
      </c>
      <c r="X715" s="6" t="s">
        <v>179</v>
      </c>
      <c r="Y715" s="5">
        <v>300</v>
      </c>
      <c r="Z715" s="5">
        <v>1</v>
      </c>
      <c r="AA715" s="5">
        <v>319282236</v>
      </c>
      <c r="AB715" s="16" t="s">
        <v>111</v>
      </c>
      <c r="AC715" s="7" t="s">
        <v>112</v>
      </c>
      <c r="AD715" s="7" t="s">
        <v>112</v>
      </c>
      <c r="AE715" s="7" t="s">
        <v>112</v>
      </c>
      <c r="AF715" s="6" t="s">
        <v>113</v>
      </c>
      <c r="AG715" s="26" t="str">
        <f t="shared" ref="AG715" si="5145">CM$4</f>
        <v>4,33,28,33,6,4,33,28,33,6</v>
      </c>
      <c r="AH715" s="26" t="str">
        <f t="shared" ref="AH715" si="5146">CN$4</f>
        <v>0,8,0,8,1,0,8,0,8,1</v>
      </c>
      <c r="AI715" s="26" t="str">
        <f t="shared" ref="AI715" si="5147">CO$4</f>
        <v>0,0,0,0,1,0,0,0,0,1</v>
      </c>
      <c r="AJ715" s="26" t="str">
        <f t="shared" ref="AJ715" si="5148">CP$4</f>
        <v>0,0,0,0,5,0,0,0,0,5</v>
      </c>
      <c r="AK715" s="26" t="str">
        <f t="shared" ref="AK715" si="5149">CQ$4</f>
        <v>100,1,1000,2,5,200,1,1000,2,5</v>
      </c>
      <c r="AL715" s="26" t="str">
        <f t="shared" ref="AL715" si="5150">CR$4</f>
        <v>5,5,5,5,5,5,5,5,5,5</v>
      </c>
      <c r="AM715" s="7">
        <v>2001</v>
      </c>
      <c r="AO715">
        <f t="shared" ref="AO715" si="5151">AQ715*100+1</f>
        <v>8001</v>
      </c>
      <c r="AP715">
        <v>711</v>
      </c>
      <c r="AQ715">
        <f t="shared" si="5099"/>
        <v>80</v>
      </c>
      <c r="AR715">
        <v>12</v>
      </c>
      <c r="AS715" s="17">
        <f t="shared" si="4714"/>
        <v>435</v>
      </c>
      <c r="AT715">
        <v>11</v>
      </c>
      <c r="AU715">
        <f t="shared" si="5100"/>
        <v>36</v>
      </c>
      <c r="AV715">
        <v>150</v>
      </c>
      <c r="AW715">
        <f t="shared" si="5101"/>
        <v>114728.83199999999</v>
      </c>
      <c r="AX715">
        <f t="shared" si="4764"/>
        <v>640800000</v>
      </c>
      <c r="AY715">
        <f t="shared" si="5102"/>
        <v>10680</v>
      </c>
      <c r="AZ715">
        <f t="shared" si="5103"/>
        <v>21360</v>
      </c>
      <c r="BA715">
        <f t="shared" si="5104"/>
        <v>128160</v>
      </c>
      <c r="BB715">
        <f t="shared" si="5105"/>
        <v>5340</v>
      </c>
      <c r="BC715">
        <f t="shared" si="4765"/>
        <v>640800000</v>
      </c>
      <c r="BD715">
        <f t="shared" si="5106"/>
        <v>0.29411764705882354</v>
      </c>
      <c r="BE715" s="27">
        <f t="shared" si="4766"/>
        <v>1221608304.0000002</v>
      </c>
      <c r="BF715" s="30">
        <f t="shared" si="5107"/>
        <v>0.49199999999999999</v>
      </c>
      <c r="BG715" s="27"/>
      <c r="BH715" s="27"/>
      <c r="BI715" s="27"/>
      <c r="CA715" s="20">
        <f t="shared" si="5108"/>
        <v>495</v>
      </c>
      <c r="CB715" s="20">
        <f t="shared" si="5109"/>
        <v>49500</v>
      </c>
    </row>
    <row r="716" spans="1:80" x14ac:dyDescent="0.15">
      <c r="A716">
        <v>8002</v>
      </c>
      <c r="B716" s="3" t="s">
        <v>115</v>
      </c>
      <c r="C716" s="4" t="s">
        <v>109</v>
      </c>
      <c r="D716" s="6" t="s">
        <v>110</v>
      </c>
      <c r="E716" s="5">
        <v>3</v>
      </c>
      <c r="F716" s="7" t="s">
        <v>142</v>
      </c>
      <c r="G716" s="5">
        <v>3</v>
      </c>
      <c r="H716" s="7" t="s">
        <v>188</v>
      </c>
      <c r="I716" s="5">
        <v>0</v>
      </c>
      <c r="J716" s="5">
        <v>0</v>
      </c>
      <c r="K716">
        <v>2</v>
      </c>
      <c r="L716">
        <v>1.5</v>
      </c>
      <c r="M716" s="5">
        <v>1.5</v>
      </c>
      <c r="N716" s="5">
        <v>10</v>
      </c>
      <c r="O716" s="5">
        <f t="shared" si="5089"/>
        <v>116017</v>
      </c>
      <c r="P716" s="5">
        <f t="shared" si="5090"/>
        <v>648000000</v>
      </c>
      <c r="Q716" s="5">
        <f t="shared" si="5091"/>
        <v>10800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70021</v>
      </c>
      <c r="X716" s="6" t="s">
        <v>180</v>
      </c>
      <c r="Y716" s="5">
        <v>300</v>
      </c>
      <c r="Z716" s="5">
        <v>1</v>
      </c>
      <c r="AA716" s="5">
        <v>272051136</v>
      </c>
      <c r="AB716" s="16" t="s">
        <v>111</v>
      </c>
      <c r="AC716" s="7" t="s">
        <v>112</v>
      </c>
      <c r="AD716" s="7" t="s">
        <v>112</v>
      </c>
      <c r="AE716" s="7" t="s">
        <v>112</v>
      </c>
      <c r="AF716" s="6" t="s">
        <v>113</v>
      </c>
      <c r="AG716" s="26" t="str">
        <f t="shared" ref="AG716" si="5152">CM$5</f>
        <v>4,33,28,33,6,4,33,28,33,6</v>
      </c>
      <c r="AH716" s="26" t="str">
        <f t="shared" ref="AH716" si="5153">CN$5</f>
        <v>0,7,0,7,1,0,7,0,7,1</v>
      </c>
      <c r="AI716" s="26" t="str">
        <f t="shared" ref="AI716" si="5154">CO$5</f>
        <v>0,0,0,0,1,0,0,0,0,1</v>
      </c>
      <c r="AJ716" s="26" t="str">
        <f t="shared" ref="AJ716" si="5155">CP$5</f>
        <v>0,0,0,0,5,0,0,0,0,5</v>
      </c>
      <c r="AK716" s="26" t="str">
        <f t="shared" ref="AK716" si="5156">CQ$5</f>
        <v>100,1,1000,2,5,200,1,1000,2,5</v>
      </c>
      <c r="AL716" s="26" t="str">
        <f t="shared" ref="AL716" si="5157">CR$5</f>
        <v>5,5,5,5,5,5,5,5,5,5</v>
      </c>
      <c r="AM716" s="7">
        <v>2001</v>
      </c>
      <c r="AO716">
        <f t="shared" ref="AO716" si="5158">AQ716*100+2</f>
        <v>8002</v>
      </c>
      <c r="AP716">
        <v>712</v>
      </c>
      <c r="AQ716">
        <f t="shared" si="5099"/>
        <v>80</v>
      </c>
      <c r="AR716">
        <v>12</v>
      </c>
      <c r="AS716" s="17">
        <f t="shared" si="4714"/>
        <v>440</v>
      </c>
      <c r="AT716">
        <v>11</v>
      </c>
      <c r="AU716">
        <f t="shared" si="5100"/>
        <v>36</v>
      </c>
      <c r="AV716">
        <v>150</v>
      </c>
      <c r="AW716">
        <f t="shared" si="5101"/>
        <v>116017.92</v>
      </c>
      <c r="AX716">
        <f t="shared" si="4764"/>
        <v>648000000</v>
      </c>
      <c r="AY716">
        <f t="shared" si="5102"/>
        <v>10800</v>
      </c>
      <c r="AZ716">
        <f t="shared" si="5103"/>
        <v>21600</v>
      </c>
      <c r="BA716">
        <f t="shared" si="5104"/>
        <v>129600</v>
      </c>
      <c r="BB716">
        <f t="shared" si="5105"/>
        <v>5400</v>
      </c>
      <c r="BC716">
        <f t="shared" si="4765"/>
        <v>648000000</v>
      </c>
      <c r="BD716">
        <f t="shared" si="5106"/>
        <v>0.29411764705882354</v>
      </c>
      <c r="BE716" s="27">
        <f t="shared" si="4766"/>
        <v>1249214400.0000002</v>
      </c>
      <c r="BF716" s="30">
        <f t="shared" si="5107"/>
        <v>0.49199999999999999</v>
      </c>
      <c r="BG716" s="27"/>
      <c r="BH716" s="27"/>
      <c r="BI716" s="27"/>
      <c r="CA716" s="20">
        <f t="shared" si="5108"/>
        <v>495</v>
      </c>
      <c r="CB716" s="20">
        <f t="shared" si="5109"/>
        <v>49500</v>
      </c>
    </row>
    <row r="717" spans="1:80" x14ac:dyDescent="0.15">
      <c r="A717">
        <v>8003</v>
      </c>
      <c r="B717" s="3" t="s">
        <v>117</v>
      </c>
      <c r="C717" s="4" t="s">
        <v>109</v>
      </c>
      <c r="D717" s="4" t="s">
        <v>110</v>
      </c>
      <c r="E717" s="5">
        <v>1</v>
      </c>
      <c r="F717" s="7" t="s">
        <v>144</v>
      </c>
      <c r="G717" s="5">
        <v>3</v>
      </c>
      <c r="H717" s="7" t="s">
        <v>189</v>
      </c>
      <c r="I717" s="5">
        <v>0</v>
      </c>
      <c r="J717" s="2">
        <v>0</v>
      </c>
      <c r="K717">
        <v>6</v>
      </c>
      <c r="L717">
        <v>1.5</v>
      </c>
      <c r="M717" s="5">
        <v>1.5</v>
      </c>
      <c r="N717" s="5">
        <v>10</v>
      </c>
      <c r="O717" s="5">
        <f t="shared" si="5089"/>
        <v>117307</v>
      </c>
      <c r="P717" s="5">
        <f t="shared" si="5090"/>
        <v>655200000</v>
      </c>
      <c r="Q717" s="5">
        <f t="shared" si="5091"/>
        <v>10920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70031</v>
      </c>
      <c r="X717" s="6" t="s">
        <v>181</v>
      </c>
      <c r="Y717" s="5">
        <v>300</v>
      </c>
      <c r="Z717" s="5">
        <v>1</v>
      </c>
      <c r="AA717" s="5">
        <v>278567100</v>
      </c>
      <c r="AB717" s="16" t="s">
        <v>111</v>
      </c>
      <c r="AC717" s="7" t="s">
        <v>112</v>
      </c>
      <c r="AD717" s="7" t="s">
        <v>112</v>
      </c>
      <c r="AE717" s="7" t="s">
        <v>112</v>
      </c>
      <c r="AF717" s="6" t="s">
        <v>113</v>
      </c>
      <c r="AG717" s="26" t="str">
        <f t="shared" ref="AG717" si="5159">CM$6</f>
        <v>4,28,6,28,6,4,28,6,28,6</v>
      </c>
      <c r="AH717" s="26" t="str">
        <f t="shared" ref="AH717" si="5160">CN$6</f>
        <v>0,0,1,0,1,0,0,1,0,1</v>
      </c>
      <c r="AI717" s="26" t="str">
        <f t="shared" ref="AI717" si="5161">CO$6</f>
        <v>0,0,0,0,1,0,0,0,0,1</v>
      </c>
      <c r="AJ717" s="26" t="str">
        <f t="shared" ref="AJ717" si="5162">CP$6</f>
        <v>0,0,5,0,5,0,0,5,0,5</v>
      </c>
      <c r="AK717" s="26" t="str">
        <f t="shared" ref="AK717" si="5163">CQ$6</f>
        <v>100,1000,5,1500,5,200,1000,5,1500,5</v>
      </c>
      <c r="AL717" s="26" t="str">
        <f t="shared" ref="AL717" si="5164">CR$6</f>
        <v>5,5,5,5,5,5,5,5,5,5</v>
      </c>
      <c r="AM717" s="7">
        <v>2001</v>
      </c>
      <c r="AO717">
        <f t="shared" ref="AO717" si="5165">AQ717*100+3</f>
        <v>8003</v>
      </c>
      <c r="AP717">
        <v>713</v>
      </c>
      <c r="AQ717">
        <f t="shared" si="5099"/>
        <v>80</v>
      </c>
      <c r="AR717">
        <v>12</v>
      </c>
      <c r="AS717" s="17">
        <f t="shared" si="4714"/>
        <v>445</v>
      </c>
      <c r="AT717">
        <v>11</v>
      </c>
      <c r="AU717">
        <f t="shared" si="5100"/>
        <v>36</v>
      </c>
      <c r="AV717">
        <v>150</v>
      </c>
      <c r="AW717">
        <f t="shared" si="5101"/>
        <v>117307.008</v>
      </c>
      <c r="AX717">
        <f t="shared" si="4764"/>
        <v>655200000</v>
      </c>
      <c r="AY717">
        <f t="shared" si="5102"/>
        <v>10920</v>
      </c>
      <c r="AZ717">
        <f t="shared" si="5103"/>
        <v>21840</v>
      </c>
      <c r="BA717">
        <f t="shared" si="5104"/>
        <v>131040</v>
      </c>
      <c r="BB717">
        <f t="shared" si="5105"/>
        <v>5460</v>
      </c>
      <c r="BC717">
        <f t="shared" si="4765"/>
        <v>655200000</v>
      </c>
      <c r="BD717">
        <f t="shared" si="5106"/>
        <v>0.29411764705882354</v>
      </c>
      <c r="BE717" s="27">
        <f t="shared" si="4766"/>
        <v>1277128944.0000002</v>
      </c>
      <c r="BF717" s="30">
        <f t="shared" si="5107"/>
        <v>0.49199999999999999</v>
      </c>
      <c r="BG717" s="27"/>
      <c r="BH717" s="27"/>
      <c r="BI717" s="27"/>
      <c r="CA717" s="20">
        <f t="shared" si="5108"/>
        <v>495</v>
      </c>
      <c r="CB717" s="20">
        <f t="shared" si="5109"/>
        <v>49500</v>
      </c>
    </row>
    <row r="718" spans="1:80" x14ac:dyDescent="0.15">
      <c r="A718">
        <v>8004</v>
      </c>
      <c r="B718" s="3" t="s">
        <v>119</v>
      </c>
      <c r="C718" s="4" t="s">
        <v>109</v>
      </c>
      <c r="D718" s="6" t="s">
        <v>120</v>
      </c>
      <c r="E718" s="5">
        <v>3</v>
      </c>
      <c r="F718" s="7" t="s">
        <v>145</v>
      </c>
      <c r="G718" s="5">
        <v>3</v>
      </c>
      <c r="H718" s="7" t="s">
        <v>190</v>
      </c>
      <c r="I718" s="5">
        <v>0</v>
      </c>
      <c r="J718" s="5">
        <v>0</v>
      </c>
      <c r="K718">
        <v>2</v>
      </c>
      <c r="L718">
        <v>1.5</v>
      </c>
      <c r="M718" s="5">
        <v>1.5</v>
      </c>
      <c r="N718" s="5">
        <v>10</v>
      </c>
      <c r="O718" s="5">
        <f t="shared" si="5089"/>
        <v>118596</v>
      </c>
      <c r="P718" s="5">
        <f t="shared" si="5090"/>
        <v>662400000</v>
      </c>
      <c r="Q718" s="5">
        <f t="shared" si="5091"/>
        <v>11040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70041</v>
      </c>
      <c r="X718" s="6" t="s">
        <v>182</v>
      </c>
      <c r="Y718" s="5">
        <v>300</v>
      </c>
      <c r="Z718" s="5">
        <v>1</v>
      </c>
      <c r="AA718" s="5">
        <v>285160176</v>
      </c>
      <c r="AB718" s="16" t="s">
        <v>111</v>
      </c>
      <c r="AC718" s="7" t="s">
        <v>112</v>
      </c>
      <c r="AD718" s="7" t="s">
        <v>112</v>
      </c>
      <c r="AE718" s="7" t="s">
        <v>112</v>
      </c>
      <c r="AF718" s="6" t="s">
        <v>113</v>
      </c>
      <c r="AG718" s="26" t="str">
        <f t="shared" ref="AG718" si="5166">CM$7</f>
        <v>4,14,28,14,6,4,14,28,14,6</v>
      </c>
      <c r="AH718" s="26" t="str">
        <f t="shared" ref="AH718" si="5167">CN$7</f>
        <v>0,0,0,0,1,0,0,0,0,1</v>
      </c>
      <c r="AI718" s="26" t="str">
        <f t="shared" ref="AI718" si="5168">CO$7</f>
        <v>0,0,0,0,1,0,0,0,0,1</v>
      </c>
      <c r="AJ718" s="26" t="str">
        <f t="shared" ref="AJ718" si="5169">CP$7</f>
        <v>0,0,0,0,5,0,0,0,0,5</v>
      </c>
      <c r="AK718" s="26" t="str">
        <f t="shared" ref="AK718" si="5170">CQ$7</f>
        <v>100,1,1000,2,5,200,1,1000,2,5</v>
      </c>
      <c r="AL718" s="26" t="str">
        <f t="shared" ref="AL718" si="5171">CR$7</f>
        <v>5,5,5,5,5,5,5,5,5,5</v>
      </c>
      <c r="AM718" s="7">
        <v>2001</v>
      </c>
      <c r="AO718">
        <f t="shared" ref="AO718" si="5172">AQ718*100+4</f>
        <v>8004</v>
      </c>
      <c r="AP718">
        <v>714</v>
      </c>
      <c r="AQ718">
        <f t="shared" si="5099"/>
        <v>80</v>
      </c>
      <c r="AR718">
        <v>12</v>
      </c>
      <c r="AS718" s="17">
        <f t="shared" si="4714"/>
        <v>450</v>
      </c>
      <c r="AT718">
        <v>11</v>
      </c>
      <c r="AU718">
        <f t="shared" si="5100"/>
        <v>36</v>
      </c>
      <c r="AV718">
        <v>150</v>
      </c>
      <c r="AW718">
        <f t="shared" si="5101"/>
        <v>118596.09600000001</v>
      </c>
      <c r="AX718">
        <f t="shared" si="4764"/>
        <v>662400000</v>
      </c>
      <c r="AY718">
        <f t="shared" si="5102"/>
        <v>11040</v>
      </c>
      <c r="AZ718">
        <f t="shared" si="5103"/>
        <v>22080</v>
      </c>
      <c r="BA718">
        <f t="shared" si="5104"/>
        <v>132480</v>
      </c>
      <c r="BB718">
        <f t="shared" si="5105"/>
        <v>5520</v>
      </c>
      <c r="BC718">
        <f t="shared" si="4765"/>
        <v>662400000</v>
      </c>
      <c r="BD718">
        <f t="shared" si="5106"/>
        <v>0.29411764705882354</v>
      </c>
      <c r="BE718" s="27">
        <f t="shared" si="4766"/>
        <v>1305351936.0000002</v>
      </c>
      <c r="BF718" s="30">
        <f t="shared" si="5107"/>
        <v>0.49199999999999999</v>
      </c>
      <c r="BG718" s="27"/>
      <c r="BH718" s="27"/>
      <c r="BI718" s="27"/>
      <c r="CA718" s="20">
        <f t="shared" si="5108"/>
        <v>495</v>
      </c>
      <c r="CB718" s="20">
        <f t="shared" si="5109"/>
        <v>49500</v>
      </c>
    </row>
    <row r="719" spans="1:80" x14ac:dyDescent="0.15">
      <c r="A719">
        <v>8005</v>
      </c>
      <c r="B719" s="3" t="s">
        <v>122</v>
      </c>
      <c r="C719" s="4" t="s">
        <v>109</v>
      </c>
      <c r="D719" s="4" t="s">
        <v>110</v>
      </c>
      <c r="E719" s="5">
        <v>2</v>
      </c>
      <c r="F719" s="7" t="s">
        <v>146</v>
      </c>
      <c r="G719" s="5">
        <v>3</v>
      </c>
      <c r="H719" s="7" t="s">
        <v>191</v>
      </c>
      <c r="I719" s="5">
        <v>0</v>
      </c>
      <c r="J719" s="7" t="s">
        <v>148</v>
      </c>
      <c r="K719">
        <v>6</v>
      </c>
      <c r="L719">
        <v>1.5</v>
      </c>
      <c r="M719" s="5">
        <v>1.5</v>
      </c>
      <c r="N719" s="5">
        <v>10</v>
      </c>
      <c r="O719" s="5">
        <f t="shared" si="5089"/>
        <v>119885</v>
      </c>
      <c r="P719" s="5">
        <f t="shared" si="5090"/>
        <v>669600000</v>
      </c>
      <c r="Q719" s="5">
        <f t="shared" si="5091"/>
        <v>11160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70051</v>
      </c>
      <c r="X719" s="6" t="s">
        <v>183</v>
      </c>
      <c r="Y719" s="5">
        <v>300</v>
      </c>
      <c r="Z719" s="5">
        <v>1</v>
      </c>
      <c r="AA719" s="5">
        <v>291830364</v>
      </c>
      <c r="AB719" s="16" t="s">
        <v>111</v>
      </c>
      <c r="AC719" s="7" t="s">
        <v>112</v>
      </c>
      <c r="AD719" s="7" t="s">
        <v>112</v>
      </c>
      <c r="AE719" s="7" t="s">
        <v>112</v>
      </c>
      <c r="AF719" s="6" t="s">
        <v>113</v>
      </c>
      <c r="AG719" s="26" t="str">
        <f t="shared" ref="AG719" si="5173">CM$8</f>
        <v>4,19,28,19,6,4,19,28,19,6</v>
      </c>
      <c r="AH719" s="26" t="str">
        <f t="shared" ref="AH719" si="5174">CN$8</f>
        <v>0,0,0,0,1,0,0,0,0,1</v>
      </c>
      <c r="AI719" s="26" t="str">
        <f t="shared" ref="AI719" si="5175">CO$8</f>
        <v>0,0,0,0,1,0,0,0,0,1</v>
      </c>
      <c r="AJ719" s="26" t="str">
        <f t="shared" ref="AJ719" si="5176">CP$8</f>
        <v>0,0,0,0,5,0,0,0,0,5</v>
      </c>
      <c r="AK719" s="26" t="str">
        <f t="shared" ref="AK719" si="5177">CQ$8</f>
        <v>200,100,1000,200,5,200,100,1000,200,5</v>
      </c>
      <c r="AL719" s="26" t="str">
        <f t="shared" ref="AL719" si="5178">CR$8</f>
        <v>5,5,5,5,5,5,5,5,5,5</v>
      </c>
      <c r="AM719" s="7">
        <v>2001</v>
      </c>
      <c r="AO719">
        <f t="shared" ref="AO719" si="5179">AQ719*100+5</f>
        <v>8005</v>
      </c>
      <c r="AP719">
        <v>715</v>
      </c>
      <c r="AQ719">
        <f t="shared" si="5099"/>
        <v>80</v>
      </c>
      <c r="AR719">
        <v>12</v>
      </c>
      <c r="AS719" s="17">
        <f t="shared" ref="AS719:AS782" si="5180">AS710+5</f>
        <v>455</v>
      </c>
      <c r="AT719">
        <v>11</v>
      </c>
      <c r="AU719">
        <f t="shared" si="5100"/>
        <v>36</v>
      </c>
      <c r="AV719">
        <v>150</v>
      </c>
      <c r="AW719">
        <f t="shared" si="5101"/>
        <v>119885.18399999999</v>
      </c>
      <c r="AX719">
        <f t="shared" si="4764"/>
        <v>669600000</v>
      </c>
      <c r="AY719">
        <f t="shared" si="5102"/>
        <v>11160</v>
      </c>
      <c r="AZ719">
        <f t="shared" si="5103"/>
        <v>22320</v>
      </c>
      <c r="BA719">
        <f t="shared" si="5104"/>
        <v>133920</v>
      </c>
      <c r="BB719">
        <f t="shared" si="5105"/>
        <v>5580</v>
      </c>
      <c r="BC719">
        <f t="shared" si="4765"/>
        <v>669600000</v>
      </c>
      <c r="BD719">
        <f t="shared" si="5106"/>
        <v>0.29411764705882354</v>
      </c>
      <c r="BE719" s="27">
        <f t="shared" si="4766"/>
        <v>1333883376.0000002</v>
      </c>
      <c r="BF719" s="30">
        <f t="shared" si="5107"/>
        <v>0.49199999999999999</v>
      </c>
      <c r="BG719" s="27"/>
      <c r="BH719" s="27"/>
      <c r="BI719" s="27"/>
      <c r="CA719" s="20">
        <f t="shared" si="5108"/>
        <v>495</v>
      </c>
      <c r="CB719" s="20">
        <f t="shared" si="5109"/>
        <v>49500</v>
      </c>
    </row>
    <row r="720" spans="1:80" x14ac:dyDescent="0.15">
      <c r="A720">
        <v>8006</v>
      </c>
      <c r="B720" s="3" t="s">
        <v>124</v>
      </c>
      <c r="C720" s="4" t="s">
        <v>109</v>
      </c>
      <c r="D720" s="6" t="s">
        <v>120</v>
      </c>
      <c r="E720" s="5">
        <v>1</v>
      </c>
      <c r="F720" s="7" t="s">
        <v>147</v>
      </c>
      <c r="G720" s="5">
        <v>3</v>
      </c>
      <c r="H720" s="7" t="s">
        <v>192</v>
      </c>
      <c r="I720" s="5">
        <v>0</v>
      </c>
      <c r="J720" s="7" t="s">
        <v>149</v>
      </c>
      <c r="K720">
        <v>6</v>
      </c>
      <c r="L720">
        <v>1.5</v>
      </c>
      <c r="M720" s="5">
        <v>1.5</v>
      </c>
      <c r="N720" s="5">
        <v>10</v>
      </c>
      <c r="O720" s="5">
        <f t="shared" si="5089"/>
        <v>121174</v>
      </c>
      <c r="P720" s="5">
        <f t="shared" si="5090"/>
        <v>676800000</v>
      </c>
      <c r="Q720" s="5">
        <f t="shared" si="5091"/>
        <v>11280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70061</v>
      </c>
      <c r="X720" s="6" t="s">
        <v>184</v>
      </c>
      <c r="Y720" s="5">
        <v>300</v>
      </c>
      <c r="Z720" s="5">
        <v>1</v>
      </c>
      <c r="AA720" s="5">
        <v>298577664</v>
      </c>
      <c r="AB720" s="16" t="s">
        <v>111</v>
      </c>
      <c r="AC720" s="7" t="s">
        <v>112</v>
      </c>
      <c r="AD720" s="7" t="s">
        <v>112</v>
      </c>
      <c r="AE720" s="7" t="s">
        <v>112</v>
      </c>
      <c r="AF720" s="6" t="s">
        <v>113</v>
      </c>
      <c r="AG720" s="26" t="str">
        <f t="shared" ref="AG720" si="5181">CM$9</f>
        <v>4,33,28,33,6,4,33,28,33,6</v>
      </c>
      <c r="AH720" s="26" t="str">
        <f t="shared" ref="AH720" si="5182">CN$9</f>
        <v>0,6,0,6,1,0,6,0,6,1</v>
      </c>
      <c r="AI720" s="26" t="str">
        <f t="shared" ref="AI720" si="5183">CO$9</f>
        <v>0,0,0,0,1,0,0,0,0,1</v>
      </c>
      <c r="AJ720" s="26" t="str">
        <f t="shared" ref="AJ720" si="5184">CP$9</f>
        <v>0,0,0,0,5,0,0,0,0,5</v>
      </c>
      <c r="AK720" s="26" t="str">
        <f t="shared" ref="AK720" si="5185">CQ$9</f>
        <v>200,1,1000,2,5,200,1,1000,2,5</v>
      </c>
      <c r="AL720" s="26" t="str">
        <f t="shared" ref="AL720" si="5186">CR$9</f>
        <v>5,5,5,5,5,5,5,5,5,5</v>
      </c>
      <c r="AM720" s="7">
        <v>2001</v>
      </c>
      <c r="AO720">
        <f t="shared" ref="AO720" si="5187">AQ720*100+6</f>
        <v>8006</v>
      </c>
      <c r="AP720">
        <v>716</v>
      </c>
      <c r="AQ720">
        <f t="shared" si="5099"/>
        <v>80</v>
      </c>
      <c r="AR720">
        <v>12</v>
      </c>
      <c r="AS720" s="17">
        <f t="shared" si="5180"/>
        <v>460</v>
      </c>
      <c r="AT720">
        <v>11</v>
      </c>
      <c r="AU720">
        <f t="shared" si="5100"/>
        <v>36</v>
      </c>
      <c r="AV720">
        <v>150</v>
      </c>
      <c r="AW720">
        <f t="shared" si="5101"/>
        <v>121174.272</v>
      </c>
      <c r="AX720">
        <f t="shared" si="4764"/>
        <v>676800000</v>
      </c>
      <c r="AY720">
        <f t="shared" si="5102"/>
        <v>11280</v>
      </c>
      <c r="AZ720">
        <f t="shared" si="5103"/>
        <v>22560</v>
      </c>
      <c r="BA720">
        <f t="shared" si="5104"/>
        <v>135360</v>
      </c>
      <c r="BB720">
        <f t="shared" si="5105"/>
        <v>5640</v>
      </c>
      <c r="BC720">
        <f t="shared" si="4765"/>
        <v>676800000</v>
      </c>
      <c r="BD720">
        <f t="shared" si="5106"/>
        <v>0.29411764705882354</v>
      </c>
      <c r="BE720" s="27">
        <f t="shared" si="4766"/>
        <v>1362723264.0000002</v>
      </c>
      <c r="BF720" s="30">
        <f t="shared" si="5107"/>
        <v>0.49199999999999999</v>
      </c>
      <c r="BG720" s="27"/>
      <c r="BH720" s="27"/>
      <c r="BI720" s="27"/>
      <c r="CA720" s="20">
        <f t="shared" si="5108"/>
        <v>495</v>
      </c>
      <c r="CB720" s="20">
        <f t="shared" si="5109"/>
        <v>49500</v>
      </c>
    </row>
    <row r="721" spans="1:80" x14ac:dyDescent="0.15">
      <c r="A721">
        <v>8007</v>
      </c>
      <c r="B721" s="3" t="s">
        <v>126</v>
      </c>
      <c r="C721" s="4" t="s">
        <v>109</v>
      </c>
      <c r="D721" s="4" t="s">
        <v>110</v>
      </c>
      <c r="E721" s="5">
        <v>2</v>
      </c>
      <c r="F721" s="7" t="s">
        <v>143</v>
      </c>
      <c r="G721" s="5">
        <v>3</v>
      </c>
      <c r="H721" s="7" t="s">
        <v>193</v>
      </c>
      <c r="I721" s="5">
        <v>0</v>
      </c>
      <c r="J721" s="5">
        <v>0</v>
      </c>
      <c r="K721">
        <v>2</v>
      </c>
      <c r="L721">
        <v>1.5</v>
      </c>
      <c r="M721" s="5">
        <v>1.5</v>
      </c>
      <c r="N721" s="5">
        <v>10</v>
      </c>
      <c r="O721" s="5">
        <f t="shared" si="5089"/>
        <v>122463</v>
      </c>
      <c r="P721" s="5">
        <f t="shared" si="5090"/>
        <v>684000000</v>
      </c>
      <c r="Q721" s="5">
        <f t="shared" si="5091"/>
        <v>11400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70071</v>
      </c>
      <c r="X721" s="6" t="s">
        <v>185</v>
      </c>
      <c r="Y721" s="5">
        <v>300</v>
      </c>
      <c r="Z721" s="5">
        <v>1</v>
      </c>
      <c r="AA721" s="5">
        <v>305402076</v>
      </c>
      <c r="AB721" s="16" t="s">
        <v>111</v>
      </c>
      <c r="AC721" s="7" t="s">
        <v>112</v>
      </c>
      <c r="AD721" s="7" t="s">
        <v>112</v>
      </c>
      <c r="AE721" s="7" t="s">
        <v>112</v>
      </c>
      <c r="AF721" s="6" t="s">
        <v>113</v>
      </c>
      <c r="AG721" s="26" t="str">
        <f t="shared" ref="AG721" si="5188">CM$10</f>
        <v>4,14,28,14,6,4,14,28,14,6</v>
      </c>
      <c r="AH721" s="26" t="str">
        <f t="shared" ref="AH721" si="5189">CN$10</f>
        <v>0,0,0,0,1,0,0,0,0,1</v>
      </c>
      <c r="AI721" s="26" t="str">
        <f t="shared" ref="AI721" si="5190">CO$10</f>
        <v>0,0,0,0,1,0,0,0,0,1</v>
      </c>
      <c r="AJ721" s="26" t="str">
        <f t="shared" ref="AJ721" si="5191">CP$10</f>
        <v>0,0,0,0,5,0,0,0,0,5</v>
      </c>
      <c r="AK721" s="26" t="str">
        <f t="shared" ref="AK721" si="5192">CQ$10</f>
        <v>200,1,1000,2,5,200,1,1000,2,5</v>
      </c>
      <c r="AL721" s="26" t="str">
        <f t="shared" ref="AL721" si="5193">CR$10</f>
        <v>5,5,5,5,5,5,5,5,5,5</v>
      </c>
      <c r="AM721" s="7">
        <v>2001</v>
      </c>
      <c r="AO721">
        <f t="shared" ref="AO721" si="5194">AQ721*100+7</f>
        <v>8007</v>
      </c>
      <c r="AP721">
        <v>717</v>
      </c>
      <c r="AQ721">
        <f t="shared" si="5099"/>
        <v>80</v>
      </c>
      <c r="AR721">
        <v>12</v>
      </c>
      <c r="AS721" s="17">
        <f t="shared" si="5180"/>
        <v>465</v>
      </c>
      <c r="AT721">
        <v>11</v>
      </c>
      <c r="AU721">
        <f t="shared" si="5100"/>
        <v>36</v>
      </c>
      <c r="AV721">
        <v>150</v>
      </c>
      <c r="AW721">
        <f t="shared" si="5101"/>
        <v>122463.36</v>
      </c>
      <c r="AX721">
        <f t="shared" si="4764"/>
        <v>684000000</v>
      </c>
      <c r="AY721">
        <f t="shared" si="5102"/>
        <v>11400</v>
      </c>
      <c r="AZ721">
        <f t="shared" si="5103"/>
        <v>22800</v>
      </c>
      <c r="BA721">
        <f t="shared" si="5104"/>
        <v>136800</v>
      </c>
      <c r="BB721">
        <f t="shared" si="5105"/>
        <v>5700</v>
      </c>
      <c r="BC721">
        <f t="shared" si="4765"/>
        <v>684000000</v>
      </c>
      <c r="BD721">
        <f t="shared" si="5106"/>
        <v>0.29411764705882354</v>
      </c>
      <c r="BE721" s="27">
        <f t="shared" si="4766"/>
        <v>1391871600.0000002</v>
      </c>
      <c r="BF721" s="30">
        <f t="shared" si="5107"/>
        <v>0.49199999999999999</v>
      </c>
      <c r="BG721" s="27"/>
      <c r="BH721" s="27"/>
      <c r="BI721" s="27"/>
      <c r="CA721" s="20">
        <f t="shared" si="5108"/>
        <v>495</v>
      </c>
      <c r="CB721" s="20">
        <f t="shared" si="5109"/>
        <v>49500</v>
      </c>
    </row>
    <row r="722" spans="1:80" x14ac:dyDescent="0.15">
      <c r="A722">
        <v>8008</v>
      </c>
      <c r="B722" s="3" t="s">
        <v>128</v>
      </c>
      <c r="C722" s="4" t="s">
        <v>109</v>
      </c>
      <c r="D722" s="4" t="s">
        <v>110</v>
      </c>
      <c r="E722" s="5">
        <v>5</v>
      </c>
      <c r="F722" s="7" t="s">
        <v>129</v>
      </c>
      <c r="G722" s="5">
        <v>2</v>
      </c>
      <c r="H722" s="7" t="s">
        <v>130</v>
      </c>
      <c r="I722" s="5">
        <v>0</v>
      </c>
      <c r="J722" s="5">
        <v>0</v>
      </c>
      <c r="K722">
        <v>2</v>
      </c>
      <c r="L722">
        <v>1.5</v>
      </c>
      <c r="M722" s="5">
        <v>1.5</v>
      </c>
      <c r="N722" s="5">
        <v>10</v>
      </c>
      <c r="O722" s="5">
        <f t="shared" si="5089"/>
        <v>123752</v>
      </c>
      <c r="P722" s="5">
        <f t="shared" si="5090"/>
        <v>691200000</v>
      </c>
      <c r="Q722" s="5">
        <f t="shared" si="5091"/>
        <v>11520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70081</v>
      </c>
      <c r="X722" s="6" t="s">
        <v>186</v>
      </c>
      <c r="Y722" s="5">
        <v>300</v>
      </c>
      <c r="Z722" s="5">
        <v>1</v>
      </c>
      <c r="AA722" s="5">
        <v>312303600</v>
      </c>
      <c r="AB722" s="16" t="s">
        <v>111</v>
      </c>
      <c r="AC722" s="7" t="s">
        <v>112</v>
      </c>
      <c r="AD722" s="7" t="s">
        <v>112</v>
      </c>
      <c r="AE722" s="7" t="s">
        <v>112</v>
      </c>
      <c r="AF722" s="6" t="s">
        <v>113</v>
      </c>
      <c r="AG722" s="26" t="str">
        <f t="shared" ref="AG722" si="5195">CM$11</f>
        <v>4,28,6,28,6,4,28,6,28,6</v>
      </c>
      <c r="AH722" s="26" t="str">
        <f t="shared" ref="AH722" si="5196">CN$11</f>
        <v>0,0,1,0,1,0,0,1,0,1</v>
      </c>
      <c r="AI722" s="26" t="str">
        <f t="shared" ref="AI722" si="5197">CO$11</f>
        <v>0,0,1,0,1,0,0,1,0,1</v>
      </c>
      <c r="AJ722" s="26" t="str">
        <f t="shared" ref="AJ722" si="5198">CP$11</f>
        <v>0,0,5,0,5,0,0,5,0,5</v>
      </c>
      <c r="AK722" s="26" t="str">
        <f t="shared" ref="AK722" si="5199">CQ$11</f>
        <v>100,1000,5,1500,5,200,1000,5,1500,5</v>
      </c>
      <c r="AL722" s="26" t="str">
        <f t="shared" ref="AL722" si="5200">CR$11</f>
        <v>5,5,5,5,5,5,5,5,5,5</v>
      </c>
      <c r="AM722" s="7">
        <v>2001</v>
      </c>
      <c r="AO722">
        <f t="shared" ref="AO722" si="5201">AQ722*100+8</f>
        <v>8008</v>
      </c>
      <c r="AP722">
        <v>718</v>
      </c>
      <c r="AQ722">
        <f t="shared" si="5099"/>
        <v>80</v>
      </c>
      <c r="AR722">
        <v>12</v>
      </c>
      <c r="AS722" s="17">
        <f t="shared" si="5180"/>
        <v>470</v>
      </c>
      <c r="AT722">
        <v>11</v>
      </c>
      <c r="AU722">
        <f t="shared" si="5100"/>
        <v>36</v>
      </c>
      <c r="AV722">
        <v>150</v>
      </c>
      <c r="AW722">
        <f t="shared" si="5101"/>
        <v>123752.448</v>
      </c>
      <c r="AX722">
        <f t="shared" si="4764"/>
        <v>691200000</v>
      </c>
      <c r="AY722">
        <f t="shared" si="5102"/>
        <v>11520</v>
      </c>
      <c r="AZ722">
        <f t="shared" si="5103"/>
        <v>23040</v>
      </c>
      <c r="BA722">
        <f t="shared" si="5104"/>
        <v>138240</v>
      </c>
      <c r="BB722">
        <f t="shared" si="5105"/>
        <v>5760</v>
      </c>
      <c r="BC722">
        <f t="shared" si="4765"/>
        <v>691200000</v>
      </c>
      <c r="BD722">
        <f t="shared" si="5106"/>
        <v>0.29411764705882354</v>
      </c>
      <c r="BE722" s="27">
        <f t="shared" si="4766"/>
        <v>1421328384.0000002</v>
      </c>
      <c r="BF722" s="30">
        <f t="shared" si="5107"/>
        <v>0.49199999999999999</v>
      </c>
      <c r="BG722" s="27"/>
      <c r="BH722" s="27"/>
      <c r="BI722" s="27"/>
      <c r="CA722" s="20">
        <f t="shared" si="5108"/>
        <v>495</v>
      </c>
      <c r="CB722" s="20">
        <f t="shared" si="5109"/>
        <v>49500</v>
      </c>
    </row>
    <row r="723" spans="1:80" x14ac:dyDescent="0.15">
      <c r="A723">
        <v>8009</v>
      </c>
      <c r="B723" s="3" t="s">
        <v>132</v>
      </c>
      <c r="C723" s="4" t="s">
        <v>109</v>
      </c>
      <c r="D723" s="4" t="s">
        <v>110</v>
      </c>
      <c r="E723" s="5">
        <v>5</v>
      </c>
      <c r="F723" s="7" t="s">
        <v>140</v>
      </c>
      <c r="G723" s="5">
        <v>3</v>
      </c>
      <c r="H723" s="7" t="s">
        <v>140</v>
      </c>
      <c r="I723" s="5">
        <v>0</v>
      </c>
      <c r="J723" s="7">
        <v>0</v>
      </c>
      <c r="K723">
        <v>6</v>
      </c>
      <c r="L723">
        <v>1.5</v>
      </c>
      <c r="M723" s="5">
        <v>1.5</v>
      </c>
      <c r="N723" s="5">
        <v>10</v>
      </c>
      <c r="O723" s="5">
        <f t="shared" si="5089"/>
        <v>125041</v>
      </c>
      <c r="P723" s="5">
        <f t="shared" si="5090"/>
        <v>698400000</v>
      </c>
      <c r="Q723" s="5">
        <f t="shared" si="5091"/>
        <v>11640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70091</v>
      </c>
      <c r="X723" s="6" t="s">
        <v>187</v>
      </c>
      <c r="Y723" s="5">
        <v>300</v>
      </c>
      <c r="Z723" s="5">
        <v>1</v>
      </c>
      <c r="AA723" s="5">
        <v>319282236</v>
      </c>
      <c r="AB723" s="16" t="s">
        <v>111</v>
      </c>
      <c r="AC723" s="7" t="s">
        <v>112</v>
      </c>
      <c r="AD723" s="7" t="s">
        <v>112</v>
      </c>
      <c r="AE723" s="7" t="s">
        <v>112</v>
      </c>
      <c r="AF723" s="6" t="s">
        <v>113</v>
      </c>
      <c r="AG723" s="26" t="str">
        <f t="shared" ref="AG723" si="5202">CM$12</f>
        <v>4,33,28,33,6,4,33,28,33,6</v>
      </c>
      <c r="AH723" s="26" t="str">
        <f t="shared" ref="AH723" si="5203">CN$12</f>
        <v>0,5,0,5,1,0,5,0,5,1</v>
      </c>
      <c r="AI723" s="26" t="str">
        <f t="shared" ref="AI723" si="5204">CO$12</f>
        <v>0,0,0,0,1,0,0,0,0,1</v>
      </c>
      <c r="AJ723" s="26" t="str">
        <f t="shared" ref="AJ723" si="5205">CP$12</f>
        <v>0,0,0,0,5,0,0,0,0,5</v>
      </c>
      <c r="AK723" s="26" t="str">
        <f t="shared" ref="AK723" si="5206">CQ$12</f>
        <v>100,1,1000,2,5,200,1,1000,2,5</v>
      </c>
      <c r="AL723" s="26" t="str">
        <f t="shared" ref="AL723" si="5207">CR$12</f>
        <v>5,5,5,5,5,5,5,5,5,5</v>
      </c>
      <c r="AM723" s="7">
        <v>2001</v>
      </c>
      <c r="AO723">
        <f t="shared" ref="AO723" si="5208">AQ723*100+9</f>
        <v>8009</v>
      </c>
      <c r="AP723">
        <v>719</v>
      </c>
      <c r="AQ723">
        <f t="shared" si="5099"/>
        <v>80</v>
      </c>
      <c r="AR723">
        <v>12</v>
      </c>
      <c r="AS723" s="17">
        <f t="shared" si="5180"/>
        <v>475</v>
      </c>
      <c r="AT723">
        <v>11</v>
      </c>
      <c r="AU723">
        <f t="shared" si="5100"/>
        <v>36</v>
      </c>
      <c r="AV723">
        <v>150</v>
      </c>
      <c r="AW723">
        <f t="shared" si="5101"/>
        <v>125041.53599999999</v>
      </c>
      <c r="AX723">
        <f t="shared" si="4764"/>
        <v>698400000</v>
      </c>
      <c r="AY723">
        <f t="shared" si="5102"/>
        <v>11640</v>
      </c>
      <c r="AZ723">
        <f t="shared" si="5103"/>
        <v>23280</v>
      </c>
      <c r="BA723">
        <f t="shared" si="5104"/>
        <v>139680</v>
      </c>
      <c r="BB723">
        <f t="shared" si="5105"/>
        <v>5820</v>
      </c>
      <c r="BC723">
        <f t="shared" si="4765"/>
        <v>698400000</v>
      </c>
      <c r="BD723">
        <f t="shared" si="5106"/>
        <v>0.29411764705882354</v>
      </c>
      <c r="BE723" s="27">
        <f t="shared" si="4766"/>
        <v>1451093616.0000002</v>
      </c>
      <c r="BF723" s="30">
        <f t="shared" si="5107"/>
        <v>0.49199999999999999</v>
      </c>
      <c r="BG723" s="27"/>
      <c r="BH723" s="27"/>
      <c r="BI723" s="27"/>
      <c r="CA723" s="20">
        <f t="shared" si="5108"/>
        <v>495</v>
      </c>
      <c r="CB723" s="20">
        <f t="shared" si="5109"/>
        <v>49500</v>
      </c>
    </row>
    <row r="724" spans="1:80" x14ac:dyDescent="0.15">
      <c r="A724">
        <v>8101</v>
      </c>
      <c r="B724" s="3" t="s">
        <v>108</v>
      </c>
      <c r="C724" s="4" t="s">
        <v>109</v>
      </c>
      <c r="D724" s="4" t="s">
        <v>110</v>
      </c>
      <c r="E724" s="5">
        <v>3</v>
      </c>
      <c r="F724" s="7" t="s">
        <v>141</v>
      </c>
      <c r="G724" s="5">
        <v>2.5</v>
      </c>
      <c r="H724" s="7" t="s">
        <v>194</v>
      </c>
      <c r="I724" s="5">
        <v>0</v>
      </c>
      <c r="J724" s="5">
        <v>0</v>
      </c>
      <c r="K724">
        <v>2</v>
      </c>
      <c r="L724">
        <v>1.5</v>
      </c>
      <c r="M724" s="5">
        <v>1.5</v>
      </c>
      <c r="N724" s="5">
        <v>10</v>
      </c>
      <c r="O724" s="5">
        <f t="shared" si="5089"/>
        <v>123951</v>
      </c>
      <c r="P724" s="5">
        <f t="shared" si="5090"/>
        <v>708480000</v>
      </c>
      <c r="Q724" s="5">
        <f t="shared" si="5091"/>
        <v>11808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70011</v>
      </c>
      <c r="X724" s="6" t="s">
        <v>179</v>
      </c>
      <c r="Y724" s="5">
        <v>300</v>
      </c>
      <c r="Z724" s="5">
        <v>1</v>
      </c>
      <c r="AA724" s="5">
        <v>371300106</v>
      </c>
      <c r="AB724" s="16" t="s">
        <v>111</v>
      </c>
      <c r="AC724" s="7" t="s">
        <v>112</v>
      </c>
      <c r="AD724" s="7" t="s">
        <v>112</v>
      </c>
      <c r="AE724" s="7" t="s">
        <v>112</v>
      </c>
      <c r="AF724" s="6" t="s">
        <v>113</v>
      </c>
      <c r="AG724" s="26" t="str">
        <f t="shared" ref="AG724" si="5209">CM$4</f>
        <v>4,33,28,33,6,4,33,28,33,6</v>
      </c>
      <c r="AH724" s="26" t="str">
        <f t="shared" ref="AH724" si="5210">CN$4</f>
        <v>0,8,0,8,1,0,8,0,8,1</v>
      </c>
      <c r="AI724" s="26" t="str">
        <f t="shared" ref="AI724" si="5211">CO$4</f>
        <v>0,0,0,0,1,0,0,0,0,1</v>
      </c>
      <c r="AJ724" s="26" t="str">
        <f t="shared" ref="AJ724" si="5212">CP$4</f>
        <v>0,0,0,0,5,0,0,0,0,5</v>
      </c>
      <c r="AK724" s="26" t="str">
        <f t="shared" ref="AK724" si="5213">CQ$4</f>
        <v>100,1,1000,2,5,200,1,1000,2,5</v>
      </c>
      <c r="AL724" s="26" t="str">
        <f t="shared" ref="AL724" si="5214">CR$4</f>
        <v>5,5,5,5,5,5,5,5,5,5</v>
      </c>
      <c r="AM724" s="7">
        <v>2001</v>
      </c>
      <c r="AO724">
        <f t="shared" ref="AO724" si="5215">AQ724*100+1</f>
        <v>8101</v>
      </c>
      <c r="AP724">
        <v>720</v>
      </c>
      <c r="AQ724">
        <f t="shared" si="5099"/>
        <v>81</v>
      </c>
      <c r="AR724">
        <v>13</v>
      </c>
      <c r="AS724" s="17">
        <f t="shared" si="5180"/>
        <v>440</v>
      </c>
      <c r="AT724">
        <v>12</v>
      </c>
      <c r="AU724">
        <f t="shared" si="5100"/>
        <v>36</v>
      </c>
      <c r="AV724">
        <v>150</v>
      </c>
      <c r="AW724">
        <f t="shared" si="5101"/>
        <v>123951.51360000002</v>
      </c>
      <c r="AX724">
        <f t="shared" si="4764"/>
        <v>708479999.99999988</v>
      </c>
      <c r="AY724">
        <f t="shared" si="5102"/>
        <v>11807.999999999998</v>
      </c>
      <c r="AZ724">
        <f t="shared" si="5103"/>
        <v>23615.999999999996</v>
      </c>
      <c r="BA724">
        <f t="shared" si="5104"/>
        <v>138240.00000000003</v>
      </c>
      <c r="BB724">
        <f t="shared" si="5105"/>
        <v>5903.9999999999991</v>
      </c>
      <c r="BC724">
        <f t="shared" si="4765"/>
        <v>708479999.99999988</v>
      </c>
      <c r="BD724">
        <f t="shared" si="5106"/>
        <v>0.29411764705882354</v>
      </c>
      <c r="BE724" s="27">
        <f t="shared" si="4766"/>
        <v>1493283133.4400001</v>
      </c>
      <c r="BF724" s="30">
        <f t="shared" si="5107"/>
        <v>0.49439999999999995</v>
      </c>
      <c r="BG724" s="27"/>
      <c r="BH724" s="27"/>
      <c r="BI724" s="27"/>
      <c r="CA724" s="20">
        <f t="shared" si="5108"/>
        <v>500</v>
      </c>
      <c r="CB724" s="20">
        <f t="shared" si="5109"/>
        <v>50000</v>
      </c>
    </row>
    <row r="725" spans="1:80" x14ac:dyDescent="0.15">
      <c r="A725">
        <v>8102</v>
      </c>
      <c r="B725" s="3" t="s">
        <v>115</v>
      </c>
      <c r="C725" s="4" t="s">
        <v>109</v>
      </c>
      <c r="D725" s="6" t="s">
        <v>110</v>
      </c>
      <c r="E725" s="5">
        <v>3</v>
      </c>
      <c r="F725" s="7" t="s">
        <v>142</v>
      </c>
      <c r="G725" s="5">
        <v>3</v>
      </c>
      <c r="H725" s="7" t="s">
        <v>188</v>
      </c>
      <c r="I725" s="5">
        <v>0</v>
      </c>
      <c r="J725" s="5">
        <v>0</v>
      </c>
      <c r="K725">
        <v>2</v>
      </c>
      <c r="L725">
        <v>1.5</v>
      </c>
      <c r="M725" s="5">
        <v>1.5</v>
      </c>
      <c r="N725" s="5">
        <v>10</v>
      </c>
      <c r="O725" s="5">
        <f t="shared" si="5089"/>
        <v>125328</v>
      </c>
      <c r="P725" s="5">
        <f t="shared" si="5090"/>
        <v>716352000</v>
      </c>
      <c r="Q725" s="5">
        <f t="shared" si="5091"/>
        <v>11939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70021</v>
      </c>
      <c r="X725" s="6" t="s">
        <v>180</v>
      </c>
      <c r="Y725" s="5">
        <v>300</v>
      </c>
      <c r="Z725" s="5">
        <v>1</v>
      </c>
      <c r="AA725" s="5">
        <v>316947456</v>
      </c>
      <c r="AB725" s="16" t="s">
        <v>111</v>
      </c>
      <c r="AC725" s="7" t="s">
        <v>112</v>
      </c>
      <c r="AD725" s="7" t="s">
        <v>112</v>
      </c>
      <c r="AE725" s="7" t="s">
        <v>112</v>
      </c>
      <c r="AF725" s="6" t="s">
        <v>113</v>
      </c>
      <c r="AG725" s="26" t="str">
        <f t="shared" ref="AG725" si="5216">CM$5</f>
        <v>4,33,28,33,6,4,33,28,33,6</v>
      </c>
      <c r="AH725" s="26" t="str">
        <f t="shared" ref="AH725" si="5217">CN$5</f>
        <v>0,7,0,7,1,0,7,0,7,1</v>
      </c>
      <c r="AI725" s="26" t="str">
        <f t="shared" ref="AI725" si="5218">CO$5</f>
        <v>0,0,0,0,1,0,0,0,0,1</v>
      </c>
      <c r="AJ725" s="26" t="str">
        <f t="shared" ref="AJ725" si="5219">CP$5</f>
        <v>0,0,0,0,5,0,0,0,0,5</v>
      </c>
      <c r="AK725" s="26" t="str">
        <f t="shared" ref="AK725" si="5220">CQ$5</f>
        <v>100,1,1000,2,5,200,1,1000,2,5</v>
      </c>
      <c r="AL725" s="26" t="str">
        <f t="shared" ref="AL725" si="5221">CR$5</f>
        <v>5,5,5,5,5,5,5,5,5,5</v>
      </c>
      <c r="AM725" s="7">
        <v>2001</v>
      </c>
      <c r="AO725">
        <f t="shared" ref="AO725" si="5222">AQ725*100+2</f>
        <v>8102</v>
      </c>
      <c r="AP725">
        <v>721</v>
      </c>
      <c r="AQ725">
        <f t="shared" si="5099"/>
        <v>81</v>
      </c>
      <c r="AR725">
        <v>13</v>
      </c>
      <c r="AS725" s="17">
        <f t="shared" si="5180"/>
        <v>445</v>
      </c>
      <c r="AT725">
        <v>12</v>
      </c>
      <c r="AU725">
        <f t="shared" si="5100"/>
        <v>36</v>
      </c>
      <c r="AV725">
        <v>150</v>
      </c>
      <c r="AW725">
        <f t="shared" si="5101"/>
        <v>125328.75264000002</v>
      </c>
      <c r="AX725">
        <f t="shared" si="4764"/>
        <v>716352000</v>
      </c>
      <c r="AY725">
        <f t="shared" si="5102"/>
        <v>11939.199999999999</v>
      </c>
      <c r="AZ725">
        <f t="shared" si="5103"/>
        <v>23878.399999999998</v>
      </c>
      <c r="BA725">
        <f t="shared" si="5104"/>
        <v>139776.00000000003</v>
      </c>
      <c r="BB725">
        <f t="shared" si="5105"/>
        <v>5969.5999999999995</v>
      </c>
      <c r="BC725">
        <f t="shared" si="4765"/>
        <v>716352000</v>
      </c>
      <c r="BD725">
        <f t="shared" si="5106"/>
        <v>0.29411764705882348</v>
      </c>
      <c r="BE725" s="27">
        <f t="shared" si="4766"/>
        <v>1526651559.0143995</v>
      </c>
      <c r="BF725" s="30">
        <f t="shared" si="5107"/>
        <v>0.49439999999999995</v>
      </c>
      <c r="BG725" s="27"/>
      <c r="BH725" s="27"/>
      <c r="BI725" s="27"/>
      <c r="CA725" s="20">
        <f t="shared" si="5108"/>
        <v>500</v>
      </c>
      <c r="CB725" s="20">
        <f t="shared" si="5109"/>
        <v>50000</v>
      </c>
    </row>
    <row r="726" spans="1:80" x14ac:dyDescent="0.15">
      <c r="A726">
        <v>8103</v>
      </c>
      <c r="B726" s="3" t="s">
        <v>117</v>
      </c>
      <c r="C726" s="4" t="s">
        <v>109</v>
      </c>
      <c r="D726" s="4" t="s">
        <v>110</v>
      </c>
      <c r="E726" s="5">
        <v>1</v>
      </c>
      <c r="F726" s="7" t="s">
        <v>144</v>
      </c>
      <c r="G726" s="5">
        <v>3</v>
      </c>
      <c r="H726" s="7" t="s">
        <v>189</v>
      </c>
      <c r="I726" s="5">
        <v>0</v>
      </c>
      <c r="J726" s="2">
        <v>0</v>
      </c>
      <c r="K726">
        <v>6</v>
      </c>
      <c r="L726">
        <v>1.5</v>
      </c>
      <c r="M726" s="5">
        <v>1.5</v>
      </c>
      <c r="N726" s="5">
        <v>10</v>
      </c>
      <c r="O726" s="5">
        <f t="shared" si="5089"/>
        <v>126705</v>
      </c>
      <c r="P726" s="5">
        <f t="shared" si="5090"/>
        <v>724224000</v>
      </c>
      <c r="Q726" s="5">
        <f t="shared" si="5091"/>
        <v>12070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70031</v>
      </c>
      <c r="X726" s="6" t="s">
        <v>181</v>
      </c>
      <c r="Y726" s="5">
        <v>300</v>
      </c>
      <c r="Z726" s="5">
        <v>1</v>
      </c>
      <c r="AA726" s="5">
        <v>324448911</v>
      </c>
      <c r="AB726" s="16" t="s">
        <v>111</v>
      </c>
      <c r="AC726" s="7" t="s">
        <v>112</v>
      </c>
      <c r="AD726" s="7" t="s">
        <v>112</v>
      </c>
      <c r="AE726" s="7" t="s">
        <v>112</v>
      </c>
      <c r="AF726" s="6" t="s">
        <v>113</v>
      </c>
      <c r="AG726" s="26" t="str">
        <f t="shared" ref="AG726" si="5223">CM$6</f>
        <v>4,28,6,28,6,4,28,6,28,6</v>
      </c>
      <c r="AH726" s="26" t="str">
        <f t="shared" ref="AH726" si="5224">CN$6</f>
        <v>0,0,1,0,1,0,0,1,0,1</v>
      </c>
      <c r="AI726" s="26" t="str">
        <f t="shared" ref="AI726" si="5225">CO$6</f>
        <v>0,0,0,0,1,0,0,0,0,1</v>
      </c>
      <c r="AJ726" s="26" t="str">
        <f t="shared" ref="AJ726" si="5226">CP$6</f>
        <v>0,0,5,0,5,0,0,5,0,5</v>
      </c>
      <c r="AK726" s="26" t="str">
        <f t="shared" ref="AK726" si="5227">CQ$6</f>
        <v>100,1000,5,1500,5,200,1000,5,1500,5</v>
      </c>
      <c r="AL726" s="26" t="str">
        <f t="shared" ref="AL726" si="5228">CR$6</f>
        <v>5,5,5,5,5,5,5,5,5,5</v>
      </c>
      <c r="AM726" s="7">
        <v>2001</v>
      </c>
      <c r="AO726">
        <f t="shared" ref="AO726" si="5229">AQ726*100+3</f>
        <v>8103</v>
      </c>
      <c r="AP726">
        <v>722</v>
      </c>
      <c r="AQ726">
        <f t="shared" si="5099"/>
        <v>81</v>
      </c>
      <c r="AR726">
        <v>13</v>
      </c>
      <c r="AS726" s="17">
        <f t="shared" si="5180"/>
        <v>450</v>
      </c>
      <c r="AT726">
        <v>12</v>
      </c>
      <c r="AU726">
        <f t="shared" si="5100"/>
        <v>36</v>
      </c>
      <c r="AV726">
        <v>150</v>
      </c>
      <c r="AW726">
        <f t="shared" si="5101"/>
        <v>126705.99168000001</v>
      </c>
      <c r="AX726">
        <f t="shared" ref="AX726:AX789" si="5230">BC726</f>
        <v>724224000</v>
      </c>
      <c r="AY726">
        <f t="shared" si="5102"/>
        <v>12070.4</v>
      </c>
      <c r="AZ726">
        <f t="shared" si="5103"/>
        <v>24140.799999999999</v>
      </c>
      <c r="BA726">
        <f t="shared" si="5104"/>
        <v>141312.00000000003</v>
      </c>
      <c r="BB726">
        <f t="shared" si="5105"/>
        <v>6035.2</v>
      </c>
      <c r="BC726">
        <f t="shared" ref="BC726:BC789" si="5231">90/1.5*AZ726*(1/(1+AZ726/(5*BB726)))*6*AV726</f>
        <v>724224000</v>
      </c>
      <c r="BD726">
        <f t="shared" si="5106"/>
        <v>0.29411764705882354</v>
      </c>
      <c r="BE726" s="27">
        <f t="shared" ref="BE726:BE789" si="5232">BC726/10000/(1-BD726)/1*AZ726/L726*(1+0.1*0.5)*0.9*1</f>
        <v>1560388696.4735999</v>
      </c>
      <c r="BF726" s="30">
        <f t="shared" si="5107"/>
        <v>0.49439999999999995</v>
      </c>
      <c r="BG726" s="27"/>
      <c r="BH726" s="27"/>
      <c r="BI726" s="27"/>
      <c r="CA726" s="20">
        <f t="shared" si="5108"/>
        <v>500</v>
      </c>
      <c r="CB726" s="20">
        <f t="shared" si="5109"/>
        <v>50000</v>
      </c>
    </row>
    <row r="727" spans="1:80" x14ac:dyDescent="0.15">
      <c r="A727">
        <v>8104</v>
      </c>
      <c r="B727" s="3" t="s">
        <v>119</v>
      </c>
      <c r="C727" s="4" t="s">
        <v>109</v>
      </c>
      <c r="D727" s="6" t="s">
        <v>120</v>
      </c>
      <c r="E727" s="5">
        <v>3</v>
      </c>
      <c r="F727" s="7" t="s">
        <v>145</v>
      </c>
      <c r="G727" s="5">
        <v>3</v>
      </c>
      <c r="H727" s="7" t="s">
        <v>190</v>
      </c>
      <c r="I727" s="5">
        <v>0</v>
      </c>
      <c r="J727" s="5">
        <v>0</v>
      </c>
      <c r="K727">
        <v>2</v>
      </c>
      <c r="L727">
        <v>1.5</v>
      </c>
      <c r="M727" s="5">
        <v>1.5</v>
      </c>
      <c r="N727" s="5">
        <v>10</v>
      </c>
      <c r="O727" s="5">
        <f t="shared" si="5089"/>
        <v>128083</v>
      </c>
      <c r="P727" s="5">
        <f t="shared" si="5090"/>
        <v>732096000</v>
      </c>
      <c r="Q727" s="5">
        <f t="shared" si="5091"/>
        <v>12201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70041</v>
      </c>
      <c r="X727" s="6" t="s">
        <v>182</v>
      </c>
      <c r="Y727" s="5">
        <v>300</v>
      </c>
      <c r="Z727" s="5">
        <v>1</v>
      </c>
      <c r="AA727" s="5">
        <v>332038103</v>
      </c>
      <c r="AB727" s="16" t="s">
        <v>111</v>
      </c>
      <c r="AC727" s="7" t="s">
        <v>112</v>
      </c>
      <c r="AD727" s="7" t="s">
        <v>112</v>
      </c>
      <c r="AE727" s="7" t="s">
        <v>112</v>
      </c>
      <c r="AF727" s="6" t="s">
        <v>113</v>
      </c>
      <c r="AG727" s="26" t="str">
        <f t="shared" ref="AG727" si="5233">CM$7</f>
        <v>4,14,28,14,6,4,14,28,14,6</v>
      </c>
      <c r="AH727" s="26" t="str">
        <f t="shared" ref="AH727" si="5234">CN$7</f>
        <v>0,0,0,0,1,0,0,0,0,1</v>
      </c>
      <c r="AI727" s="26" t="str">
        <f t="shared" ref="AI727" si="5235">CO$7</f>
        <v>0,0,0,0,1,0,0,0,0,1</v>
      </c>
      <c r="AJ727" s="26" t="str">
        <f t="shared" ref="AJ727" si="5236">CP$7</f>
        <v>0,0,0,0,5,0,0,0,0,5</v>
      </c>
      <c r="AK727" s="26" t="str">
        <f t="shared" ref="AK727" si="5237">CQ$7</f>
        <v>100,1,1000,2,5,200,1,1000,2,5</v>
      </c>
      <c r="AL727" s="26" t="str">
        <f t="shared" ref="AL727" si="5238">CR$7</f>
        <v>5,5,5,5,5,5,5,5,5,5</v>
      </c>
      <c r="AM727" s="7">
        <v>2001</v>
      </c>
      <c r="AO727">
        <f t="shared" ref="AO727" si="5239">AQ727*100+4</f>
        <v>8104</v>
      </c>
      <c r="AP727">
        <v>723</v>
      </c>
      <c r="AQ727">
        <f t="shared" si="5099"/>
        <v>81</v>
      </c>
      <c r="AR727">
        <v>13</v>
      </c>
      <c r="AS727" s="17">
        <f t="shared" si="5180"/>
        <v>455</v>
      </c>
      <c r="AT727">
        <v>12</v>
      </c>
      <c r="AU727">
        <f t="shared" si="5100"/>
        <v>36</v>
      </c>
      <c r="AV727">
        <v>150</v>
      </c>
      <c r="AW727">
        <f t="shared" si="5101"/>
        <v>128083.23072000002</v>
      </c>
      <c r="AX727">
        <f t="shared" si="5230"/>
        <v>732095999.99999988</v>
      </c>
      <c r="AY727">
        <f t="shared" si="5102"/>
        <v>12201.599999999999</v>
      </c>
      <c r="AZ727">
        <f t="shared" si="5103"/>
        <v>24403.199999999997</v>
      </c>
      <c r="BA727">
        <f t="shared" si="5104"/>
        <v>142848.00000000003</v>
      </c>
      <c r="BB727">
        <f t="shared" si="5105"/>
        <v>6100.7999999999993</v>
      </c>
      <c r="BC727">
        <f t="shared" si="5231"/>
        <v>732095999.99999988</v>
      </c>
      <c r="BD727">
        <f t="shared" si="5106"/>
        <v>0.29411764705882354</v>
      </c>
      <c r="BE727" s="27">
        <f t="shared" si="5232"/>
        <v>1594494545.8175998</v>
      </c>
      <c r="BF727" s="30">
        <f t="shared" si="5107"/>
        <v>0.49439999999999995</v>
      </c>
      <c r="BG727" s="27"/>
      <c r="BH727" s="27"/>
      <c r="BI727" s="27"/>
      <c r="CA727" s="20">
        <f t="shared" si="5108"/>
        <v>500</v>
      </c>
      <c r="CB727" s="20">
        <f t="shared" si="5109"/>
        <v>50000</v>
      </c>
    </row>
    <row r="728" spans="1:80" x14ac:dyDescent="0.15">
      <c r="A728">
        <v>8105</v>
      </c>
      <c r="B728" s="3" t="s">
        <v>122</v>
      </c>
      <c r="C728" s="4" t="s">
        <v>109</v>
      </c>
      <c r="D728" s="4" t="s">
        <v>110</v>
      </c>
      <c r="E728" s="5">
        <v>2</v>
      </c>
      <c r="F728" s="7" t="s">
        <v>146</v>
      </c>
      <c r="G728" s="5">
        <v>3</v>
      </c>
      <c r="H728" s="7" t="s">
        <v>191</v>
      </c>
      <c r="I728" s="5">
        <v>0</v>
      </c>
      <c r="J728" s="7" t="s">
        <v>148</v>
      </c>
      <c r="K728">
        <v>6</v>
      </c>
      <c r="L728">
        <v>1.5</v>
      </c>
      <c r="M728" s="5">
        <v>1.5</v>
      </c>
      <c r="N728" s="5">
        <v>10</v>
      </c>
      <c r="O728" s="5">
        <f t="shared" si="5089"/>
        <v>129460</v>
      </c>
      <c r="P728" s="5">
        <f t="shared" si="5090"/>
        <v>739968000</v>
      </c>
      <c r="Q728" s="5">
        <f t="shared" si="5091"/>
        <v>12332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70051</v>
      </c>
      <c r="X728" s="6" t="s">
        <v>183</v>
      </c>
      <c r="Y728" s="5">
        <v>300</v>
      </c>
      <c r="Z728" s="5">
        <v>1</v>
      </c>
      <c r="AA728" s="5">
        <v>339715031</v>
      </c>
      <c r="AB728" s="16" t="s">
        <v>111</v>
      </c>
      <c r="AC728" s="7" t="s">
        <v>112</v>
      </c>
      <c r="AD728" s="7" t="s">
        <v>112</v>
      </c>
      <c r="AE728" s="7" t="s">
        <v>112</v>
      </c>
      <c r="AF728" s="6" t="s">
        <v>113</v>
      </c>
      <c r="AG728" s="26" t="str">
        <f t="shared" ref="AG728" si="5240">CM$8</f>
        <v>4,19,28,19,6,4,19,28,19,6</v>
      </c>
      <c r="AH728" s="26" t="str">
        <f t="shared" ref="AH728" si="5241">CN$8</f>
        <v>0,0,0,0,1,0,0,0,0,1</v>
      </c>
      <c r="AI728" s="26" t="str">
        <f t="shared" ref="AI728" si="5242">CO$8</f>
        <v>0,0,0,0,1,0,0,0,0,1</v>
      </c>
      <c r="AJ728" s="26" t="str">
        <f t="shared" ref="AJ728" si="5243">CP$8</f>
        <v>0,0,0,0,5,0,0,0,0,5</v>
      </c>
      <c r="AK728" s="26" t="str">
        <f t="shared" ref="AK728" si="5244">CQ$8</f>
        <v>200,100,1000,200,5,200,100,1000,200,5</v>
      </c>
      <c r="AL728" s="26" t="str">
        <f t="shared" ref="AL728" si="5245">CR$8</f>
        <v>5,5,5,5,5,5,5,5,5,5</v>
      </c>
      <c r="AM728" s="7">
        <v>2001</v>
      </c>
      <c r="AO728">
        <f t="shared" ref="AO728" si="5246">AQ728*100+5</f>
        <v>8105</v>
      </c>
      <c r="AP728">
        <v>724</v>
      </c>
      <c r="AQ728">
        <f t="shared" si="5099"/>
        <v>81</v>
      </c>
      <c r="AR728">
        <v>13</v>
      </c>
      <c r="AS728" s="17">
        <f t="shared" si="5180"/>
        <v>460</v>
      </c>
      <c r="AT728">
        <v>12</v>
      </c>
      <c r="AU728">
        <f t="shared" si="5100"/>
        <v>36</v>
      </c>
      <c r="AV728">
        <v>150</v>
      </c>
      <c r="AW728">
        <f t="shared" si="5101"/>
        <v>129460.46976000001</v>
      </c>
      <c r="AX728">
        <f t="shared" si="5230"/>
        <v>739968000</v>
      </c>
      <c r="AY728">
        <f t="shared" si="5102"/>
        <v>12332.8</v>
      </c>
      <c r="AZ728">
        <f t="shared" si="5103"/>
        <v>24665.599999999999</v>
      </c>
      <c r="BA728">
        <f t="shared" si="5104"/>
        <v>144384.00000000003</v>
      </c>
      <c r="BB728">
        <f t="shared" si="5105"/>
        <v>6166.4</v>
      </c>
      <c r="BC728">
        <f t="shared" si="5231"/>
        <v>739968000</v>
      </c>
      <c r="BD728">
        <f t="shared" si="5106"/>
        <v>0.29411764705882359</v>
      </c>
      <c r="BE728" s="27">
        <f t="shared" si="5232"/>
        <v>1628969107.0464003</v>
      </c>
      <c r="BF728" s="30">
        <f t="shared" si="5107"/>
        <v>0.49439999999999995</v>
      </c>
      <c r="BG728" s="27"/>
      <c r="BH728" s="27"/>
      <c r="BI728" s="27"/>
      <c r="CA728" s="20">
        <f t="shared" si="5108"/>
        <v>500</v>
      </c>
      <c r="CB728" s="20">
        <f t="shared" si="5109"/>
        <v>50000</v>
      </c>
    </row>
    <row r="729" spans="1:80" x14ac:dyDescent="0.15">
      <c r="A729">
        <v>8106</v>
      </c>
      <c r="B729" s="3" t="s">
        <v>124</v>
      </c>
      <c r="C729" s="4" t="s">
        <v>109</v>
      </c>
      <c r="D729" s="6" t="s">
        <v>120</v>
      </c>
      <c r="E729" s="5">
        <v>1</v>
      </c>
      <c r="F729" s="7" t="s">
        <v>147</v>
      </c>
      <c r="G729" s="5">
        <v>3</v>
      </c>
      <c r="H729" s="7" t="s">
        <v>192</v>
      </c>
      <c r="I729" s="5">
        <v>0</v>
      </c>
      <c r="J729" s="7" t="s">
        <v>149</v>
      </c>
      <c r="K729">
        <v>6</v>
      </c>
      <c r="L729">
        <v>1.5</v>
      </c>
      <c r="M729" s="5">
        <v>1.5</v>
      </c>
      <c r="N729" s="5">
        <v>10</v>
      </c>
      <c r="O729" s="5">
        <f t="shared" si="5089"/>
        <v>130837</v>
      </c>
      <c r="P729" s="5">
        <f t="shared" si="5090"/>
        <v>747840000</v>
      </c>
      <c r="Q729" s="5">
        <f t="shared" si="5091"/>
        <v>12464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70061</v>
      </c>
      <c r="X729" s="6" t="s">
        <v>184</v>
      </c>
      <c r="Y729" s="5">
        <v>300</v>
      </c>
      <c r="Z729" s="5">
        <v>1</v>
      </c>
      <c r="AA729" s="5">
        <v>347479695</v>
      </c>
      <c r="AB729" s="16" t="s">
        <v>111</v>
      </c>
      <c r="AC729" s="7" t="s">
        <v>112</v>
      </c>
      <c r="AD729" s="7" t="s">
        <v>112</v>
      </c>
      <c r="AE729" s="7" t="s">
        <v>112</v>
      </c>
      <c r="AF729" s="6" t="s">
        <v>113</v>
      </c>
      <c r="AG729" s="26" t="str">
        <f t="shared" ref="AG729" si="5247">CM$9</f>
        <v>4,33,28,33,6,4,33,28,33,6</v>
      </c>
      <c r="AH729" s="26" t="str">
        <f t="shared" ref="AH729" si="5248">CN$9</f>
        <v>0,6,0,6,1,0,6,0,6,1</v>
      </c>
      <c r="AI729" s="26" t="str">
        <f t="shared" ref="AI729" si="5249">CO$9</f>
        <v>0,0,0,0,1,0,0,0,0,1</v>
      </c>
      <c r="AJ729" s="26" t="str">
        <f t="shared" ref="AJ729" si="5250">CP$9</f>
        <v>0,0,0,0,5,0,0,0,0,5</v>
      </c>
      <c r="AK729" s="26" t="str">
        <f t="shared" ref="AK729" si="5251">CQ$9</f>
        <v>200,1,1000,2,5,200,1,1000,2,5</v>
      </c>
      <c r="AL729" s="26" t="str">
        <f t="shared" ref="AL729" si="5252">CR$9</f>
        <v>5,5,5,5,5,5,5,5,5,5</v>
      </c>
      <c r="AM729" s="7">
        <v>2001</v>
      </c>
      <c r="AO729">
        <f t="shared" ref="AO729" si="5253">AQ729*100+6</f>
        <v>8106</v>
      </c>
      <c r="AP729">
        <v>725</v>
      </c>
      <c r="AQ729">
        <f t="shared" si="5099"/>
        <v>81</v>
      </c>
      <c r="AR729">
        <v>13</v>
      </c>
      <c r="AS729" s="17">
        <f t="shared" si="5180"/>
        <v>465</v>
      </c>
      <c r="AT729">
        <v>12</v>
      </c>
      <c r="AU729">
        <f t="shared" si="5100"/>
        <v>36</v>
      </c>
      <c r="AV729">
        <v>150</v>
      </c>
      <c r="AW729">
        <f t="shared" si="5101"/>
        <v>130837.70880000002</v>
      </c>
      <c r="AX729">
        <f t="shared" si="5230"/>
        <v>747840000</v>
      </c>
      <c r="AY729">
        <f t="shared" si="5102"/>
        <v>12463.999999999998</v>
      </c>
      <c r="AZ729">
        <f t="shared" si="5103"/>
        <v>24927.999999999996</v>
      </c>
      <c r="BA729">
        <f t="shared" si="5104"/>
        <v>145920.00000000003</v>
      </c>
      <c r="BB729">
        <f t="shared" si="5105"/>
        <v>6231.9999999999991</v>
      </c>
      <c r="BC729">
        <f t="shared" si="5231"/>
        <v>747840000</v>
      </c>
      <c r="BD729">
        <f t="shared" si="5106"/>
        <v>0.29411764705882354</v>
      </c>
      <c r="BE729" s="27">
        <f t="shared" si="5232"/>
        <v>1663812380.1600001</v>
      </c>
      <c r="BF729" s="30">
        <f t="shared" si="5107"/>
        <v>0.49439999999999995</v>
      </c>
      <c r="BG729" s="27"/>
      <c r="BH729" s="27"/>
      <c r="BI729" s="27"/>
      <c r="CA729" s="20">
        <f t="shared" si="5108"/>
        <v>500</v>
      </c>
      <c r="CB729" s="20">
        <f t="shared" si="5109"/>
        <v>50000</v>
      </c>
    </row>
    <row r="730" spans="1:80" x14ac:dyDescent="0.15">
      <c r="A730">
        <v>8107</v>
      </c>
      <c r="B730" s="3" t="s">
        <v>126</v>
      </c>
      <c r="C730" s="4" t="s">
        <v>109</v>
      </c>
      <c r="D730" s="4" t="s">
        <v>110</v>
      </c>
      <c r="E730" s="5">
        <v>2</v>
      </c>
      <c r="F730" s="7" t="s">
        <v>143</v>
      </c>
      <c r="G730" s="5">
        <v>3</v>
      </c>
      <c r="H730" s="7" t="s">
        <v>193</v>
      </c>
      <c r="I730" s="5">
        <v>0</v>
      </c>
      <c r="J730" s="5">
        <v>0</v>
      </c>
      <c r="K730">
        <v>2</v>
      </c>
      <c r="L730">
        <v>1.5</v>
      </c>
      <c r="M730" s="5">
        <v>1.5</v>
      </c>
      <c r="N730" s="5">
        <v>10</v>
      </c>
      <c r="O730" s="5">
        <f t="shared" si="5089"/>
        <v>132214</v>
      </c>
      <c r="P730" s="5">
        <f t="shared" si="5090"/>
        <v>755712000</v>
      </c>
      <c r="Q730" s="5">
        <f t="shared" si="5091"/>
        <v>12595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70071</v>
      </c>
      <c r="X730" s="6" t="s">
        <v>185</v>
      </c>
      <c r="Y730" s="5">
        <v>300</v>
      </c>
      <c r="Z730" s="5">
        <v>1</v>
      </c>
      <c r="AA730" s="5">
        <v>355332096</v>
      </c>
      <c r="AB730" s="16" t="s">
        <v>111</v>
      </c>
      <c r="AC730" s="7" t="s">
        <v>112</v>
      </c>
      <c r="AD730" s="7" t="s">
        <v>112</v>
      </c>
      <c r="AE730" s="7" t="s">
        <v>112</v>
      </c>
      <c r="AF730" s="6" t="s">
        <v>113</v>
      </c>
      <c r="AG730" s="26" t="str">
        <f t="shared" ref="AG730" si="5254">CM$10</f>
        <v>4,14,28,14,6,4,14,28,14,6</v>
      </c>
      <c r="AH730" s="26" t="str">
        <f t="shared" ref="AH730" si="5255">CN$10</f>
        <v>0,0,0,0,1,0,0,0,0,1</v>
      </c>
      <c r="AI730" s="26" t="str">
        <f t="shared" ref="AI730" si="5256">CO$10</f>
        <v>0,0,0,0,1,0,0,0,0,1</v>
      </c>
      <c r="AJ730" s="26" t="str">
        <f t="shared" ref="AJ730" si="5257">CP$10</f>
        <v>0,0,0,0,5,0,0,0,0,5</v>
      </c>
      <c r="AK730" s="26" t="str">
        <f t="shared" ref="AK730" si="5258">CQ$10</f>
        <v>200,1,1000,2,5,200,1,1000,2,5</v>
      </c>
      <c r="AL730" s="26" t="str">
        <f t="shared" ref="AL730" si="5259">CR$10</f>
        <v>5,5,5,5,5,5,5,5,5,5</v>
      </c>
      <c r="AM730" s="7">
        <v>2001</v>
      </c>
      <c r="AO730">
        <f t="shared" ref="AO730" si="5260">AQ730*100+7</f>
        <v>8107</v>
      </c>
      <c r="AP730">
        <v>726</v>
      </c>
      <c r="AQ730">
        <f t="shared" si="5099"/>
        <v>81</v>
      </c>
      <c r="AR730">
        <v>13</v>
      </c>
      <c r="AS730" s="17">
        <f t="shared" si="5180"/>
        <v>470</v>
      </c>
      <c r="AT730">
        <v>12</v>
      </c>
      <c r="AU730">
        <f t="shared" si="5100"/>
        <v>36</v>
      </c>
      <c r="AV730">
        <v>150</v>
      </c>
      <c r="AW730">
        <f t="shared" si="5101"/>
        <v>132214.94784000004</v>
      </c>
      <c r="AX730">
        <f t="shared" si="5230"/>
        <v>755711999.99999988</v>
      </c>
      <c r="AY730">
        <f t="shared" si="5102"/>
        <v>12595.199999999999</v>
      </c>
      <c r="AZ730">
        <f t="shared" si="5103"/>
        <v>25190.399999999998</v>
      </c>
      <c r="BA730">
        <f t="shared" si="5104"/>
        <v>147456.00000000003</v>
      </c>
      <c r="BB730">
        <f t="shared" si="5105"/>
        <v>6297.5999999999995</v>
      </c>
      <c r="BC730">
        <f t="shared" si="5231"/>
        <v>755711999.99999988</v>
      </c>
      <c r="BD730">
        <f t="shared" si="5106"/>
        <v>0.29411764705882348</v>
      </c>
      <c r="BE730" s="27">
        <f t="shared" si="5232"/>
        <v>1699024365.1583993</v>
      </c>
      <c r="BF730" s="30">
        <f t="shared" si="5107"/>
        <v>0.49439999999999995</v>
      </c>
      <c r="BG730" s="27"/>
      <c r="BH730" s="27"/>
      <c r="BI730" s="27"/>
      <c r="CA730" s="20">
        <f t="shared" si="5108"/>
        <v>500</v>
      </c>
      <c r="CB730" s="20">
        <f t="shared" si="5109"/>
        <v>50000</v>
      </c>
    </row>
    <row r="731" spans="1:80" x14ac:dyDescent="0.15">
      <c r="A731">
        <v>8108</v>
      </c>
      <c r="B731" s="3" t="s">
        <v>128</v>
      </c>
      <c r="C731" s="4" t="s">
        <v>109</v>
      </c>
      <c r="D731" s="4" t="s">
        <v>110</v>
      </c>
      <c r="E731" s="5">
        <v>5</v>
      </c>
      <c r="F731" s="7" t="s">
        <v>129</v>
      </c>
      <c r="G731" s="5">
        <v>2</v>
      </c>
      <c r="H731" s="7" t="s">
        <v>130</v>
      </c>
      <c r="I731" s="5">
        <v>0</v>
      </c>
      <c r="J731" s="5">
        <v>0</v>
      </c>
      <c r="K731">
        <v>2</v>
      </c>
      <c r="L731">
        <v>1.5</v>
      </c>
      <c r="M731" s="5">
        <v>1.5</v>
      </c>
      <c r="N731" s="5">
        <v>10</v>
      </c>
      <c r="O731" s="5">
        <f t="shared" si="5089"/>
        <v>133592</v>
      </c>
      <c r="P731" s="5">
        <f t="shared" si="5090"/>
        <v>763584000</v>
      </c>
      <c r="Q731" s="5">
        <f t="shared" si="5091"/>
        <v>12726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70081</v>
      </c>
      <c r="X731" s="6" t="s">
        <v>186</v>
      </c>
      <c r="Y731" s="5">
        <v>300</v>
      </c>
      <c r="Z731" s="5">
        <v>1</v>
      </c>
      <c r="AA731" s="5">
        <v>363272233</v>
      </c>
      <c r="AB731" s="16" t="s">
        <v>111</v>
      </c>
      <c r="AC731" s="7" t="s">
        <v>112</v>
      </c>
      <c r="AD731" s="7" t="s">
        <v>112</v>
      </c>
      <c r="AE731" s="7" t="s">
        <v>112</v>
      </c>
      <c r="AF731" s="6" t="s">
        <v>113</v>
      </c>
      <c r="AG731" s="26" t="str">
        <f t="shared" ref="AG731" si="5261">CM$11</f>
        <v>4,28,6,28,6,4,28,6,28,6</v>
      </c>
      <c r="AH731" s="26" t="str">
        <f t="shared" ref="AH731" si="5262">CN$11</f>
        <v>0,0,1,0,1,0,0,1,0,1</v>
      </c>
      <c r="AI731" s="26" t="str">
        <f t="shared" ref="AI731" si="5263">CO$11</f>
        <v>0,0,1,0,1,0,0,1,0,1</v>
      </c>
      <c r="AJ731" s="26" t="str">
        <f t="shared" ref="AJ731" si="5264">CP$11</f>
        <v>0,0,5,0,5,0,0,5,0,5</v>
      </c>
      <c r="AK731" s="26" t="str">
        <f t="shared" ref="AK731" si="5265">CQ$11</f>
        <v>100,1000,5,1500,5,200,1000,5,1500,5</v>
      </c>
      <c r="AL731" s="26" t="str">
        <f t="shared" ref="AL731" si="5266">CR$11</f>
        <v>5,5,5,5,5,5,5,5,5,5</v>
      </c>
      <c r="AM731" s="7">
        <v>2001</v>
      </c>
      <c r="AO731">
        <f t="shared" ref="AO731" si="5267">AQ731*100+8</f>
        <v>8108</v>
      </c>
      <c r="AP731">
        <v>727</v>
      </c>
      <c r="AQ731">
        <f t="shared" si="5099"/>
        <v>81</v>
      </c>
      <c r="AR731">
        <v>13</v>
      </c>
      <c r="AS731" s="17">
        <f t="shared" si="5180"/>
        <v>475</v>
      </c>
      <c r="AT731">
        <v>12</v>
      </c>
      <c r="AU731">
        <f t="shared" si="5100"/>
        <v>36</v>
      </c>
      <c r="AV731">
        <v>150</v>
      </c>
      <c r="AW731">
        <f t="shared" si="5101"/>
        <v>133592.18688000002</v>
      </c>
      <c r="AX731">
        <f t="shared" si="5230"/>
        <v>763584000</v>
      </c>
      <c r="AY731">
        <f t="shared" si="5102"/>
        <v>12726.4</v>
      </c>
      <c r="AZ731">
        <f t="shared" si="5103"/>
        <v>25452.799999999999</v>
      </c>
      <c r="BA731">
        <f t="shared" si="5104"/>
        <v>148992.00000000003</v>
      </c>
      <c r="BB731">
        <f t="shared" si="5105"/>
        <v>6363.2</v>
      </c>
      <c r="BC731">
        <f t="shared" si="5231"/>
        <v>763584000</v>
      </c>
      <c r="BD731">
        <f t="shared" si="5106"/>
        <v>0.29411764705882354</v>
      </c>
      <c r="BE731" s="27">
        <f t="shared" si="5232"/>
        <v>1734605062.0416002</v>
      </c>
      <c r="BF731" s="30">
        <f t="shared" si="5107"/>
        <v>0.49439999999999995</v>
      </c>
      <c r="BG731" s="27"/>
      <c r="BH731" s="27"/>
      <c r="BI731" s="27"/>
      <c r="CA731" s="20">
        <f t="shared" si="5108"/>
        <v>500</v>
      </c>
      <c r="CB731" s="20">
        <f t="shared" si="5109"/>
        <v>50000</v>
      </c>
    </row>
    <row r="732" spans="1:80" x14ac:dyDescent="0.15">
      <c r="A732">
        <v>8109</v>
      </c>
      <c r="B732" s="3" t="s">
        <v>132</v>
      </c>
      <c r="C732" s="4" t="s">
        <v>109</v>
      </c>
      <c r="D732" s="4" t="s">
        <v>110</v>
      </c>
      <c r="E732" s="5">
        <v>5</v>
      </c>
      <c r="F732" s="7" t="s">
        <v>140</v>
      </c>
      <c r="G732" s="5">
        <v>3</v>
      </c>
      <c r="H732" s="7" t="s">
        <v>140</v>
      </c>
      <c r="I732" s="5">
        <v>0</v>
      </c>
      <c r="J732" s="7">
        <v>0</v>
      </c>
      <c r="K732">
        <v>6</v>
      </c>
      <c r="L732">
        <v>1.5</v>
      </c>
      <c r="M732" s="5">
        <v>1.5</v>
      </c>
      <c r="N732" s="5">
        <v>10</v>
      </c>
      <c r="O732" s="5">
        <f t="shared" si="5089"/>
        <v>134969</v>
      </c>
      <c r="P732" s="5">
        <f t="shared" si="5090"/>
        <v>771456000</v>
      </c>
      <c r="Q732" s="5">
        <f t="shared" si="5091"/>
        <v>12857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70091</v>
      </c>
      <c r="X732" s="6" t="s">
        <v>187</v>
      </c>
      <c r="Y732" s="5">
        <v>300</v>
      </c>
      <c r="Z732" s="5">
        <v>1</v>
      </c>
      <c r="AA732" s="5">
        <v>371300106</v>
      </c>
      <c r="AB732" s="16" t="s">
        <v>111</v>
      </c>
      <c r="AC732" s="7" t="s">
        <v>112</v>
      </c>
      <c r="AD732" s="7" t="s">
        <v>112</v>
      </c>
      <c r="AE732" s="7" t="s">
        <v>112</v>
      </c>
      <c r="AF732" s="6" t="s">
        <v>113</v>
      </c>
      <c r="AG732" s="26" t="str">
        <f t="shared" ref="AG732" si="5268">CM$12</f>
        <v>4,33,28,33,6,4,33,28,33,6</v>
      </c>
      <c r="AH732" s="26" t="str">
        <f t="shared" ref="AH732" si="5269">CN$12</f>
        <v>0,5,0,5,1,0,5,0,5,1</v>
      </c>
      <c r="AI732" s="26" t="str">
        <f t="shared" ref="AI732" si="5270">CO$12</f>
        <v>0,0,0,0,1,0,0,0,0,1</v>
      </c>
      <c r="AJ732" s="26" t="str">
        <f t="shared" ref="AJ732" si="5271">CP$12</f>
        <v>0,0,0,0,5,0,0,0,0,5</v>
      </c>
      <c r="AK732" s="26" t="str">
        <f t="shared" ref="AK732" si="5272">CQ$12</f>
        <v>100,1,1000,2,5,200,1,1000,2,5</v>
      </c>
      <c r="AL732" s="26" t="str">
        <f t="shared" ref="AL732" si="5273">CR$12</f>
        <v>5,5,5,5,5,5,5,5,5,5</v>
      </c>
      <c r="AM732" s="7">
        <v>2001</v>
      </c>
      <c r="AO732">
        <f t="shared" ref="AO732" si="5274">AQ732*100+9</f>
        <v>8109</v>
      </c>
      <c r="AP732">
        <v>728</v>
      </c>
      <c r="AQ732">
        <f t="shared" si="5099"/>
        <v>81</v>
      </c>
      <c r="AR732">
        <v>13</v>
      </c>
      <c r="AS732" s="17">
        <f t="shared" si="5180"/>
        <v>480</v>
      </c>
      <c r="AT732">
        <v>12</v>
      </c>
      <c r="AU732">
        <f t="shared" si="5100"/>
        <v>36</v>
      </c>
      <c r="AV732">
        <v>150</v>
      </c>
      <c r="AW732">
        <f t="shared" si="5101"/>
        <v>134969.42592000001</v>
      </c>
      <c r="AX732">
        <f t="shared" si="5230"/>
        <v>771456000</v>
      </c>
      <c r="AY732">
        <f t="shared" si="5102"/>
        <v>12857.599999999999</v>
      </c>
      <c r="AZ732">
        <f t="shared" si="5103"/>
        <v>25715.199999999997</v>
      </c>
      <c r="BA732">
        <f t="shared" si="5104"/>
        <v>150528.00000000003</v>
      </c>
      <c r="BB732">
        <f t="shared" si="5105"/>
        <v>6428.7999999999993</v>
      </c>
      <c r="BC732">
        <f t="shared" si="5231"/>
        <v>771456000</v>
      </c>
      <c r="BD732">
        <f t="shared" si="5106"/>
        <v>0.29411764705882354</v>
      </c>
      <c r="BE732" s="27">
        <f t="shared" si="5232"/>
        <v>1770554470.8096001</v>
      </c>
      <c r="BF732" s="30">
        <f t="shared" si="5107"/>
        <v>0.49439999999999995</v>
      </c>
      <c r="BG732" s="27"/>
      <c r="BH732" s="27"/>
      <c r="BI732" s="27"/>
      <c r="CA732" s="20">
        <f t="shared" si="5108"/>
        <v>500</v>
      </c>
      <c r="CB732" s="20">
        <f t="shared" si="5109"/>
        <v>50000</v>
      </c>
    </row>
    <row r="733" spans="1:80" x14ac:dyDescent="0.15">
      <c r="A733">
        <v>8201</v>
      </c>
      <c r="B733" s="3" t="s">
        <v>108</v>
      </c>
      <c r="C733" s="4" t="s">
        <v>109</v>
      </c>
      <c r="D733" s="4" t="s">
        <v>110</v>
      </c>
      <c r="E733" s="5">
        <v>3</v>
      </c>
      <c r="F733" s="7" t="s">
        <v>141</v>
      </c>
      <c r="G733" s="5">
        <v>2.5</v>
      </c>
      <c r="H733" s="7" t="s">
        <v>194</v>
      </c>
      <c r="I733" s="5">
        <v>0</v>
      </c>
      <c r="J733" s="5">
        <v>0</v>
      </c>
      <c r="K733">
        <v>2</v>
      </c>
      <c r="L733">
        <v>1.5</v>
      </c>
      <c r="M733" s="5">
        <v>1.5</v>
      </c>
      <c r="N733" s="5">
        <v>10</v>
      </c>
      <c r="O733" s="5">
        <f t="shared" si="5089"/>
        <v>125530</v>
      </c>
      <c r="P733" s="5">
        <f t="shared" si="5090"/>
        <v>716352000</v>
      </c>
      <c r="Q733" s="5">
        <f t="shared" si="5091"/>
        <v>11939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70011</v>
      </c>
      <c r="X733" s="6" t="s">
        <v>179</v>
      </c>
      <c r="Y733" s="5">
        <v>300</v>
      </c>
      <c r="Z733" s="5">
        <v>1</v>
      </c>
      <c r="AA733" s="5">
        <v>379415716</v>
      </c>
      <c r="AB733" s="16" t="s">
        <v>111</v>
      </c>
      <c r="AC733" s="7" t="s">
        <v>112</v>
      </c>
      <c r="AD733" s="7" t="s">
        <v>112</v>
      </c>
      <c r="AE733" s="7" t="s">
        <v>112</v>
      </c>
      <c r="AF733" s="6" t="s">
        <v>113</v>
      </c>
      <c r="AG733" s="26" t="str">
        <f t="shared" ref="AG733" si="5275">CM$4</f>
        <v>4,33,28,33,6,4,33,28,33,6</v>
      </c>
      <c r="AH733" s="26" t="str">
        <f t="shared" ref="AH733" si="5276">CN$4</f>
        <v>0,8,0,8,1,0,8,0,8,1</v>
      </c>
      <c r="AI733" s="26" t="str">
        <f t="shared" ref="AI733" si="5277">CO$4</f>
        <v>0,0,0,0,1,0,0,0,0,1</v>
      </c>
      <c r="AJ733" s="26" t="str">
        <f t="shared" ref="AJ733" si="5278">CP$4</f>
        <v>0,0,0,0,5,0,0,0,0,5</v>
      </c>
      <c r="AK733" s="26" t="str">
        <f t="shared" ref="AK733" si="5279">CQ$4</f>
        <v>100,1,1000,2,5,200,1,1000,2,5</v>
      </c>
      <c r="AL733" s="26" t="str">
        <f t="shared" ref="AL733" si="5280">CR$4</f>
        <v>5,5,5,5,5,5,5,5,5,5</v>
      </c>
      <c r="AM733" s="7">
        <v>2001</v>
      </c>
      <c r="AO733">
        <f t="shared" ref="AO733" si="5281">AQ733*100+1</f>
        <v>8201</v>
      </c>
      <c r="AP733">
        <v>729</v>
      </c>
      <c r="AQ733">
        <f t="shared" si="5099"/>
        <v>82</v>
      </c>
      <c r="AR733">
        <v>13</v>
      </c>
      <c r="AS733" s="17">
        <f t="shared" si="5180"/>
        <v>445</v>
      </c>
      <c r="AT733">
        <v>12</v>
      </c>
      <c r="AU733">
        <f t="shared" si="5100"/>
        <v>36</v>
      </c>
      <c r="AV733">
        <v>150</v>
      </c>
      <c r="AW733">
        <f t="shared" si="5101"/>
        <v>125530.03008000003</v>
      </c>
      <c r="AX733">
        <f t="shared" si="5230"/>
        <v>716352000</v>
      </c>
      <c r="AY733">
        <f t="shared" si="5102"/>
        <v>11939.199999999999</v>
      </c>
      <c r="AZ733">
        <f t="shared" si="5103"/>
        <v>23878.399999999998</v>
      </c>
      <c r="BA733">
        <f t="shared" si="5104"/>
        <v>139776.00000000003</v>
      </c>
      <c r="BB733">
        <f t="shared" si="5105"/>
        <v>5969.5999999999995</v>
      </c>
      <c r="BC733">
        <f t="shared" si="5231"/>
        <v>716352000</v>
      </c>
      <c r="BD733">
        <f t="shared" si="5106"/>
        <v>0.29411764705882348</v>
      </c>
      <c r="BE733" s="27">
        <f t="shared" si="5232"/>
        <v>1526651559.0143995</v>
      </c>
      <c r="BF733" s="30">
        <f t="shared" si="5107"/>
        <v>0.49679999999999996</v>
      </c>
      <c r="BG733" s="27"/>
      <c r="BH733" s="27"/>
      <c r="BI733" s="27"/>
      <c r="CA733" s="20">
        <f t="shared" si="5108"/>
        <v>505</v>
      </c>
      <c r="CB733" s="20">
        <f t="shared" si="5109"/>
        <v>50500</v>
      </c>
    </row>
    <row r="734" spans="1:80" x14ac:dyDescent="0.15">
      <c r="A734">
        <v>8202</v>
      </c>
      <c r="B734" s="3" t="s">
        <v>115</v>
      </c>
      <c r="C734" s="4" t="s">
        <v>109</v>
      </c>
      <c r="D734" s="6" t="s">
        <v>110</v>
      </c>
      <c r="E734" s="5">
        <v>3</v>
      </c>
      <c r="F734" s="7" t="s">
        <v>142</v>
      </c>
      <c r="G734" s="5">
        <v>3</v>
      </c>
      <c r="H734" s="7" t="s">
        <v>188</v>
      </c>
      <c r="I734" s="5">
        <v>0</v>
      </c>
      <c r="J734" s="5">
        <v>0</v>
      </c>
      <c r="K734">
        <v>2</v>
      </c>
      <c r="L734">
        <v>1.5</v>
      </c>
      <c r="M734" s="5">
        <v>1.5</v>
      </c>
      <c r="N734" s="5">
        <v>10</v>
      </c>
      <c r="O734" s="5">
        <f t="shared" si="5089"/>
        <v>126909</v>
      </c>
      <c r="P734" s="5">
        <f t="shared" si="5090"/>
        <v>724224000</v>
      </c>
      <c r="Q734" s="5">
        <f t="shared" si="5091"/>
        <v>12070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70021</v>
      </c>
      <c r="X734" s="6" t="s">
        <v>180</v>
      </c>
      <c r="Y734" s="5">
        <v>300</v>
      </c>
      <c r="Z734" s="5">
        <v>1</v>
      </c>
      <c r="AA734" s="5">
        <v>324448911</v>
      </c>
      <c r="AB734" s="16" t="s">
        <v>111</v>
      </c>
      <c r="AC734" s="7" t="s">
        <v>112</v>
      </c>
      <c r="AD734" s="7" t="s">
        <v>112</v>
      </c>
      <c r="AE734" s="7" t="s">
        <v>112</v>
      </c>
      <c r="AF734" s="6" t="s">
        <v>113</v>
      </c>
      <c r="AG734" s="26" t="str">
        <f t="shared" ref="AG734" si="5282">CM$5</f>
        <v>4,33,28,33,6,4,33,28,33,6</v>
      </c>
      <c r="AH734" s="26" t="str">
        <f t="shared" ref="AH734" si="5283">CN$5</f>
        <v>0,7,0,7,1,0,7,0,7,1</v>
      </c>
      <c r="AI734" s="26" t="str">
        <f t="shared" ref="AI734" si="5284">CO$5</f>
        <v>0,0,0,0,1,0,0,0,0,1</v>
      </c>
      <c r="AJ734" s="26" t="str">
        <f t="shared" ref="AJ734" si="5285">CP$5</f>
        <v>0,0,0,0,5,0,0,0,0,5</v>
      </c>
      <c r="AK734" s="26" t="str">
        <f t="shared" ref="AK734" si="5286">CQ$5</f>
        <v>100,1,1000,2,5,200,1,1000,2,5</v>
      </c>
      <c r="AL734" s="26" t="str">
        <f t="shared" ref="AL734" si="5287">CR$5</f>
        <v>5,5,5,5,5,5,5,5,5,5</v>
      </c>
      <c r="AM734" s="7">
        <v>2001</v>
      </c>
      <c r="AO734">
        <f t="shared" ref="AO734" si="5288">AQ734*100+2</f>
        <v>8202</v>
      </c>
      <c r="AP734">
        <v>730</v>
      </c>
      <c r="AQ734">
        <f t="shared" si="5099"/>
        <v>82</v>
      </c>
      <c r="AR734">
        <v>13</v>
      </c>
      <c r="AS734" s="17">
        <f t="shared" si="5180"/>
        <v>450</v>
      </c>
      <c r="AT734">
        <v>12</v>
      </c>
      <c r="AU734">
        <f t="shared" si="5100"/>
        <v>36</v>
      </c>
      <c r="AV734">
        <v>150</v>
      </c>
      <c r="AW734">
        <f t="shared" si="5101"/>
        <v>126909.48096000002</v>
      </c>
      <c r="AX734">
        <f t="shared" si="5230"/>
        <v>724224000</v>
      </c>
      <c r="AY734">
        <f t="shared" si="5102"/>
        <v>12070.4</v>
      </c>
      <c r="AZ734">
        <f t="shared" si="5103"/>
        <v>24140.799999999999</v>
      </c>
      <c r="BA734">
        <f t="shared" si="5104"/>
        <v>141312.00000000003</v>
      </c>
      <c r="BB734">
        <f t="shared" si="5105"/>
        <v>6035.2</v>
      </c>
      <c r="BC734">
        <f t="shared" si="5231"/>
        <v>724224000</v>
      </c>
      <c r="BD734">
        <f t="shared" si="5106"/>
        <v>0.29411764705882354</v>
      </c>
      <c r="BE734" s="27">
        <f t="shared" si="5232"/>
        <v>1560388696.4735999</v>
      </c>
      <c r="BF734" s="30">
        <f t="shared" si="5107"/>
        <v>0.49679999999999996</v>
      </c>
      <c r="BG734" s="27"/>
      <c r="BH734" s="27"/>
      <c r="BI734" s="27"/>
      <c r="CA734" s="20">
        <f t="shared" si="5108"/>
        <v>505</v>
      </c>
      <c r="CB734" s="20">
        <f t="shared" si="5109"/>
        <v>50500</v>
      </c>
    </row>
    <row r="735" spans="1:80" x14ac:dyDescent="0.15">
      <c r="A735">
        <v>8203</v>
      </c>
      <c r="B735" s="3" t="s">
        <v>117</v>
      </c>
      <c r="C735" s="4" t="s">
        <v>109</v>
      </c>
      <c r="D735" s="4" t="s">
        <v>110</v>
      </c>
      <c r="E735" s="5">
        <v>1</v>
      </c>
      <c r="F735" s="7" t="s">
        <v>144</v>
      </c>
      <c r="G735" s="5">
        <v>3</v>
      </c>
      <c r="H735" s="7" t="s">
        <v>189</v>
      </c>
      <c r="I735" s="5">
        <v>0</v>
      </c>
      <c r="J735" s="2">
        <v>0</v>
      </c>
      <c r="K735">
        <v>6</v>
      </c>
      <c r="L735">
        <v>1.5</v>
      </c>
      <c r="M735" s="5">
        <v>1.5</v>
      </c>
      <c r="N735" s="5">
        <v>10</v>
      </c>
      <c r="O735" s="5">
        <f t="shared" si="5089"/>
        <v>128288</v>
      </c>
      <c r="P735" s="5">
        <f t="shared" si="5090"/>
        <v>732096000</v>
      </c>
      <c r="Q735" s="5">
        <f t="shared" si="5091"/>
        <v>12201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70031</v>
      </c>
      <c r="X735" s="6" t="s">
        <v>181</v>
      </c>
      <c r="Y735" s="5">
        <v>300</v>
      </c>
      <c r="Z735" s="5">
        <v>1</v>
      </c>
      <c r="AA735" s="5">
        <v>332038103</v>
      </c>
      <c r="AB735" s="16" t="s">
        <v>111</v>
      </c>
      <c r="AC735" s="7" t="s">
        <v>112</v>
      </c>
      <c r="AD735" s="7" t="s">
        <v>112</v>
      </c>
      <c r="AE735" s="7" t="s">
        <v>112</v>
      </c>
      <c r="AF735" s="6" t="s">
        <v>113</v>
      </c>
      <c r="AG735" s="26" t="str">
        <f t="shared" ref="AG735" si="5289">CM$6</f>
        <v>4,28,6,28,6,4,28,6,28,6</v>
      </c>
      <c r="AH735" s="26" t="str">
        <f t="shared" ref="AH735" si="5290">CN$6</f>
        <v>0,0,1,0,1,0,0,1,0,1</v>
      </c>
      <c r="AI735" s="26" t="str">
        <f t="shared" ref="AI735" si="5291">CO$6</f>
        <v>0,0,0,0,1,0,0,0,0,1</v>
      </c>
      <c r="AJ735" s="26" t="str">
        <f t="shared" ref="AJ735" si="5292">CP$6</f>
        <v>0,0,5,0,5,0,0,5,0,5</v>
      </c>
      <c r="AK735" s="26" t="str">
        <f t="shared" ref="AK735" si="5293">CQ$6</f>
        <v>100,1000,5,1500,5,200,1000,5,1500,5</v>
      </c>
      <c r="AL735" s="26" t="str">
        <f t="shared" ref="AL735" si="5294">CR$6</f>
        <v>5,5,5,5,5,5,5,5,5,5</v>
      </c>
      <c r="AM735" s="7">
        <v>2001</v>
      </c>
      <c r="AO735">
        <f t="shared" ref="AO735" si="5295">AQ735*100+3</f>
        <v>8203</v>
      </c>
      <c r="AP735">
        <v>731</v>
      </c>
      <c r="AQ735">
        <f t="shared" si="5099"/>
        <v>82</v>
      </c>
      <c r="AR735">
        <v>13</v>
      </c>
      <c r="AS735" s="17">
        <f t="shared" si="5180"/>
        <v>455</v>
      </c>
      <c r="AT735">
        <v>12</v>
      </c>
      <c r="AU735">
        <f t="shared" si="5100"/>
        <v>36</v>
      </c>
      <c r="AV735">
        <v>150</v>
      </c>
      <c r="AW735">
        <f t="shared" si="5101"/>
        <v>128288.93184000002</v>
      </c>
      <c r="AX735">
        <f t="shared" si="5230"/>
        <v>732095999.99999988</v>
      </c>
      <c r="AY735">
        <f t="shared" si="5102"/>
        <v>12201.599999999999</v>
      </c>
      <c r="AZ735">
        <f t="shared" si="5103"/>
        <v>24403.199999999997</v>
      </c>
      <c r="BA735">
        <f t="shared" si="5104"/>
        <v>142848.00000000003</v>
      </c>
      <c r="BB735">
        <f t="shared" si="5105"/>
        <v>6100.7999999999993</v>
      </c>
      <c r="BC735">
        <f t="shared" si="5231"/>
        <v>732095999.99999988</v>
      </c>
      <c r="BD735">
        <f t="shared" si="5106"/>
        <v>0.29411764705882354</v>
      </c>
      <c r="BE735" s="27">
        <f t="shared" si="5232"/>
        <v>1594494545.8175998</v>
      </c>
      <c r="BF735" s="30">
        <f t="shared" si="5107"/>
        <v>0.49679999999999996</v>
      </c>
      <c r="BG735" s="27"/>
      <c r="BH735" s="27"/>
      <c r="BI735" s="27"/>
      <c r="CA735" s="20">
        <f t="shared" si="5108"/>
        <v>505</v>
      </c>
      <c r="CB735" s="20">
        <f t="shared" si="5109"/>
        <v>50500</v>
      </c>
    </row>
    <row r="736" spans="1:80" x14ac:dyDescent="0.15">
      <c r="A736">
        <v>8204</v>
      </c>
      <c r="B736" s="3" t="s">
        <v>119</v>
      </c>
      <c r="C736" s="4" t="s">
        <v>109</v>
      </c>
      <c r="D736" s="6" t="s">
        <v>120</v>
      </c>
      <c r="E736" s="5">
        <v>3</v>
      </c>
      <c r="F736" s="7" t="s">
        <v>145</v>
      </c>
      <c r="G736" s="5">
        <v>3</v>
      </c>
      <c r="H736" s="7" t="s">
        <v>190</v>
      </c>
      <c r="I736" s="5">
        <v>0</v>
      </c>
      <c r="J736" s="5">
        <v>0</v>
      </c>
      <c r="K736">
        <v>2</v>
      </c>
      <c r="L736">
        <v>1.5</v>
      </c>
      <c r="M736" s="5">
        <v>1.5</v>
      </c>
      <c r="N736" s="5">
        <v>10</v>
      </c>
      <c r="O736" s="5">
        <f t="shared" si="5089"/>
        <v>129668</v>
      </c>
      <c r="P736" s="5">
        <f t="shared" si="5090"/>
        <v>739968000</v>
      </c>
      <c r="Q736" s="5">
        <f t="shared" si="5091"/>
        <v>12332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70041</v>
      </c>
      <c r="X736" s="6" t="s">
        <v>182</v>
      </c>
      <c r="Y736" s="5">
        <v>300</v>
      </c>
      <c r="Z736" s="5">
        <v>1</v>
      </c>
      <c r="AA736" s="5">
        <v>339715031</v>
      </c>
      <c r="AB736" s="16" t="s">
        <v>111</v>
      </c>
      <c r="AC736" s="7" t="s">
        <v>112</v>
      </c>
      <c r="AD736" s="7" t="s">
        <v>112</v>
      </c>
      <c r="AE736" s="7" t="s">
        <v>112</v>
      </c>
      <c r="AF736" s="6" t="s">
        <v>113</v>
      </c>
      <c r="AG736" s="26" t="str">
        <f t="shared" ref="AG736" si="5296">CM$7</f>
        <v>4,14,28,14,6,4,14,28,14,6</v>
      </c>
      <c r="AH736" s="26" t="str">
        <f t="shared" ref="AH736" si="5297">CN$7</f>
        <v>0,0,0,0,1,0,0,0,0,1</v>
      </c>
      <c r="AI736" s="26" t="str">
        <f t="shared" ref="AI736" si="5298">CO$7</f>
        <v>0,0,0,0,1,0,0,0,0,1</v>
      </c>
      <c r="AJ736" s="26" t="str">
        <f t="shared" ref="AJ736" si="5299">CP$7</f>
        <v>0,0,0,0,5,0,0,0,0,5</v>
      </c>
      <c r="AK736" s="26" t="str">
        <f t="shared" ref="AK736" si="5300">CQ$7</f>
        <v>100,1,1000,2,5,200,1,1000,2,5</v>
      </c>
      <c r="AL736" s="26" t="str">
        <f t="shared" ref="AL736" si="5301">CR$7</f>
        <v>5,5,5,5,5,5,5,5,5,5</v>
      </c>
      <c r="AM736" s="7">
        <v>2001</v>
      </c>
      <c r="AO736">
        <f t="shared" ref="AO736" si="5302">AQ736*100+4</f>
        <v>8204</v>
      </c>
      <c r="AP736">
        <v>732</v>
      </c>
      <c r="AQ736">
        <f t="shared" si="5099"/>
        <v>82</v>
      </c>
      <c r="AR736">
        <v>13</v>
      </c>
      <c r="AS736" s="17">
        <f t="shared" si="5180"/>
        <v>460</v>
      </c>
      <c r="AT736">
        <v>12</v>
      </c>
      <c r="AU736">
        <f t="shared" si="5100"/>
        <v>36</v>
      </c>
      <c r="AV736">
        <v>150</v>
      </c>
      <c r="AW736">
        <f t="shared" si="5101"/>
        <v>129668.38272000001</v>
      </c>
      <c r="AX736">
        <f t="shared" si="5230"/>
        <v>739968000</v>
      </c>
      <c r="AY736">
        <f t="shared" si="5102"/>
        <v>12332.8</v>
      </c>
      <c r="AZ736">
        <f t="shared" si="5103"/>
        <v>24665.599999999999</v>
      </c>
      <c r="BA736">
        <f t="shared" si="5104"/>
        <v>144384.00000000003</v>
      </c>
      <c r="BB736">
        <f t="shared" si="5105"/>
        <v>6166.4</v>
      </c>
      <c r="BC736">
        <f t="shared" si="5231"/>
        <v>739968000</v>
      </c>
      <c r="BD736">
        <f t="shared" si="5106"/>
        <v>0.29411764705882359</v>
      </c>
      <c r="BE736" s="27">
        <f t="shared" si="5232"/>
        <v>1628969107.0464003</v>
      </c>
      <c r="BF736" s="30">
        <f t="shared" si="5107"/>
        <v>0.49679999999999996</v>
      </c>
      <c r="BG736" s="27"/>
      <c r="BH736" s="27"/>
      <c r="BI736" s="27"/>
      <c r="CA736" s="20">
        <f t="shared" si="5108"/>
        <v>505</v>
      </c>
      <c r="CB736" s="20">
        <f t="shared" si="5109"/>
        <v>50500</v>
      </c>
    </row>
    <row r="737" spans="1:80" x14ac:dyDescent="0.15">
      <c r="A737">
        <v>8205</v>
      </c>
      <c r="B737" s="3" t="s">
        <v>122</v>
      </c>
      <c r="C737" s="4" t="s">
        <v>109</v>
      </c>
      <c r="D737" s="4" t="s">
        <v>110</v>
      </c>
      <c r="E737" s="5">
        <v>2</v>
      </c>
      <c r="F737" s="7" t="s">
        <v>146</v>
      </c>
      <c r="G737" s="5">
        <v>3</v>
      </c>
      <c r="H737" s="7" t="s">
        <v>191</v>
      </c>
      <c r="I737" s="5">
        <v>0</v>
      </c>
      <c r="J737" s="7" t="s">
        <v>148</v>
      </c>
      <c r="K737">
        <v>6</v>
      </c>
      <c r="L737">
        <v>1.5</v>
      </c>
      <c r="M737" s="5">
        <v>1.5</v>
      </c>
      <c r="N737" s="5">
        <v>10</v>
      </c>
      <c r="O737" s="5">
        <f t="shared" si="5089"/>
        <v>131047</v>
      </c>
      <c r="P737" s="5">
        <f t="shared" si="5090"/>
        <v>747840000</v>
      </c>
      <c r="Q737" s="5">
        <f t="shared" si="5091"/>
        <v>12464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70051</v>
      </c>
      <c r="X737" s="6" t="s">
        <v>183</v>
      </c>
      <c r="Y737" s="5">
        <v>300</v>
      </c>
      <c r="Z737" s="5">
        <v>1</v>
      </c>
      <c r="AA737" s="5">
        <v>347479695</v>
      </c>
      <c r="AB737" s="16" t="s">
        <v>111</v>
      </c>
      <c r="AC737" s="7" t="s">
        <v>112</v>
      </c>
      <c r="AD737" s="7" t="s">
        <v>112</v>
      </c>
      <c r="AE737" s="7" t="s">
        <v>112</v>
      </c>
      <c r="AF737" s="6" t="s">
        <v>113</v>
      </c>
      <c r="AG737" s="26" t="str">
        <f t="shared" ref="AG737" si="5303">CM$8</f>
        <v>4,19,28,19,6,4,19,28,19,6</v>
      </c>
      <c r="AH737" s="26" t="str">
        <f t="shared" ref="AH737" si="5304">CN$8</f>
        <v>0,0,0,0,1,0,0,0,0,1</v>
      </c>
      <c r="AI737" s="26" t="str">
        <f t="shared" ref="AI737" si="5305">CO$8</f>
        <v>0,0,0,0,1,0,0,0,0,1</v>
      </c>
      <c r="AJ737" s="26" t="str">
        <f t="shared" ref="AJ737" si="5306">CP$8</f>
        <v>0,0,0,0,5,0,0,0,0,5</v>
      </c>
      <c r="AK737" s="26" t="str">
        <f t="shared" ref="AK737" si="5307">CQ$8</f>
        <v>200,100,1000,200,5,200,100,1000,200,5</v>
      </c>
      <c r="AL737" s="26" t="str">
        <f t="shared" ref="AL737" si="5308">CR$8</f>
        <v>5,5,5,5,5,5,5,5,5,5</v>
      </c>
      <c r="AM737" s="7">
        <v>2001</v>
      </c>
      <c r="AO737">
        <f t="shared" ref="AO737" si="5309">AQ737*100+5</f>
        <v>8205</v>
      </c>
      <c r="AP737">
        <v>733</v>
      </c>
      <c r="AQ737">
        <f t="shared" si="5099"/>
        <v>82</v>
      </c>
      <c r="AR737">
        <v>13</v>
      </c>
      <c r="AS737" s="17">
        <f t="shared" si="5180"/>
        <v>465</v>
      </c>
      <c r="AT737">
        <v>12</v>
      </c>
      <c r="AU737">
        <f t="shared" si="5100"/>
        <v>36</v>
      </c>
      <c r="AV737">
        <v>150</v>
      </c>
      <c r="AW737">
        <f t="shared" si="5101"/>
        <v>131047.83360000001</v>
      </c>
      <c r="AX737">
        <f t="shared" si="5230"/>
        <v>747840000</v>
      </c>
      <c r="AY737">
        <f t="shared" si="5102"/>
        <v>12463.999999999998</v>
      </c>
      <c r="AZ737">
        <f t="shared" si="5103"/>
        <v>24927.999999999996</v>
      </c>
      <c r="BA737">
        <f t="shared" si="5104"/>
        <v>145920.00000000003</v>
      </c>
      <c r="BB737">
        <f t="shared" si="5105"/>
        <v>6231.9999999999991</v>
      </c>
      <c r="BC737">
        <f t="shared" si="5231"/>
        <v>747840000</v>
      </c>
      <c r="BD737">
        <f t="shared" si="5106"/>
        <v>0.29411764705882354</v>
      </c>
      <c r="BE737" s="27">
        <f t="shared" si="5232"/>
        <v>1663812380.1600001</v>
      </c>
      <c r="BF737" s="30">
        <f t="shared" si="5107"/>
        <v>0.49679999999999996</v>
      </c>
      <c r="BG737" s="27"/>
      <c r="BH737" s="27"/>
      <c r="BI737" s="27"/>
      <c r="CA737" s="20">
        <f t="shared" si="5108"/>
        <v>505</v>
      </c>
      <c r="CB737" s="20">
        <f t="shared" si="5109"/>
        <v>50500</v>
      </c>
    </row>
    <row r="738" spans="1:80" x14ac:dyDescent="0.15">
      <c r="A738">
        <v>8206</v>
      </c>
      <c r="B738" s="3" t="s">
        <v>124</v>
      </c>
      <c r="C738" s="4" t="s">
        <v>109</v>
      </c>
      <c r="D738" s="6" t="s">
        <v>120</v>
      </c>
      <c r="E738" s="5">
        <v>1</v>
      </c>
      <c r="F738" s="7" t="s">
        <v>147</v>
      </c>
      <c r="G738" s="5">
        <v>3</v>
      </c>
      <c r="H738" s="7" t="s">
        <v>192</v>
      </c>
      <c r="I738" s="5">
        <v>0</v>
      </c>
      <c r="J738" s="7" t="s">
        <v>149</v>
      </c>
      <c r="K738">
        <v>6</v>
      </c>
      <c r="L738">
        <v>1.5</v>
      </c>
      <c r="M738" s="5">
        <v>1.5</v>
      </c>
      <c r="N738" s="5">
        <v>10</v>
      </c>
      <c r="O738" s="5">
        <f t="shared" si="5089"/>
        <v>132427</v>
      </c>
      <c r="P738" s="5">
        <f t="shared" si="5090"/>
        <v>755712000</v>
      </c>
      <c r="Q738" s="5">
        <f t="shared" si="5091"/>
        <v>12595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70061</v>
      </c>
      <c r="X738" s="6" t="s">
        <v>184</v>
      </c>
      <c r="Y738" s="5">
        <v>300</v>
      </c>
      <c r="Z738" s="5">
        <v>1</v>
      </c>
      <c r="AA738" s="5">
        <v>355332096</v>
      </c>
      <c r="AB738" s="16" t="s">
        <v>111</v>
      </c>
      <c r="AC738" s="7" t="s">
        <v>112</v>
      </c>
      <c r="AD738" s="7" t="s">
        <v>112</v>
      </c>
      <c r="AE738" s="7" t="s">
        <v>112</v>
      </c>
      <c r="AF738" s="6" t="s">
        <v>113</v>
      </c>
      <c r="AG738" s="26" t="str">
        <f t="shared" ref="AG738" si="5310">CM$9</f>
        <v>4,33,28,33,6,4,33,28,33,6</v>
      </c>
      <c r="AH738" s="26" t="str">
        <f t="shared" ref="AH738" si="5311">CN$9</f>
        <v>0,6,0,6,1,0,6,0,6,1</v>
      </c>
      <c r="AI738" s="26" t="str">
        <f t="shared" ref="AI738" si="5312">CO$9</f>
        <v>0,0,0,0,1,0,0,0,0,1</v>
      </c>
      <c r="AJ738" s="26" t="str">
        <f t="shared" ref="AJ738" si="5313">CP$9</f>
        <v>0,0,0,0,5,0,0,0,0,5</v>
      </c>
      <c r="AK738" s="26" t="str">
        <f t="shared" ref="AK738" si="5314">CQ$9</f>
        <v>200,1,1000,2,5,200,1,1000,2,5</v>
      </c>
      <c r="AL738" s="26" t="str">
        <f t="shared" ref="AL738" si="5315">CR$9</f>
        <v>5,5,5,5,5,5,5,5,5,5</v>
      </c>
      <c r="AM738" s="7">
        <v>2001</v>
      </c>
      <c r="AO738">
        <f t="shared" ref="AO738" si="5316">AQ738*100+6</f>
        <v>8206</v>
      </c>
      <c r="AP738">
        <v>734</v>
      </c>
      <c r="AQ738">
        <f t="shared" si="5099"/>
        <v>82</v>
      </c>
      <c r="AR738">
        <v>13</v>
      </c>
      <c r="AS738" s="17">
        <f t="shared" si="5180"/>
        <v>470</v>
      </c>
      <c r="AT738">
        <v>12</v>
      </c>
      <c r="AU738">
        <f t="shared" si="5100"/>
        <v>36</v>
      </c>
      <c r="AV738">
        <v>150</v>
      </c>
      <c r="AW738">
        <f t="shared" si="5101"/>
        <v>132427.28448000003</v>
      </c>
      <c r="AX738">
        <f t="shared" si="5230"/>
        <v>755711999.99999988</v>
      </c>
      <c r="AY738">
        <f t="shared" si="5102"/>
        <v>12595.199999999999</v>
      </c>
      <c r="AZ738">
        <f t="shared" si="5103"/>
        <v>25190.399999999998</v>
      </c>
      <c r="BA738">
        <f t="shared" si="5104"/>
        <v>147456.00000000003</v>
      </c>
      <c r="BB738">
        <f t="shared" si="5105"/>
        <v>6297.5999999999995</v>
      </c>
      <c r="BC738">
        <f t="shared" si="5231"/>
        <v>755711999.99999988</v>
      </c>
      <c r="BD738">
        <f t="shared" si="5106"/>
        <v>0.29411764705882348</v>
      </c>
      <c r="BE738" s="27">
        <f t="shared" si="5232"/>
        <v>1699024365.1583993</v>
      </c>
      <c r="BF738" s="30">
        <f t="shared" si="5107"/>
        <v>0.49679999999999996</v>
      </c>
      <c r="BG738" s="27"/>
      <c r="BH738" s="27"/>
      <c r="BI738" s="27"/>
      <c r="CA738" s="20">
        <f t="shared" si="5108"/>
        <v>505</v>
      </c>
      <c r="CB738" s="20">
        <f t="shared" si="5109"/>
        <v>50500</v>
      </c>
    </row>
    <row r="739" spans="1:80" x14ac:dyDescent="0.15">
      <c r="A739">
        <v>8207</v>
      </c>
      <c r="B739" s="3" t="s">
        <v>126</v>
      </c>
      <c r="C739" s="4" t="s">
        <v>109</v>
      </c>
      <c r="D739" s="4" t="s">
        <v>110</v>
      </c>
      <c r="E739" s="5">
        <v>2</v>
      </c>
      <c r="F739" s="7" t="s">
        <v>143</v>
      </c>
      <c r="G739" s="5">
        <v>3</v>
      </c>
      <c r="H739" s="7" t="s">
        <v>193</v>
      </c>
      <c r="I739" s="5">
        <v>0</v>
      </c>
      <c r="J739" s="5">
        <v>0</v>
      </c>
      <c r="K739">
        <v>2</v>
      </c>
      <c r="L739">
        <v>1.5</v>
      </c>
      <c r="M739" s="5">
        <v>1.5</v>
      </c>
      <c r="N739" s="5">
        <v>10</v>
      </c>
      <c r="O739" s="5">
        <f t="shared" si="5089"/>
        <v>133806</v>
      </c>
      <c r="P739" s="5">
        <f t="shared" si="5090"/>
        <v>763584000</v>
      </c>
      <c r="Q739" s="5">
        <f t="shared" si="5091"/>
        <v>12726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70071</v>
      </c>
      <c r="X739" s="6" t="s">
        <v>185</v>
      </c>
      <c r="Y739" s="5">
        <v>300</v>
      </c>
      <c r="Z739" s="5">
        <v>1</v>
      </c>
      <c r="AA739" s="5">
        <v>363272233</v>
      </c>
      <c r="AB739" s="16" t="s">
        <v>111</v>
      </c>
      <c r="AC739" s="7" t="s">
        <v>112</v>
      </c>
      <c r="AD739" s="7" t="s">
        <v>112</v>
      </c>
      <c r="AE739" s="7" t="s">
        <v>112</v>
      </c>
      <c r="AF739" s="6" t="s">
        <v>113</v>
      </c>
      <c r="AG739" s="26" t="str">
        <f t="shared" ref="AG739" si="5317">CM$10</f>
        <v>4,14,28,14,6,4,14,28,14,6</v>
      </c>
      <c r="AH739" s="26" t="str">
        <f t="shared" ref="AH739" si="5318">CN$10</f>
        <v>0,0,0,0,1,0,0,0,0,1</v>
      </c>
      <c r="AI739" s="26" t="str">
        <f t="shared" ref="AI739" si="5319">CO$10</f>
        <v>0,0,0,0,1,0,0,0,0,1</v>
      </c>
      <c r="AJ739" s="26" t="str">
        <f t="shared" ref="AJ739" si="5320">CP$10</f>
        <v>0,0,0,0,5,0,0,0,0,5</v>
      </c>
      <c r="AK739" s="26" t="str">
        <f t="shared" ref="AK739" si="5321">CQ$10</f>
        <v>200,1,1000,2,5,200,1,1000,2,5</v>
      </c>
      <c r="AL739" s="26" t="str">
        <f t="shared" ref="AL739" si="5322">CR$10</f>
        <v>5,5,5,5,5,5,5,5,5,5</v>
      </c>
      <c r="AM739" s="7">
        <v>2001</v>
      </c>
      <c r="AO739">
        <f t="shared" ref="AO739" si="5323">AQ739*100+7</f>
        <v>8207</v>
      </c>
      <c r="AP739">
        <v>735</v>
      </c>
      <c r="AQ739">
        <f t="shared" si="5099"/>
        <v>82</v>
      </c>
      <c r="AR739">
        <v>13</v>
      </c>
      <c r="AS739" s="17">
        <f t="shared" si="5180"/>
        <v>475</v>
      </c>
      <c r="AT739">
        <v>12</v>
      </c>
      <c r="AU739">
        <f t="shared" si="5100"/>
        <v>36</v>
      </c>
      <c r="AV739">
        <v>150</v>
      </c>
      <c r="AW739">
        <f t="shared" si="5101"/>
        <v>133806.73536000002</v>
      </c>
      <c r="AX739">
        <f t="shared" si="5230"/>
        <v>763584000</v>
      </c>
      <c r="AY739">
        <f t="shared" si="5102"/>
        <v>12726.4</v>
      </c>
      <c r="AZ739">
        <f t="shared" si="5103"/>
        <v>25452.799999999999</v>
      </c>
      <c r="BA739">
        <f t="shared" si="5104"/>
        <v>148992.00000000003</v>
      </c>
      <c r="BB739">
        <f t="shared" si="5105"/>
        <v>6363.2</v>
      </c>
      <c r="BC739">
        <f t="shared" si="5231"/>
        <v>763584000</v>
      </c>
      <c r="BD739">
        <f t="shared" si="5106"/>
        <v>0.29411764705882354</v>
      </c>
      <c r="BE739" s="27">
        <f t="shared" si="5232"/>
        <v>1734605062.0416002</v>
      </c>
      <c r="BF739" s="30">
        <f t="shared" si="5107"/>
        <v>0.49679999999999996</v>
      </c>
      <c r="BG739" s="27"/>
      <c r="BH739" s="27"/>
      <c r="BI739" s="27"/>
      <c r="CA739" s="20">
        <f t="shared" si="5108"/>
        <v>505</v>
      </c>
      <c r="CB739" s="20">
        <f t="shared" si="5109"/>
        <v>50500</v>
      </c>
    </row>
    <row r="740" spans="1:80" x14ac:dyDescent="0.15">
      <c r="A740">
        <v>8208</v>
      </c>
      <c r="B740" s="3" t="s">
        <v>128</v>
      </c>
      <c r="C740" s="4" t="s">
        <v>109</v>
      </c>
      <c r="D740" s="4" t="s">
        <v>110</v>
      </c>
      <c r="E740" s="5">
        <v>5</v>
      </c>
      <c r="F740" s="7" t="s">
        <v>129</v>
      </c>
      <c r="G740" s="5">
        <v>2</v>
      </c>
      <c r="H740" s="7" t="s">
        <v>130</v>
      </c>
      <c r="I740" s="5">
        <v>0</v>
      </c>
      <c r="J740" s="5">
        <v>0</v>
      </c>
      <c r="K740">
        <v>2</v>
      </c>
      <c r="L740">
        <v>1.5</v>
      </c>
      <c r="M740" s="5">
        <v>1.5</v>
      </c>
      <c r="N740" s="5">
        <v>10</v>
      </c>
      <c r="O740" s="5">
        <f t="shared" si="5089"/>
        <v>135186</v>
      </c>
      <c r="P740" s="5">
        <f t="shared" si="5090"/>
        <v>771456000</v>
      </c>
      <c r="Q740" s="5">
        <f t="shared" si="5091"/>
        <v>12857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70081</v>
      </c>
      <c r="X740" s="6" t="s">
        <v>186</v>
      </c>
      <c r="Y740" s="5">
        <v>300</v>
      </c>
      <c r="Z740" s="5">
        <v>1</v>
      </c>
      <c r="AA740" s="5">
        <v>371300106</v>
      </c>
      <c r="AB740" s="16" t="s">
        <v>111</v>
      </c>
      <c r="AC740" s="7" t="s">
        <v>112</v>
      </c>
      <c r="AD740" s="7" t="s">
        <v>112</v>
      </c>
      <c r="AE740" s="7" t="s">
        <v>112</v>
      </c>
      <c r="AF740" s="6" t="s">
        <v>113</v>
      </c>
      <c r="AG740" s="26" t="str">
        <f t="shared" ref="AG740" si="5324">CM$11</f>
        <v>4,28,6,28,6,4,28,6,28,6</v>
      </c>
      <c r="AH740" s="26" t="str">
        <f t="shared" ref="AH740" si="5325">CN$11</f>
        <v>0,0,1,0,1,0,0,1,0,1</v>
      </c>
      <c r="AI740" s="26" t="str">
        <f t="shared" ref="AI740" si="5326">CO$11</f>
        <v>0,0,1,0,1,0,0,1,0,1</v>
      </c>
      <c r="AJ740" s="26" t="str">
        <f t="shared" ref="AJ740" si="5327">CP$11</f>
        <v>0,0,5,0,5,0,0,5,0,5</v>
      </c>
      <c r="AK740" s="26" t="str">
        <f t="shared" ref="AK740" si="5328">CQ$11</f>
        <v>100,1000,5,1500,5,200,1000,5,1500,5</v>
      </c>
      <c r="AL740" s="26" t="str">
        <f t="shared" ref="AL740" si="5329">CR$11</f>
        <v>5,5,5,5,5,5,5,5,5,5</v>
      </c>
      <c r="AM740" s="7">
        <v>2001</v>
      </c>
      <c r="AO740">
        <f t="shared" ref="AO740" si="5330">AQ740*100+8</f>
        <v>8208</v>
      </c>
      <c r="AP740">
        <v>736</v>
      </c>
      <c r="AQ740">
        <f t="shared" si="5099"/>
        <v>82</v>
      </c>
      <c r="AR740">
        <v>13</v>
      </c>
      <c r="AS740" s="17">
        <f t="shared" si="5180"/>
        <v>480</v>
      </c>
      <c r="AT740">
        <v>12</v>
      </c>
      <c r="AU740">
        <f t="shared" si="5100"/>
        <v>36</v>
      </c>
      <c r="AV740">
        <v>150</v>
      </c>
      <c r="AW740">
        <f t="shared" si="5101"/>
        <v>135186.18624000001</v>
      </c>
      <c r="AX740">
        <f t="shared" si="5230"/>
        <v>771456000</v>
      </c>
      <c r="AY740">
        <f t="shared" si="5102"/>
        <v>12857.599999999999</v>
      </c>
      <c r="AZ740">
        <f t="shared" si="5103"/>
        <v>25715.199999999997</v>
      </c>
      <c r="BA740">
        <f t="shared" si="5104"/>
        <v>150528.00000000003</v>
      </c>
      <c r="BB740">
        <f t="shared" si="5105"/>
        <v>6428.7999999999993</v>
      </c>
      <c r="BC740">
        <f t="shared" si="5231"/>
        <v>771456000</v>
      </c>
      <c r="BD740">
        <f t="shared" si="5106"/>
        <v>0.29411764705882354</v>
      </c>
      <c r="BE740" s="27">
        <f t="shared" si="5232"/>
        <v>1770554470.8096001</v>
      </c>
      <c r="BF740" s="30">
        <f t="shared" si="5107"/>
        <v>0.49679999999999996</v>
      </c>
      <c r="BG740" s="27"/>
      <c r="BH740" s="27"/>
      <c r="BI740" s="27"/>
      <c r="CA740" s="20">
        <f t="shared" si="5108"/>
        <v>505</v>
      </c>
      <c r="CB740" s="20">
        <f t="shared" si="5109"/>
        <v>50500</v>
      </c>
    </row>
    <row r="741" spans="1:80" x14ac:dyDescent="0.15">
      <c r="A741">
        <v>8209</v>
      </c>
      <c r="B741" s="3" t="s">
        <v>132</v>
      </c>
      <c r="C741" s="4" t="s">
        <v>109</v>
      </c>
      <c r="D741" s="4" t="s">
        <v>110</v>
      </c>
      <c r="E741" s="5">
        <v>5</v>
      </c>
      <c r="F741" s="7" t="s">
        <v>140</v>
      </c>
      <c r="G741" s="5">
        <v>3</v>
      </c>
      <c r="H741" s="7" t="s">
        <v>140</v>
      </c>
      <c r="I741" s="5">
        <v>0</v>
      </c>
      <c r="J741" s="7">
        <v>0</v>
      </c>
      <c r="K741">
        <v>6</v>
      </c>
      <c r="L741">
        <v>1.5</v>
      </c>
      <c r="M741" s="5">
        <v>1.5</v>
      </c>
      <c r="N741" s="5">
        <v>10</v>
      </c>
      <c r="O741" s="5">
        <f t="shared" si="5089"/>
        <v>136565</v>
      </c>
      <c r="P741" s="5">
        <f t="shared" si="5090"/>
        <v>779328000</v>
      </c>
      <c r="Q741" s="5">
        <f t="shared" si="5091"/>
        <v>12988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70091</v>
      </c>
      <c r="X741" s="6" t="s">
        <v>187</v>
      </c>
      <c r="Y741" s="5">
        <v>300</v>
      </c>
      <c r="Z741" s="5">
        <v>1</v>
      </c>
      <c r="AA741" s="5">
        <v>379415716</v>
      </c>
      <c r="AB741" s="16" t="s">
        <v>111</v>
      </c>
      <c r="AC741" s="7" t="s">
        <v>112</v>
      </c>
      <c r="AD741" s="7" t="s">
        <v>112</v>
      </c>
      <c r="AE741" s="7" t="s">
        <v>112</v>
      </c>
      <c r="AF741" s="6" t="s">
        <v>113</v>
      </c>
      <c r="AG741" s="26" t="str">
        <f t="shared" ref="AG741" si="5331">CM$12</f>
        <v>4,33,28,33,6,4,33,28,33,6</v>
      </c>
      <c r="AH741" s="26" t="str">
        <f t="shared" ref="AH741" si="5332">CN$12</f>
        <v>0,5,0,5,1,0,5,0,5,1</v>
      </c>
      <c r="AI741" s="26" t="str">
        <f t="shared" ref="AI741" si="5333">CO$12</f>
        <v>0,0,0,0,1,0,0,0,0,1</v>
      </c>
      <c r="AJ741" s="26" t="str">
        <f t="shared" ref="AJ741" si="5334">CP$12</f>
        <v>0,0,0,0,5,0,0,0,0,5</v>
      </c>
      <c r="AK741" s="26" t="str">
        <f t="shared" ref="AK741" si="5335">CQ$12</f>
        <v>100,1,1000,2,5,200,1,1000,2,5</v>
      </c>
      <c r="AL741" s="26" t="str">
        <f t="shared" ref="AL741" si="5336">CR$12</f>
        <v>5,5,5,5,5,5,5,5,5,5</v>
      </c>
      <c r="AM741" s="7">
        <v>2001</v>
      </c>
      <c r="AO741">
        <f t="shared" ref="AO741" si="5337">AQ741*100+9</f>
        <v>8209</v>
      </c>
      <c r="AP741">
        <v>737</v>
      </c>
      <c r="AQ741">
        <f t="shared" si="5099"/>
        <v>82</v>
      </c>
      <c r="AR741">
        <v>13</v>
      </c>
      <c r="AS741" s="17">
        <f t="shared" si="5180"/>
        <v>485</v>
      </c>
      <c r="AT741">
        <v>12</v>
      </c>
      <c r="AU741">
        <f t="shared" si="5100"/>
        <v>36</v>
      </c>
      <c r="AV741">
        <v>150</v>
      </c>
      <c r="AW741">
        <f t="shared" si="5101"/>
        <v>136565.63712</v>
      </c>
      <c r="AX741">
        <f t="shared" si="5230"/>
        <v>779328000</v>
      </c>
      <c r="AY741">
        <f t="shared" si="5102"/>
        <v>12988.8</v>
      </c>
      <c r="AZ741">
        <f t="shared" si="5103"/>
        <v>25977.599999999999</v>
      </c>
      <c r="BA741">
        <f t="shared" si="5104"/>
        <v>152064.00000000003</v>
      </c>
      <c r="BB741">
        <f t="shared" si="5105"/>
        <v>6494.4</v>
      </c>
      <c r="BC741">
        <f t="shared" si="5231"/>
        <v>779328000</v>
      </c>
      <c r="BD741">
        <f t="shared" si="5106"/>
        <v>0.29411764705882359</v>
      </c>
      <c r="BE741" s="27">
        <f t="shared" si="5232"/>
        <v>1806872591.4624004</v>
      </c>
      <c r="BF741" s="30">
        <f t="shared" si="5107"/>
        <v>0.49679999999999996</v>
      </c>
      <c r="BG741" s="27"/>
      <c r="BH741" s="27"/>
      <c r="BI741" s="27"/>
      <c r="CA741" s="20">
        <f t="shared" si="5108"/>
        <v>505</v>
      </c>
      <c r="CB741" s="20">
        <f t="shared" si="5109"/>
        <v>50500</v>
      </c>
    </row>
    <row r="742" spans="1:80" x14ac:dyDescent="0.15">
      <c r="A742">
        <v>8301</v>
      </c>
      <c r="B742" s="3" t="s">
        <v>108</v>
      </c>
      <c r="C742" s="4" t="s">
        <v>109</v>
      </c>
      <c r="D742" s="4" t="s">
        <v>110</v>
      </c>
      <c r="E742" s="5">
        <v>3</v>
      </c>
      <c r="F742" s="7" t="s">
        <v>141</v>
      </c>
      <c r="G742" s="5">
        <v>2.5</v>
      </c>
      <c r="H742" s="7" t="s">
        <v>194</v>
      </c>
      <c r="I742" s="5">
        <v>0</v>
      </c>
      <c r="J742" s="5">
        <v>0</v>
      </c>
      <c r="K742">
        <v>2</v>
      </c>
      <c r="L742">
        <v>1.5</v>
      </c>
      <c r="M742" s="5">
        <v>1.5</v>
      </c>
      <c r="N742" s="5">
        <v>10</v>
      </c>
      <c r="O742" s="5">
        <f t="shared" si="5089"/>
        <v>127112</v>
      </c>
      <c r="P742" s="5">
        <f t="shared" si="5090"/>
        <v>724224000</v>
      </c>
      <c r="Q742" s="5">
        <f t="shared" si="5091"/>
        <v>12070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70011</v>
      </c>
      <c r="X742" s="6" t="s">
        <v>179</v>
      </c>
      <c r="Y742" s="5">
        <v>300</v>
      </c>
      <c r="Z742" s="5">
        <v>1</v>
      </c>
      <c r="AA742" s="5">
        <v>387619062</v>
      </c>
      <c r="AB742" s="16" t="s">
        <v>111</v>
      </c>
      <c r="AC742" s="7" t="s">
        <v>112</v>
      </c>
      <c r="AD742" s="7" t="s">
        <v>112</v>
      </c>
      <c r="AE742" s="7" t="s">
        <v>112</v>
      </c>
      <c r="AF742" s="6" t="s">
        <v>113</v>
      </c>
      <c r="AG742" s="26" t="str">
        <f t="shared" ref="AG742" si="5338">CM$4</f>
        <v>4,33,28,33,6,4,33,28,33,6</v>
      </c>
      <c r="AH742" s="26" t="str">
        <f t="shared" ref="AH742" si="5339">CN$4</f>
        <v>0,8,0,8,1,0,8,0,8,1</v>
      </c>
      <c r="AI742" s="26" t="str">
        <f t="shared" ref="AI742" si="5340">CO$4</f>
        <v>0,0,0,0,1,0,0,0,0,1</v>
      </c>
      <c r="AJ742" s="26" t="str">
        <f t="shared" ref="AJ742" si="5341">CP$4</f>
        <v>0,0,0,0,5,0,0,0,0,5</v>
      </c>
      <c r="AK742" s="26" t="str">
        <f t="shared" ref="AK742" si="5342">CQ$4</f>
        <v>100,1,1000,2,5,200,1,1000,2,5</v>
      </c>
      <c r="AL742" s="26" t="str">
        <f t="shared" ref="AL742" si="5343">CR$4</f>
        <v>5,5,5,5,5,5,5,5,5,5</v>
      </c>
      <c r="AM742" s="7">
        <v>2001</v>
      </c>
      <c r="AO742">
        <f t="shared" ref="AO742" si="5344">AQ742*100+1</f>
        <v>8301</v>
      </c>
      <c r="AP742">
        <v>738</v>
      </c>
      <c r="AQ742">
        <f t="shared" si="5099"/>
        <v>83</v>
      </c>
      <c r="AR742">
        <v>13</v>
      </c>
      <c r="AS742" s="17">
        <f t="shared" si="5180"/>
        <v>450</v>
      </c>
      <c r="AT742">
        <v>12</v>
      </c>
      <c r="AU742">
        <f t="shared" si="5100"/>
        <v>36</v>
      </c>
      <c r="AV742">
        <v>150</v>
      </c>
      <c r="AW742">
        <f t="shared" si="5101"/>
        <v>127112.97024000002</v>
      </c>
      <c r="AX742">
        <f t="shared" si="5230"/>
        <v>724224000</v>
      </c>
      <c r="AY742">
        <f t="shared" si="5102"/>
        <v>12070.4</v>
      </c>
      <c r="AZ742">
        <f t="shared" si="5103"/>
        <v>24140.799999999999</v>
      </c>
      <c r="BA742">
        <f t="shared" si="5104"/>
        <v>141312.00000000003</v>
      </c>
      <c r="BB742">
        <f t="shared" si="5105"/>
        <v>6035.2</v>
      </c>
      <c r="BC742">
        <f t="shared" si="5231"/>
        <v>724224000</v>
      </c>
      <c r="BD742">
        <f t="shared" si="5106"/>
        <v>0.29411764705882354</v>
      </c>
      <c r="BE742" s="27">
        <f t="shared" si="5232"/>
        <v>1560388696.4735999</v>
      </c>
      <c r="BF742" s="30">
        <f t="shared" si="5107"/>
        <v>0.49919999999999998</v>
      </c>
      <c r="BG742" s="27"/>
      <c r="BH742" s="27"/>
      <c r="BI742" s="27"/>
      <c r="CA742" s="20">
        <f t="shared" si="5108"/>
        <v>510</v>
      </c>
      <c r="CB742" s="20">
        <f t="shared" si="5109"/>
        <v>51000</v>
      </c>
    </row>
    <row r="743" spans="1:80" x14ac:dyDescent="0.15">
      <c r="A743">
        <v>8302</v>
      </c>
      <c r="B743" s="3" t="s">
        <v>115</v>
      </c>
      <c r="C743" s="4" t="s">
        <v>109</v>
      </c>
      <c r="D743" s="6" t="s">
        <v>110</v>
      </c>
      <c r="E743" s="5">
        <v>3</v>
      </c>
      <c r="F743" s="7" t="s">
        <v>142</v>
      </c>
      <c r="G743" s="5">
        <v>3</v>
      </c>
      <c r="H743" s="7" t="s">
        <v>188</v>
      </c>
      <c r="I743" s="5">
        <v>0</v>
      </c>
      <c r="J743" s="5">
        <v>0</v>
      </c>
      <c r="K743">
        <v>2</v>
      </c>
      <c r="L743">
        <v>1.5</v>
      </c>
      <c r="M743" s="5">
        <v>1.5</v>
      </c>
      <c r="N743" s="5">
        <v>10</v>
      </c>
      <c r="O743" s="5">
        <f t="shared" si="5089"/>
        <v>128494</v>
      </c>
      <c r="P743" s="5">
        <f t="shared" si="5090"/>
        <v>732096000</v>
      </c>
      <c r="Q743" s="5">
        <f t="shared" si="5091"/>
        <v>12201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70021</v>
      </c>
      <c r="X743" s="6" t="s">
        <v>180</v>
      </c>
      <c r="Y743" s="5">
        <v>300</v>
      </c>
      <c r="Z743" s="5">
        <v>1</v>
      </c>
      <c r="AA743" s="5">
        <v>332038103</v>
      </c>
      <c r="AB743" s="16" t="s">
        <v>111</v>
      </c>
      <c r="AC743" s="7" t="s">
        <v>112</v>
      </c>
      <c r="AD743" s="7" t="s">
        <v>112</v>
      </c>
      <c r="AE743" s="7" t="s">
        <v>112</v>
      </c>
      <c r="AF743" s="6" t="s">
        <v>113</v>
      </c>
      <c r="AG743" s="26" t="str">
        <f t="shared" ref="AG743" si="5345">CM$5</f>
        <v>4,33,28,33,6,4,33,28,33,6</v>
      </c>
      <c r="AH743" s="26" t="str">
        <f t="shared" ref="AH743" si="5346">CN$5</f>
        <v>0,7,0,7,1,0,7,0,7,1</v>
      </c>
      <c r="AI743" s="26" t="str">
        <f t="shared" ref="AI743" si="5347">CO$5</f>
        <v>0,0,0,0,1,0,0,0,0,1</v>
      </c>
      <c r="AJ743" s="26" t="str">
        <f t="shared" ref="AJ743" si="5348">CP$5</f>
        <v>0,0,0,0,5,0,0,0,0,5</v>
      </c>
      <c r="AK743" s="26" t="str">
        <f t="shared" ref="AK743" si="5349">CQ$5</f>
        <v>100,1,1000,2,5,200,1,1000,2,5</v>
      </c>
      <c r="AL743" s="26" t="str">
        <f t="shared" ref="AL743" si="5350">CR$5</f>
        <v>5,5,5,5,5,5,5,5,5,5</v>
      </c>
      <c r="AM743" s="7">
        <v>2001</v>
      </c>
      <c r="AO743">
        <f t="shared" ref="AO743" si="5351">AQ743*100+2</f>
        <v>8302</v>
      </c>
      <c r="AP743">
        <v>739</v>
      </c>
      <c r="AQ743">
        <f t="shared" si="5099"/>
        <v>83</v>
      </c>
      <c r="AR743">
        <v>13</v>
      </c>
      <c r="AS743" s="17">
        <f t="shared" si="5180"/>
        <v>455</v>
      </c>
      <c r="AT743">
        <v>12</v>
      </c>
      <c r="AU743">
        <f t="shared" si="5100"/>
        <v>36</v>
      </c>
      <c r="AV743">
        <v>150</v>
      </c>
      <c r="AW743">
        <f t="shared" si="5101"/>
        <v>128494.63296000003</v>
      </c>
      <c r="AX743">
        <f t="shared" si="5230"/>
        <v>732095999.99999988</v>
      </c>
      <c r="AY743">
        <f t="shared" si="5102"/>
        <v>12201.599999999999</v>
      </c>
      <c r="AZ743">
        <f t="shared" si="5103"/>
        <v>24403.199999999997</v>
      </c>
      <c r="BA743">
        <f t="shared" si="5104"/>
        <v>142848.00000000003</v>
      </c>
      <c r="BB743">
        <f t="shared" si="5105"/>
        <v>6100.7999999999993</v>
      </c>
      <c r="BC743">
        <f t="shared" si="5231"/>
        <v>732095999.99999988</v>
      </c>
      <c r="BD743">
        <f t="shared" si="5106"/>
        <v>0.29411764705882354</v>
      </c>
      <c r="BE743" s="27">
        <f t="shared" si="5232"/>
        <v>1594494545.8175998</v>
      </c>
      <c r="BF743" s="30">
        <f t="shared" si="5107"/>
        <v>0.49919999999999998</v>
      </c>
      <c r="BG743" s="27"/>
      <c r="BH743" s="27"/>
      <c r="BI743" s="27"/>
      <c r="CA743" s="20">
        <f t="shared" si="5108"/>
        <v>510</v>
      </c>
      <c r="CB743" s="20">
        <f t="shared" si="5109"/>
        <v>51000</v>
      </c>
    </row>
    <row r="744" spans="1:80" x14ac:dyDescent="0.15">
      <c r="A744">
        <v>8303</v>
      </c>
      <c r="B744" s="3" t="s">
        <v>117</v>
      </c>
      <c r="C744" s="4" t="s">
        <v>109</v>
      </c>
      <c r="D744" s="4" t="s">
        <v>110</v>
      </c>
      <c r="E744" s="5">
        <v>1</v>
      </c>
      <c r="F744" s="7" t="s">
        <v>144</v>
      </c>
      <c r="G744" s="5">
        <v>3</v>
      </c>
      <c r="H744" s="7" t="s">
        <v>189</v>
      </c>
      <c r="I744" s="5">
        <v>0</v>
      </c>
      <c r="J744" s="2">
        <v>0</v>
      </c>
      <c r="K744">
        <v>6</v>
      </c>
      <c r="L744">
        <v>1.5</v>
      </c>
      <c r="M744" s="5">
        <v>1.5</v>
      </c>
      <c r="N744" s="5">
        <v>10</v>
      </c>
      <c r="O744" s="5">
        <f t="shared" si="5089"/>
        <v>129876</v>
      </c>
      <c r="P744" s="5">
        <f t="shared" si="5090"/>
        <v>739968000</v>
      </c>
      <c r="Q744" s="5">
        <f t="shared" si="5091"/>
        <v>12332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70031</v>
      </c>
      <c r="X744" s="6" t="s">
        <v>181</v>
      </c>
      <c r="Y744" s="5">
        <v>300</v>
      </c>
      <c r="Z744" s="5">
        <v>1</v>
      </c>
      <c r="AA744" s="5">
        <v>339715031</v>
      </c>
      <c r="AB744" s="16" t="s">
        <v>111</v>
      </c>
      <c r="AC744" s="7" t="s">
        <v>112</v>
      </c>
      <c r="AD744" s="7" t="s">
        <v>112</v>
      </c>
      <c r="AE744" s="7" t="s">
        <v>112</v>
      </c>
      <c r="AF744" s="6" t="s">
        <v>113</v>
      </c>
      <c r="AG744" s="26" t="str">
        <f t="shared" ref="AG744" si="5352">CM$6</f>
        <v>4,28,6,28,6,4,28,6,28,6</v>
      </c>
      <c r="AH744" s="26" t="str">
        <f t="shared" ref="AH744" si="5353">CN$6</f>
        <v>0,0,1,0,1,0,0,1,0,1</v>
      </c>
      <c r="AI744" s="26" t="str">
        <f t="shared" ref="AI744" si="5354">CO$6</f>
        <v>0,0,0,0,1,0,0,0,0,1</v>
      </c>
      <c r="AJ744" s="26" t="str">
        <f t="shared" ref="AJ744" si="5355">CP$6</f>
        <v>0,0,5,0,5,0,0,5,0,5</v>
      </c>
      <c r="AK744" s="26" t="str">
        <f t="shared" ref="AK744" si="5356">CQ$6</f>
        <v>100,1000,5,1500,5,200,1000,5,1500,5</v>
      </c>
      <c r="AL744" s="26" t="str">
        <f t="shared" ref="AL744" si="5357">CR$6</f>
        <v>5,5,5,5,5,5,5,5,5,5</v>
      </c>
      <c r="AM744" s="7">
        <v>2001</v>
      </c>
      <c r="AO744">
        <f t="shared" ref="AO744" si="5358">AQ744*100+3</f>
        <v>8303</v>
      </c>
      <c r="AP744">
        <v>740</v>
      </c>
      <c r="AQ744">
        <f t="shared" si="5099"/>
        <v>83</v>
      </c>
      <c r="AR744">
        <v>13</v>
      </c>
      <c r="AS744" s="17">
        <f t="shared" si="5180"/>
        <v>460</v>
      </c>
      <c r="AT744">
        <v>12</v>
      </c>
      <c r="AU744">
        <f t="shared" si="5100"/>
        <v>36</v>
      </c>
      <c r="AV744">
        <v>150</v>
      </c>
      <c r="AW744">
        <f t="shared" si="5101"/>
        <v>129876.29568000002</v>
      </c>
      <c r="AX744">
        <f t="shared" si="5230"/>
        <v>739968000</v>
      </c>
      <c r="AY744">
        <f t="shared" si="5102"/>
        <v>12332.8</v>
      </c>
      <c r="AZ744">
        <f t="shared" si="5103"/>
        <v>24665.599999999999</v>
      </c>
      <c r="BA744">
        <f t="shared" si="5104"/>
        <v>144384.00000000003</v>
      </c>
      <c r="BB744">
        <f t="shared" si="5105"/>
        <v>6166.4</v>
      </c>
      <c r="BC744">
        <f t="shared" si="5231"/>
        <v>739968000</v>
      </c>
      <c r="BD744">
        <f t="shared" si="5106"/>
        <v>0.29411764705882359</v>
      </c>
      <c r="BE744" s="27">
        <f t="shared" si="5232"/>
        <v>1628969107.0464003</v>
      </c>
      <c r="BF744" s="30">
        <f t="shared" si="5107"/>
        <v>0.49919999999999998</v>
      </c>
      <c r="BG744" s="27"/>
      <c r="BH744" s="27"/>
      <c r="BI744" s="27"/>
      <c r="CA744" s="20">
        <f t="shared" si="5108"/>
        <v>510</v>
      </c>
      <c r="CB744" s="20">
        <f t="shared" si="5109"/>
        <v>51000</v>
      </c>
    </row>
    <row r="745" spans="1:80" x14ac:dyDescent="0.15">
      <c r="A745">
        <v>8304</v>
      </c>
      <c r="B745" s="3" t="s">
        <v>119</v>
      </c>
      <c r="C745" s="4" t="s">
        <v>109</v>
      </c>
      <c r="D745" s="6" t="s">
        <v>120</v>
      </c>
      <c r="E745" s="5">
        <v>3</v>
      </c>
      <c r="F745" s="7" t="s">
        <v>145</v>
      </c>
      <c r="G745" s="5">
        <v>3</v>
      </c>
      <c r="H745" s="7" t="s">
        <v>190</v>
      </c>
      <c r="I745" s="5">
        <v>0</v>
      </c>
      <c r="J745" s="5">
        <v>0</v>
      </c>
      <c r="K745">
        <v>2</v>
      </c>
      <c r="L745">
        <v>1.5</v>
      </c>
      <c r="M745" s="5">
        <v>1.5</v>
      </c>
      <c r="N745" s="5">
        <v>10</v>
      </c>
      <c r="O745" s="5">
        <f t="shared" si="5089"/>
        <v>131257</v>
      </c>
      <c r="P745" s="5">
        <f t="shared" si="5090"/>
        <v>747840000</v>
      </c>
      <c r="Q745" s="5">
        <f t="shared" si="5091"/>
        <v>12464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70041</v>
      </c>
      <c r="X745" s="6" t="s">
        <v>182</v>
      </c>
      <c r="Y745" s="5">
        <v>300</v>
      </c>
      <c r="Z745" s="5">
        <v>1</v>
      </c>
      <c r="AA745" s="5">
        <v>347479695</v>
      </c>
      <c r="AB745" s="16" t="s">
        <v>111</v>
      </c>
      <c r="AC745" s="7" t="s">
        <v>112</v>
      </c>
      <c r="AD745" s="7" t="s">
        <v>112</v>
      </c>
      <c r="AE745" s="7" t="s">
        <v>112</v>
      </c>
      <c r="AF745" s="6" t="s">
        <v>113</v>
      </c>
      <c r="AG745" s="26" t="str">
        <f t="shared" ref="AG745" si="5359">CM$7</f>
        <v>4,14,28,14,6,4,14,28,14,6</v>
      </c>
      <c r="AH745" s="26" t="str">
        <f t="shared" ref="AH745" si="5360">CN$7</f>
        <v>0,0,0,0,1,0,0,0,0,1</v>
      </c>
      <c r="AI745" s="26" t="str">
        <f t="shared" ref="AI745" si="5361">CO$7</f>
        <v>0,0,0,0,1,0,0,0,0,1</v>
      </c>
      <c r="AJ745" s="26" t="str">
        <f t="shared" ref="AJ745" si="5362">CP$7</f>
        <v>0,0,0,0,5,0,0,0,0,5</v>
      </c>
      <c r="AK745" s="26" t="str">
        <f t="shared" ref="AK745" si="5363">CQ$7</f>
        <v>100,1,1000,2,5,200,1,1000,2,5</v>
      </c>
      <c r="AL745" s="26" t="str">
        <f t="shared" ref="AL745" si="5364">CR$7</f>
        <v>5,5,5,5,5,5,5,5,5,5</v>
      </c>
      <c r="AM745" s="7">
        <v>2001</v>
      </c>
      <c r="AO745">
        <f t="shared" ref="AO745" si="5365">AQ745*100+4</f>
        <v>8304</v>
      </c>
      <c r="AP745">
        <v>741</v>
      </c>
      <c r="AQ745">
        <f t="shared" si="5099"/>
        <v>83</v>
      </c>
      <c r="AR745">
        <v>13</v>
      </c>
      <c r="AS745" s="17">
        <f t="shared" si="5180"/>
        <v>465</v>
      </c>
      <c r="AT745">
        <v>12</v>
      </c>
      <c r="AU745">
        <f t="shared" si="5100"/>
        <v>36</v>
      </c>
      <c r="AV745">
        <v>150</v>
      </c>
      <c r="AW745">
        <f t="shared" si="5101"/>
        <v>131257.95840000003</v>
      </c>
      <c r="AX745">
        <f t="shared" si="5230"/>
        <v>747840000</v>
      </c>
      <c r="AY745">
        <f t="shared" si="5102"/>
        <v>12463.999999999998</v>
      </c>
      <c r="AZ745">
        <f t="shared" si="5103"/>
        <v>24927.999999999996</v>
      </c>
      <c r="BA745">
        <f t="shared" si="5104"/>
        <v>145920.00000000003</v>
      </c>
      <c r="BB745">
        <f t="shared" si="5105"/>
        <v>6231.9999999999991</v>
      </c>
      <c r="BC745">
        <f t="shared" si="5231"/>
        <v>747840000</v>
      </c>
      <c r="BD745">
        <f t="shared" si="5106"/>
        <v>0.29411764705882354</v>
      </c>
      <c r="BE745" s="27">
        <f t="shared" si="5232"/>
        <v>1663812380.1600001</v>
      </c>
      <c r="BF745" s="30">
        <f t="shared" si="5107"/>
        <v>0.49919999999999998</v>
      </c>
      <c r="BG745" s="27"/>
      <c r="BH745" s="27"/>
      <c r="BI745" s="27"/>
      <c r="CA745" s="20">
        <f t="shared" si="5108"/>
        <v>510</v>
      </c>
      <c r="CB745" s="20">
        <f t="shared" si="5109"/>
        <v>51000</v>
      </c>
    </row>
    <row r="746" spans="1:80" x14ac:dyDescent="0.15">
      <c r="A746">
        <v>8305</v>
      </c>
      <c r="B746" s="3" t="s">
        <v>122</v>
      </c>
      <c r="C746" s="4" t="s">
        <v>109</v>
      </c>
      <c r="D746" s="4" t="s">
        <v>110</v>
      </c>
      <c r="E746" s="5">
        <v>2</v>
      </c>
      <c r="F746" s="7" t="s">
        <v>146</v>
      </c>
      <c r="G746" s="5">
        <v>3</v>
      </c>
      <c r="H746" s="7" t="s">
        <v>191</v>
      </c>
      <c r="I746" s="5">
        <v>0</v>
      </c>
      <c r="J746" s="7" t="s">
        <v>148</v>
      </c>
      <c r="K746">
        <v>6</v>
      </c>
      <c r="L746">
        <v>1.5</v>
      </c>
      <c r="M746" s="5">
        <v>1.5</v>
      </c>
      <c r="N746" s="5">
        <v>10</v>
      </c>
      <c r="O746" s="5">
        <f t="shared" si="5089"/>
        <v>132639</v>
      </c>
      <c r="P746" s="5">
        <f t="shared" si="5090"/>
        <v>755712000</v>
      </c>
      <c r="Q746" s="5">
        <f t="shared" si="5091"/>
        <v>12595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70051</v>
      </c>
      <c r="X746" s="6" t="s">
        <v>183</v>
      </c>
      <c r="Y746" s="5">
        <v>300</v>
      </c>
      <c r="Z746" s="5">
        <v>1</v>
      </c>
      <c r="AA746" s="5">
        <v>355332096</v>
      </c>
      <c r="AB746" s="16" t="s">
        <v>111</v>
      </c>
      <c r="AC746" s="7" t="s">
        <v>112</v>
      </c>
      <c r="AD746" s="7" t="s">
        <v>112</v>
      </c>
      <c r="AE746" s="7" t="s">
        <v>112</v>
      </c>
      <c r="AF746" s="6" t="s">
        <v>113</v>
      </c>
      <c r="AG746" s="26" t="str">
        <f t="shared" ref="AG746" si="5366">CM$8</f>
        <v>4,19,28,19,6,4,19,28,19,6</v>
      </c>
      <c r="AH746" s="26" t="str">
        <f t="shared" ref="AH746" si="5367">CN$8</f>
        <v>0,0,0,0,1,0,0,0,0,1</v>
      </c>
      <c r="AI746" s="26" t="str">
        <f t="shared" ref="AI746" si="5368">CO$8</f>
        <v>0,0,0,0,1,0,0,0,0,1</v>
      </c>
      <c r="AJ746" s="26" t="str">
        <f t="shared" ref="AJ746" si="5369">CP$8</f>
        <v>0,0,0,0,5,0,0,0,0,5</v>
      </c>
      <c r="AK746" s="26" t="str">
        <f t="shared" ref="AK746" si="5370">CQ$8</f>
        <v>200,100,1000,200,5,200,100,1000,200,5</v>
      </c>
      <c r="AL746" s="26" t="str">
        <f t="shared" ref="AL746" si="5371">CR$8</f>
        <v>5,5,5,5,5,5,5,5,5,5</v>
      </c>
      <c r="AM746" s="7">
        <v>2001</v>
      </c>
      <c r="AO746">
        <f t="shared" ref="AO746" si="5372">AQ746*100+5</f>
        <v>8305</v>
      </c>
      <c r="AP746">
        <v>742</v>
      </c>
      <c r="AQ746">
        <f t="shared" si="5099"/>
        <v>83</v>
      </c>
      <c r="AR746">
        <v>13</v>
      </c>
      <c r="AS746" s="17">
        <f t="shared" si="5180"/>
        <v>470</v>
      </c>
      <c r="AT746">
        <v>12</v>
      </c>
      <c r="AU746">
        <f t="shared" si="5100"/>
        <v>36</v>
      </c>
      <c r="AV746">
        <v>150</v>
      </c>
      <c r="AW746">
        <f t="shared" si="5101"/>
        <v>132639.62112000003</v>
      </c>
      <c r="AX746">
        <f t="shared" si="5230"/>
        <v>755711999.99999988</v>
      </c>
      <c r="AY746">
        <f t="shared" si="5102"/>
        <v>12595.199999999999</v>
      </c>
      <c r="AZ746">
        <f t="shared" si="5103"/>
        <v>25190.399999999998</v>
      </c>
      <c r="BA746">
        <f t="shared" si="5104"/>
        <v>147456.00000000003</v>
      </c>
      <c r="BB746">
        <f t="shared" si="5105"/>
        <v>6297.5999999999995</v>
      </c>
      <c r="BC746">
        <f t="shared" si="5231"/>
        <v>755711999.99999988</v>
      </c>
      <c r="BD746">
        <f t="shared" si="5106"/>
        <v>0.29411764705882348</v>
      </c>
      <c r="BE746" s="27">
        <f t="shared" si="5232"/>
        <v>1699024365.1583993</v>
      </c>
      <c r="BF746" s="30">
        <f t="shared" si="5107"/>
        <v>0.49919999999999998</v>
      </c>
      <c r="BG746" s="27"/>
      <c r="BH746" s="27"/>
      <c r="BI746" s="27"/>
      <c r="CA746" s="20">
        <f t="shared" si="5108"/>
        <v>510</v>
      </c>
      <c r="CB746" s="20">
        <f t="shared" si="5109"/>
        <v>51000</v>
      </c>
    </row>
    <row r="747" spans="1:80" x14ac:dyDescent="0.15">
      <c r="A747">
        <v>8306</v>
      </c>
      <c r="B747" s="3" t="s">
        <v>124</v>
      </c>
      <c r="C747" s="4" t="s">
        <v>109</v>
      </c>
      <c r="D747" s="6" t="s">
        <v>120</v>
      </c>
      <c r="E747" s="5">
        <v>1</v>
      </c>
      <c r="F747" s="7" t="s">
        <v>147</v>
      </c>
      <c r="G747" s="5">
        <v>3</v>
      </c>
      <c r="H747" s="7" t="s">
        <v>192</v>
      </c>
      <c r="I747" s="5">
        <v>0</v>
      </c>
      <c r="J747" s="7" t="s">
        <v>149</v>
      </c>
      <c r="K747">
        <v>6</v>
      </c>
      <c r="L747">
        <v>1.5</v>
      </c>
      <c r="M747" s="5">
        <v>1.5</v>
      </c>
      <c r="N747" s="5">
        <v>10</v>
      </c>
      <c r="O747" s="5">
        <f t="shared" si="5089"/>
        <v>134021</v>
      </c>
      <c r="P747" s="5">
        <f t="shared" si="5090"/>
        <v>763584000</v>
      </c>
      <c r="Q747" s="5">
        <f t="shared" si="5091"/>
        <v>12726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70061</v>
      </c>
      <c r="X747" s="6" t="s">
        <v>184</v>
      </c>
      <c r="Y747" s="5">
        <v>300</v>
      </c>
      <c r="Z747" s="5">
        <v>1</v>
      </c>
      <c r="AA747" s="5">
        <v>363272233</v>
      </c>
      <c r="AB747" s="16" t="s">
        <v>111</v>
      </c>
      <c r="AC747" s="7" t="s">
        <v>112</v>
      </c>
      <c r="AD747" s="7" t="s">
        <v>112</v>
      </c>
      <c r="AE747" s="7" t="s">
        <v>112</v>
      </c>
      <c r="AF747" s="6" t="s">
        <v>113</v>
      </c>
      <c r="AG747" s="26" t="str">
        <f t="shared" ref="AG747" si="5373">CM$9</f>
        <v>4,33,28,33,6,4,33,28,33,6</v>
      </c>
      <c r="AH747" s="26" t="str">
        <f t="shared" ref="AH747" si="5374">CN$9</f>
        <v>0,6,0,6,1,0,6,0,6,1</v>
      </c>
      <c r="AI747" s="26" t="str">
        <f t="shared" ref="AI747" si="5375">CO$9</f>
        <v>0,0,0,0,1,0,0,0,0,1</v>
      </c>
      <c r="AJ747" s="26" t="str">
        <f t="shared" ref="AJ747" si="5376">CP$9</f>
        <v>0,0,0,0,5,0,0,0,0,5</v>
      </c>
      <c r="AK747" s="26" t="str">
        <f t="shared" ref="AK747" si="5377">CQ$9</f>
        <v>200,1,1000,2,5,200,1,1000,2,5</v>
      </c>
      <c r="AL747" s="26" t="str">
        <f t="shared" ref="AL747" si="5378">CR$9</f>
        <v>5,5,5,5,5,5,5,5,5,5</v>
      </c>
      <c r="AM747" s="7">
        <v>2001</v>
      </c>
      <c r="AO747">
        <f t="shared" ref="AO747" si="5379">AQ747*100+6</f>
        <v>8306</v>
      </c>
      <c r="AP747">
        <v>743</v>
      </c>
      <c r="AQ747">
        <f t="shared" si="5099"/>
        <v>83</v>
      </c>
      <c r="AR747">
        <v>13</v>
      </c>
      <c r="AS747" s="17">
        <f t="shared" si="5180"/>
        <v>475</v>
      </c>
      <c r="AT747">
        <v>12</v>
      </c>
      <c r="AU747">
        <f t="shared" si="5100"/>
        <v>36</v>
      </c>
      <c r="AV747">
        <v>150</v>
      </c>
      <c r="AW747">
        <f t="shared" si="5101"/>
        <v>134021.28384000002</v>
      </c>
      <c r="AX747">
        <f t="shared" si="5230"/>
        <v>763584000</v>
      </c>
      <c r="AY747">
        <f t="shared" si="5102"/>
        <v>12726.4</v>
      </c>
      <c r="AZ747">
        <f t="shared" si="5103"/>
        <v>25452.799999999999</v>
      </c>
      <c r="BA747">
        <f t="shared" si="5104"/>
        <v>148992.00000000003</v>
      </c>
      <c r="BB747">
        <f t="shared" si="5105"/>
        <v>6363.2</v>
      </c>
      <c r="BC747">
        <f t="shared" si="5231"/>
        <v>763584000</v>
      </c>
      <c r="BD747">
        <f t="shared" si="5106"/>
        <v>0.29411764705882354</v>
      </c>
      <c r="BE747" s="27">
        <f t="shared" si="5232"/>
        <v>1734605062.0416002</v>
      </c>
      <c r="BF747" s="30">
        <f t="shared" si="5107"/>
        <v>0.49919999999999998</v>
      </c>
      <c r="BG747" s="27"/>
      <c r="BH747" s="27"/>
      <c r="BI747" s="27"/>
      <c r="CA747" s="20">
        <f t="shared" si="5108"/>
        <v>510</v>
      </c>
      <c r="CB747" s="20">
        <f t="shared" si="5109"/>
        <v>51000</v>
      </c>
    </row>
    <row r="748" spans="1:80" x14ac:dyDescent="0.15">
      <c r="A748">
        <v>8307</v>
      </c>
      <c r="B748" s="3" t="s">
        <v>126</v>
      </c>
      <c r="C748" s="4" t="s">
        <v>109</v>
      </c>
      <c r="D748" s="4" t="s">
        <v>110</v>
      </c>
      <c r="E748" s="5">
        <v>2</v>
      </c>
      <c r="F748" s="7" t="s">
        <v>143</v>
      </c>
      <c r="G748" s="5">
        <v>3</v>
      </c>
      <c r="H748" s="7" t="s">
        <v>193</v>
      </c>
      <c r="I748" s="5">
        <v>0</v>
      </c>
      <c r="J748" s="5">
        <v>0</v>
      </c>
      <c r="K748">
        <v>2</v>
      </c>
      <c r="L748">
        <v>1.5</v>
      </c>
      <c r="M748" s="5">
        <v>1.5</v>
      </c>
      <c r="N748" s="5">
        <v>10</v>
      </c>
      <c r="O748" s="5">
        <f t="shared" si="5089"/>
        <v>135402</v>
      </c>
      <c r="P748" s="5">
        <f t="shared" si="5090"/>
        <v>771456000</v>
      </c>
      <c r="Q748" s="5">
        <f t="shared" si="5091"/>
        <v>12857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70071</v>
      </c>
      <c r="X748" s="6" t="s">
        <v>185</v>
      </c>
      <c r="Y748" s="5">
        <v>300</v>
      </c>
      <c r="Z748" s="5">
        <v>1</v>
      </c>
      <c r="AA748" s="5">
        <v>371300106</v>
      </c>
      <c r="AB748" s="16" t="s">
        <v>111</v>
      </c>
      <c r="AC748" s="7" t="s">
        <v>112</v>
      </c>
      <c r="AD748" s="7" t="s">
        <v>112</v>
      </c>
      <c r="AE748" s="7" t="s">
        <v>112</v>
      </c>
      <c r="AF748" s="6" t="s">
        <v>113</v>
      </c>
      <c r="AG748" s="26" t="str">
        <f t="shared" ref="AG748" si="5380">CM$10</f>
        <v>4,14,28,14,6,4,14,28,14,6</v>
      </c>
      <c r="AH748" s="26" t="str">
        <f t="shared" ref="AH748" si="5381">CN$10</f>
        <v>0,0,0,0,1,0,0,0,0,1</v>
      </c>
      <c r="AI748" s="26" t="str">
        <f t="shared" ref="AI748" si="5382">CO$10</f>
        <v>0,0,0,0,1,0,0,0,0,1</v>
      </c>
      <c r="AJ748" s="26" t="str">
        <f t="shared" ref="AJ748" si="5383">CP$10</f>
        <v>0,0,0,0,5,0,0,0,0,5</v>
      </c>
      <c r="AK748" s="26" t="str">
        <f t="shared" ref="AK748" si="5384">CQ$10</f>
        <v>200,1,1000,2,5,200,1,1000,2,5</v>
      </c>
      <c r="AL748" s="26" t="str">
        <f t="shared" ref="AL748" si="5385">CR$10</f>
        <v>5,5,5,5,5,5,5,5,5,5</v>
      </c>
      <c r="AM748" s="7">
        <v>2001</v>
      </c>
      <c r="AO748">
        <f t="shared" ref="AO748" si="5386">AQ748*100+7</f>
        <v>8307</v>
      </c>
      <c r="AP748">
        <v>744</v>
      </c>
      <c r="AQ748">
        <f t="shared" si="5099"/>
        <v>83</v>
      </c>
      <c r="AR748">
        <v>13</v>
      </c>
      <c r="AS748" s="17">
        <f t="shared" si="5180"/>
        <v>480</v>
      </c>
      <c r="AT748">
        <v>12</v>
      </c>
      <c r="AU748">
        <f t="shared" si="5100"/>
        <v>36</v>
      </c>
      <c r="AV748">
        <v>150</v>
      </c>
      <c r="AW748">
        <f t="shared" si="5101"/>
        <v>135402.94656000004</v>
      </c>
      <c r="AX748">
        <f t="shared" si="5230"/>
        <v>771456000</v>
      </c>
      <c r="AY748">
        <f t="shared" si="5102"/>
        <v>12857.599999999999</v>
      </c>
      <c r="AZ748">
        <f t="shared" si="5103"/>
        <v>25715.199999999997</v>
      </c>
      <c r="BA748">
        <f t="shared" si="5104"/>
        <v>150528.00000000003</v>
      </c>
      <c r="BB748">
        <f t="shared" si="5105"/>
        <v>6428.7999999999993</v>
      </c>
      <c r="BC748">
        <f t="shared" si="5231"/>
        <v>771456000</v>
      </c>
      <c r="BD748">
        <f t="shared" si="5106"/>
        <v>0.29411764705882354</v>
      </c>
      <c r="BE748" s="27">
        <f t="shared" si="5232"/>
        <v>1770554470.8096001</v>
      </c>
      <c r="BF748" s="30">
        <f t="shared" si="5107"/>
        <v>0.49919999999999998</v>
      </c>
      <c r="BG748" s="27"/>
      <c r="BH748" s="27"/>
      <c r="BI748" s="27"/>
      <c r="CA748" s="20">
        <f t="shared" si="5108"/>
        <v>510</v>
      </c>
      <c r="CB748" s="20">
        <f t="shared" si="5109"/>
        <v>51000</v>
      </c>
    </row>
    <row r="749" spans="1:80" x14ac:dyDescent="0.15">
      <c r="A749">
        <v>8308</v>
      </c>
      <c r="B749" s="3" t="s">
        <v>128</v>
      </c>
      <c r="C749" s="4" t="s">
        <v>109</v>
      </c>
      <c r="D749" s="4" t="s">
        <v>110</v>
      </c>
      <c r="E749" s="5">
        <v>5</v>
      </c>
      <c r="F749" s="7" t="s">
        <v>129</v>
      </c>
      <c r="G749" s="5">
        <v>2</v>
      </c>
      <c r="H749" s="7" t="s">
        <v>130</v>
      </c>
      <c r="I749" s="5">
        <v>0</v>
      </c>
      <c r="J749" s="5">
        <v>0</v>
      </c>
      <c r="K749">
        <v>2</v>
      </c>
      <c r="L749">
        <v>1.5</v>
      </c>
      <c r="M749" s="5">
        <v>1.5</v>
      </c>
      <c r="N749" s="5">
        <v>10</v>
      </c>
      <c r="O749" s="5">
        <f t="shared" si="5089"/>
        <v>136784</v>
      </c>
      <c r="P749" s="5">
        <f t="shared" si="5090"/>
        <v>779328000</v>
      </c>
      <c r="Q749" s="5">
        <f t="shared" si="5091"/>
        <v>12988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70081</v>
      </c>
      <c r="X749" s="6" t="s">
        <v>186</v>
      </c>
      <c r="Y749" s="5">
        <v>300</v>
      </c>
      <c r="Z749" s="5">
        <v>1</v>
      </c>
      <c r="AA749" s="5">
        <v>379415716</v>
      </c>
      <c r="AB749" s="16" t="s">
        <v>111</v>
      </c>
      <c r="AC749" s="7" t="s">
        <v>112</v>
      </c>
      <c r="AD749" s="7" t="s">
        <v>112</v>
      </c>
      <c r="AE749" s="7" t="s">
        <v>112</v>
      </c>
      <c r="AF749" s="6" t="s">
        <v>113</v>
      </c>
      <c r="AG749" s="26" t="str">
        <f t="shared" ref="AG749" si="5387">CM$11</f>
        <v>4,28,6,28,6,4,28,6,28,6</v>
      </c>
      <c r="AH749" s="26" t="str">
        <f t="shared" ref="AH749" si="5388">CN$11</f>
        <v>0,0,1,0,1,0,0,1,0,1</v>
      </c>
      <c r="AI749" s="26" t="str">
        <f t="shared" ref="AI749" si="5389">CO$11</f>
        <v>0,0,1,0,1,0,0,1,0,1</v>
      </c>
      <c r="AJ749" s="26" t="str">
        <f t="shared" ref="AJ749" si="5390">CP$11</f>
        <v>0,0,5,0,5,0,0,5,0,5</v>
      </c>
      <c r="AK749" s="26" t="str">
        <f t="shared" ref="AK749" si="5391">CQ$11</f>
        <v>100,1000,5,1500,5,200,1000,5,1500,5</v>
      </c>
      <c r="AL749" s="26" t="str">
        <f t="shared" ref="AL749" si="5392">CR$11</f>
        <v>5,5,5,5,5,5,5,5,5,5</v>
      </c>
      <c r="AM749" s="7">
        <v>2001</v>
      </c>
      <c r="AO749">
        <f t="shared" ref="AO749" si="5393">AQ749*100+8</f>
        <v>8308</v>
      </c>
      <c r="AP749">
        <v>745</v>
      </c>
      <c r="AQ749">
        <f t="shared" si="5099"/>
        <v>83</v>
      </c>
      <c r="AR749">
        <v>13</v>
      </c>
      <c r="AS749" s="17">
        <f t="shared" si="5180"/>
        <v>485</v>
      </c>
      <c r="AT749">
        <v>12</v>
      </c>
      <c r="AU749">
        <f t="shared" si="5100"/>
        <v>36</v>
      </c>
      <c r="AV749">
        <v>150</v>
      </c>
      <c r="AW749">
        <f t="shared" si="5101"/>
        <v>136784.60928000003</v>
      </c>
      <c r="AX749">
        <f t="shared" si="5230"/>
        <v>779328000</v>
      </c>
      <c r="AY749">
        <f t="shared" si="5102"/>
        <v>12988.8</v>
      </c>
      <c r="AZ749">
        <f t="shared" si="5103"/>
        <v>25977.599999999999</v>
      </c>
      <c r="BA749">
        <f t="shared" si="5104"/>
        <v>152064.00000000003</v>
      </c>
      <c r="BB749">
        <f t="shared" si="5105"/>
        <v>6494.4</v>
      </c>
      <c r="BC749">
        <f t="shared" si="5231"/>
        <v>779328000</v>
      </c>
      <c r="BD749">
        <f t="shared" si="5106"/>
        <v>0.29411764705882359</v>
      </c>
      <c r="BE749" s="27">
        <f t="shared" si="5232"/>
        <v>1806872591.4624004</v>
      </c>
      <c r="BF749" s="30">
        <f t="shared" si="5107"/>
        <v>0.49919999999999998</v>
      </c>
      <c r="BG749" s="27"/>
      <c r="BH749" s="27"/>
      <c r="BI749" s="27"/>
      <c r="CA749" s="20">
        <f t="shared" si="5108"/>
        <v>510</v>
      </c>
      <c r="CB749" s="20">
        <f t="shared" si="5109"/>
        <v>51000</v>
      </c>
    </row>
    <row r="750" spans="1:80" x14ac:dyDescent="0.15">
      <c r="A750">
        <v>8309</v>
      </c>
      <c r="B750" s="3" t="s">
        <v>132</v>
      </c>
      <c r="C750" s="4" t="s">
        <v>109</v>
      </c>
      <c r="D750" s="4" t="s">
        <v>110</v>
      </c>
      <c r="E750" s="5">
        <v>5</v>
      </c>
      <c r="F750" s="7" t="s">
        <v>140</v>
      </c>
      <c r="G750" s="5">
        <v>3</v>
      </c>
      <c r="H750" s="7" t="s">
        <v>140</v>
      </c>
      <c r="I750" s="5">
        <v>0</v>
      </c>
      <c r="J750" s="7">
        <v>0</v>
      </c>
      <c r="K750">
        <v>6</v>
      </c>
      <c r="L750">
        <v>1.5</v>
      </c>
      <c r="M750" s="5">
        <v>1.5</v>
      </c>
      <c r="N750" s="5">
        <v>10</v>
      </c>
      <c r="O750" s="5">
        <f t="shared" si="5089"/>
        <v>138166</v>
      </c>
      <c r="P750" s="5">
        <f t="shared" si="5090"/>
        <v>787200000</v>
      </c>
      <c r="Q750" s="5">
        <f t="shared" si="5091"/>
        <v>13120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70091</v>
      </c>
      <c r="X750" s="6" t="s">
        <v>187</v>
      </c>
      <c r="Y750" s="5">
        <v>300</v>
      </c>
      <c r="Z750" s="5">
        <v>1</v>
      </c>
      <c r="AA750" s="5">
        <v>387619062</v>
      </c>
      <c r="AB750" s="16" t="s">
        <v>111</v>
      </c>
      <c r="AC750" s="7" t="s">
        <v>112</v>
      </c>
      <c r="AD750" s="7" t="s">
        <v>112</v>
      </c>
      <c r="AE750" s="7" t="s">
        <v>112</v>
      </c>
      <c r="AF750" s="6" t="s">
        <v>113</v>
      </c>
      <c r="AG750" s="26" t="str">
        <f t="shared" ref="AG750" si="5394">CM$12</f>
        <v>4,33,28,33,6,4,33,28,33,6</v>
      </c>
      <c r="AH750" s="26" t="str">
        <f t="shared" ref="AH750" si="5395">CN$12</f>
        <v>0,5,0,5,1,0,5,0,5,1</v>
      </c>
      <c r="AI750" s="26" t="str">
        <f t="shared" ref="AI750" si="5396">CO$12</f>
        <v>0,0,0,0,1,0,0,0,0,1</v>
      </c>
      <c r="AJ750" s="26" t="str">
        <f t="shared" ref="AJ750" si="5397">CP$12</f>
        <v>0,0,0,0,5,0,0,0,0,5</v>
      </c>
      <c r="AK750" s="26" t="str">
        <f t="shared" ref="AK750" si="5398">CQ$12</f>
        <v>100,1,1000,2,5,200,1,1000,2,5</v>
      </c>
      <c r="AL750" s="26" t="str">
        <f t="shared" ref="AL750" si="5399">CR$12</f>
        <v>5,5,5,5,5,5,5,5,5,5</v>
      </c>
      <c r="AM750" s="7">
        <v>2001</v>
      </c>
      <c r="AO750">
        <f t="shared" ref="AO750" si="5400">AQ750*100+9</f>
        <v>8309</v>
      </c>
      <c r="AP750">
        <v>746</v>
      </c>
      <c r="AQ750">
        <f t="shared" si="5099"/>
        <v>83</v>
      </c>
      <c r="AR750">
        <v>13</v>
      </c>
      <c r="AS750" s="17">
        <f t="shared" si="5180"/>
        <v>490</v>
      </c>
      <c r="AT750">
        <v>12</v>
      </c>
      <c r="AU750">
        <f t="shared" si="5100"/>
        <v>36</v>
      </c>
      <c r="AV750">
        <v>150</v>
      </c>
      <c r="AW750">
        <f t="shared" si="5101"/>
        <v>138166.27200000003</v>
      </c>
      <c r="AX750">
        <f t="shared" si="5230"/>
        <v>787200000</v>
      </c>
      <c r="AY750">
        <f t="shared" si="5102"/>
        <v>13119.999999999998</v>
      </c>
      <c r="AZ750">
        <f t="shared" si="5103"/>
        <v>26239.999999999996</v>
      </c>
      <c r="BA750">
        <f t="shared" si="5104"/>
        <v>153600.00000000003</v>
      </c>
      <c r="BB750">
        <f t="shared" si="5105"/>
        <v>6559.9999999999991</v>
      </c>
      <c r="BC750">
        <f t="shared" si="5231"/>
        <v>787200000</v>
      </c>
      <c r="BD750">
        <f t="shared" si="5106"/>
        <v>0.29411764705882354</v>
      </c>
      <c r="BE750" s="27">
        <f t="shared" si="5232"/>
        <v>1843559424</v>
      </c>
      <c r="BF750" s="30">
        <f t="shared" si="5107"/>
        <v>0.49919999999999998</v>
      </c>
      <c r="BG750" s="27"/>
      <c r="BH750" s="27"/>
      <c r="BI750" s="27"/>
      <c r="CA750" s="20">
        <f t="shared" si="5108"/>
        <v>510</v>
      </c>
      <c r="CB750" s="20">
        <f t="shared" si="5109"/>
        <v>51000</v>
      </c>
    </row>
    <row r="751" spans="1:80" x14ac:dyDescent="0.15">
      <c r="A751">
        <v>8401</v>
      </c>
      <c r="B751" s="3" t="s">
        <v>108</v>
      </c>
      <c r="C751" s="4" t="s">
        <v>109</v>
      </c>
      <c r="D751" s="4" t="s">
        <v>110</v>
      </c>
      <c r="E751" s="5">
        <v>3</v>
      </c>
      <c r="F751" s="7" t="s">
        <v>141</v>
      </c>
      <c r="G751" s="5">
        <v>2.5</v>
      </c>
      <c r="H751" s="7" t="s">
        <v>194</v>
      </c>
      <c r="I751" s="5">
        <v>0</v>
      </c>
      <c r="J751" s="5">
        <v>0</v>
      </c>
      <c r="K751">
        <v>2</v>
      </c>
      <c r="L751">
        <v>1.5</v>
      </c>
      <c r="M751" s="5">
        <v>1.5</v>
      </c>
      <c r="N751" s="5">
        <v>10</v>
      </c>
      <c r="O751" s="5">
        <f t="shared" si="5089"/>
        <v>128700</v>
      </c>
      <c r="P751" s="5">
        <f t="shared" si="5090"/>
        <v>732096000</v>
      </c>
      <c r="Q751" s="5">
        <f t="shared" si="5091"/>
        <v>12201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70011</v>
      </c>
      <c r="X751" s="6" t="s">
        <v>179</v>
      </c>
      <c r="Y751" s="5">
        <v>300</v>
      </c>
      <c r="Z751" s="5">
        <v>1</v>
      </c>
      <c r="AA751" s="5">
        <v>395910144</v>
      </c>
      <c r="AB751" s="16" t="s">
        <v>111</v>
      </c>
      <c r="AC751" s="7" t="s">
        <v>112</v>
      </c>
      <c r="AD751" s="7" t="s">
        <v>112</v>
      </c>
      <c r="AE751" s="7" t="s">
        <v>112</v>
      </c>
      <c r="AF751" s="6" t="s">
        <v>113</v>
      </c>
      <c r="AG751" s="26" t="str">
        <f t="shared" ref="AG751" si="5401">CM$4</f>
        <v>4,33,28,33,6,4,33,28,33,6</v>
      </c>
      <c r="AH751" s="26" t="str">
        <f t="shared" ref="AH751" si="5402">CN$4</f>
        <v>0,8,0,8,1,0,8,0,8,1</v>
      </c>
      <c r="AI751" s="26" t="str">
        <f t="shared" ref="AI751" si="5403">CO$4</f>
        <v>0,0,0,0,1,0,0,0,0,1</v>
      </c>
      <c r="AJ751" s="26" t="str">
        <f t="shared" ref="AJ751" si="5404">CP$4</f>
        <v>0,0,0,0,5,0,0,0,0,5</v>
      </c>
      <c r="AK751" s="26" t="str">
        <f t="shared" ref="AK751" si="5405">CQ$4</f>
        <v>100,1,1000,2,5,200,1,1000,2,5</v>
      </c>
      <c r="AL751" s="26" t="str">
        <f t="shared" ref="AL751" si="5406">CR$4</f>
        <v>5,5,5,5,5,5,5,5,5,5</v>
      </c>
      <c r="AM751" s="7">
        <v>2001</v>
      </c>
      <c r="AO751">
        <f t="shared" ref="AO751" si="5407">AQ751*100+1</f>
        <v>8401</v>
      </c>
      <c r="AP751">
        <v>747</v>
      </c>
      <c r="AQ751">
        <f t="shared" si="5099"/>
        <v>84</v>
      </c>
      <c r="AR751">
        <v>13</v>
      </c>
      <c r="AS751" s="17">
        <f t="shared" si="5180"/>
        <v>455</v>
      </c>
      <c r="AT751">
        <v>12</v>
      </c>
      <c r="AU751">
        <f t="shared" si="5100"/>
        <v>36</v>
      </c>
      <c r="AV751">
        <v>150</v>
      </c>
      <c r="AW751">
        <f t="shared" si="5101"/>
        <v>128700.33408000002</v>
      </c>
      <c r="AX751">
        <f t="shared" si="5230"/>
        <v>732095999.99999988</v>
      </c>
      <c r="AY751">
        <f t="shared" si="5102"/>
        <v>12201.599999999999</v>
      </c>
      <c r="AZ751">
        <f t="shared" si="5103"/>
        <v>24403.199999999997</v>
      </c>
      <c r="BA751">
        <f t="shared" si="5104"/>
        <v>142848.00000000003</v>
      </c>
      <c r="BB751">
        <f t="shared" si="5105"/>
        <v>6100.7999999999993</v>
      </c>
      <c r="BC751">
        <f t="shared" si="5231"/>
        <v>732095999.99999988</v>
      </c>
      <c r="BD751">
        <f t="shared" si="5106"/>
        <v>0.29411764705882354</v>
      </c>
      <c r="BE751" s="27">
        <f t="shared" si="5232"/>
        <v>1594494545.8175998</v>
      </c>
      <c r="BF751" s="30">
        <f t="shared" si="5107"/>
        <v>0.50159999999999993</v>
      </c>
      <c r="BG751" s="27"/>
      <c r="BH751" s="27"/>
      <c r="BI751" s="27"/>
      <c r="CA751" s="20">
        <f t="shared" si="5108"/>
        <v>515</v>
      </c>
      <c r="CB751" s="20">
        <f t="shared" si="5109"/>
        <v>51500</v>
      </c>
    </row>
    <row r="752" spans="1:80" x14ac:dyDescent="0.15">
      <c r="A752">
        <v>8402</v>
      </c>
      <c r="B752" s="3" t="s">
        <v>115</v>
      </c>
      <c r="C752" s="4" t="s">
        <v>109</v>
      </c>
      <c r="D752" s="6" t="s">
        <v>110</v>
      </c>
      <c r="E752" s="5">
        <v>3</v>
      </c>
      <c r="F752" s="7" t="s">
        <v>142</v>
      </c>
      <c r="G752" s="5">
        <v>3</v>
      </c>
      <c r="H752" s="7" t="s">
        <v>188</v>
      </c>
      <c r="I752" s="5">
        <v>0</v>
      </c>
      <c r="J752" s="5">
        <v>0</v>
      </c>
      <c r="K752">
        <v>2</v>
      </c>
      <c r="L752">
        <v>1.5</v>
      </c>
      <c r="M752" s="5">
        <v>1.5</v>
      </c>
      <c r="N752" s="5">
        <v>10</v>
      </c>
      <c r="O752" s="5">
        <f t="shared" si="5089"/>
        <v>130084</v>
      </c>
      <c r="P752" s="5">
        <f t="shared" si="5090"/>
        <v>739968000</v>
      </c>
      <c r="Q752" s="5">
        <f t="shared" si="5091"/>
        <v>12332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70021</v>
      </c>
      <c r="X752" s="6" t="s">
        <v>180</v>
      </c>
      <c r="Y752" s="5">
        <v>300</v>
      </c>
      <c r="Z752" s="5">
        <v>1</v>
      </c>
      <c r="AA752" s="5">
        <v>339715031</v>
      </c>
      <c r="AB752" s="16" t="s">
        <v>111</v>
      </c>
      <c r="AC752" s="7" t="s">
        <v>112</v>
      </c>
      <c r="AD752" s="7" t="s">
        <v>112</v>
      </c>
      <c r="AE752" s="7" t="s">
        <v>112</v>
      </c>
      <c r="AF752" s="6" t="s">
        <v>113</v>
      </c>
      <c r="AG752" s="26" t="str">
        <f t="shared" ref="AG752" si="5408">CM$5</f>
        <v>4,33,28,33,6,4,33,28,33,6</v>
      </c>
      <c r="AH752" s="26" t="str">
        <f t="shared" ref="AH752" si="5409">CN$5</f>
        <v>0,7,0,7,1,0,7,0,7,1</v>
      </c>
      <c r="AI752" s="26" t="str">
        <f t="shared" ref="AI752" si="5410">CO$5</f>
        <v>0,0,0,0,1,0,0,0,0,1</v>
      </c>
      <c r="AJ752" s="26" t="str">
        <f t="shared" ref="AJ752" si="5411">CP$5</f>
        <v>0,0,0,0,5,0,0,0,0,5</v>
      </c>
      <c r="AK752" s="26" t="str">
        <f t="shared" ref="AK752" si="5412">CQ$5</f>
        <v>100,1,1000,2,5,200,1,1000,2,5</v>
      </c>
      <c r="AL752" s="26" t="str">
        <f t="shared" ref="AL752" si="5413">CR$5</f>
        <v>5,5,5,5,5,5,5,5,5,5</v>
      </c>
      <c r="AM752" s="7">
        <v>2001</v>
      </c>
      <c r="AO752">
        <f t="shared" ref="AO752" si="5414">AQ752*100+2</f>
        <v>8402</v>
      </c>
      <c r="AP752">
        <v>748</v>
      </c>
      <c r="AQ752">
        <f t="shared" si="5099"/>
        <v>84</v>
      </c>
      <c r="AR752">
        <v>13</v>
      </c>
      <c r="AS752" s="17">
        <f t="shared" si="5180"/>
        <v>460</v>
      </c>
      <c r="AT752">
        <v>12</v>
      </c>
      <c r="AU752">
        <f t="shared" si="5100"/>
        <v>36</v>
      </c>
      <c r="AV752">
        <v>150</v>
      </c>
      <c r="AW752">
        <f t="shared" si="5101"/>
        <v>130084.20864</v>
      </c>
      <c r="AX752">
        <f t="shared" si="5230"/>
        <v>739968000</v>
      </c>
      <c r="AY752">
        <f t="shared" si="5102"/>
        <v>12332.8</v>
      </c>
      <c r="AZ752">
        <f t="shared" si="5103"/>
        <v>24665.599999999999</v>
      </c>
      <c r="BA752">
        <f t="shared" si="5104"/>
        <v>144384.00000000003</v>
      </c>
      <c r="BB752">
        <f t="shared" si="5105"/>
        <v>6166.4</v>
      </c>
      <c r="BC752">
        <f t="shared" si="5231"/>
        <v>739968000</v>
      </c>
      <c r="BD752">
        <f t="shared" si="5106"/>
        <v>0.29411764705882359</v>
      </c>
      <c r="BE752" s="27">
        <f t="shared" si="5232"/>
        <v>1628969107.0464003</v>
      </c>
      <c r="BF752" s="30">
        <f t="shared" si="5107"/>
        <v>0.50159999999999993</v>
      </c>
      <c r="BG752" s="27"/>
      <c r="BH752" s="27"/>
      <c r="BI752" s="27"/>
      <c r="CA752" s="20">
        <f t="shared" si="5108"/>
        <v>515</v>
      </c>
      <c r="CB752" s="20">
        <f t="shared" si="5109"/>
        <v>51500</v>
      </c>
    </row>
    <row r="753" spans="1:80" x14ac:dyDescent="0.15">
      <c r="A753">
        <v>8403</v>
      </c>
      <c r="B753" s="3" t="s">
        <v>117</v>
      </c>
      <c r="C753" s="4" t="s">
        <v>109</v>
      </c>
      <c r="D753" s="4" t="s">
        <v>110</v>
      </c>
      <c r="E753" s="5">
        <v>1</v>
      </c>
      <c r="F753" s="7" t="s">
        <v>144</v>
      </c>
      <c r="G753" s="5">
        <v>3</v>
      </c>
      <c r="H753" s="7" t="s">
        <v>189</v>
      </c>
      <c r="I753" s="5">
        <v>0</v>
      </c>
      <c r="J753" s="2">
        <v>0</v>
      </c>
      <c r="K753">
        <v>6</v>
      </c>
      <c r="L753">
        <v>1.5</v>
      </c>
      <c r="M753" s="5">
        <v>1.5</v>
      </c>
      <c r="N753" s="5">
        <v>10</v>
      </c>
      <c r="O753" s="5">
        <f t="shared" si="5089"/>
        <v>131468</v>
      </c>
      <c r="P753" s="5">
        <f t="shared" si="5090"/>
        <v>747840000</v>
      </c>
      <c r="Q753" s="5">
        <f t="shared" si="5091"/>
        <v>12464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70031</v>
      </c>
      <c r="X753" s="6" t="s">
        <v>181</v>
      </c>
      <c r="Y753" s="5">
        <v>300</v>
      </c>
      <c r="Z753" s="5">
        <v>1</v>
      </c>
      <c r="AA753" s="5">
        <v>347479695</v>
      </c>
      <c r="AB753" s="16" t="s">
        <v>111</v>
      </c>
      <c r="AC753" s="7" t="s">
        <v>112</v>
      </c>
      <c r="AD753" s="7" t="s">
        <v>112</v>
      </c>
      <c r="AE753" s="7" t="s">
        <v>112</v>
      </c>
      <c r="AF753" s="6" t="s">
        <v>113</v>
      </c>
      <c r="AG753" s="26" t="str">
        <f t="shared" ref="AG753" si="5415">CM$6</f>
        <v>4,28,6,28,6,4,28,6,28,6</v>
      </c>
      <c r="AH753" s="26" t="str">
        <f t="shared" ref="AH753" si="5416">CN$6</f>
        <v>0,0,1,0,1,0,0,1,0,1</v>
      </c>
      <c r="AI753" s="26" t="str">
        <f t="shared" ref="AI753" si="5417">CO$6</f>
        <v>0,0,0,0,1,0,0,0,0,1</v>
      </c>
      <c r="AJ753" s="26" t="str">
        <f t="shared" ref="AJ753" si="5418">CP$6</f>
        <v>0,0,5,0,5,0,0,5,0,5</v>
      </c>
      <c r="AK753" s="26" t="str">
        <f t="shared" ref="AK753" si="5419">CQ$6</f>
        <v>100,1000,5,1500,5,200,1000,5,1500,5</v>
      </c>
      <c r="AL753" s="26" t="str">
        <f t="shared" ref="AL753" si="5420">CR$6</f>
        <v>5,5,5,5,5,5,5,5,5,5</v>
      </c>
      <c r="AM753" s="7">
        <v>2001</v>
      </c>
      <c r="AO753">
        <f t="shared" ref="AO753" si="5421">AQ753*100+3</f>
        <v>8403</v>
      </c>
      <c r="AP753">
        <v>749</v>
      </c>
      <c r="AQ753">
        <f t="shared" si="5099"/>
        <v>84</v>
      </c>
      <c r="AR753">
        <v>13</v>
      </c>
      <c r="AS753" s="17">
        <f t="shared" si="5180"/>
        <v>465</v>
      </c>
      <c r="AT753">
        <v>12</v>
      </c>
      <c r="AU753">
        <f t="shared" si="5100"/>
        <v>36</v>
      </c>
      <c r="AV753">
        <v>150</v>
      </c>
      <c r="AW753">
        <f t="shared" si="5101"/>
        <v>131468.08319999999</v>
      </c>
      <c r="AX753">
        <f t="shared" si="5230"/>
        <v>747840000</v>
      </c>
      <c r="AY753">
        <f t="shared" si="5102"/>
        <v>12463.999999999998</v>
      </c>
      <c r="AZ753">
        <f t="shared" si="5103"/>
        <v>24927.999999999996</v>
      </c>
      <c r="BA753">
        <f t="shared" si="5104"/>
        <v>145920.00000000003</v>
      </c>
      <c r="BB753">
        <f t="shared" si="5105"/>
        <v>6231.9999999999991</v>
      </c>
      <c r="BC753">
        <f t="shared" si="5231"/>
        <v>747840000</v>
      </c>
      <c r="BD753">
        <f t="shared" si="5106"/>
        <v>0.29411764705882354</v>
      </c>
      <c r="BE753" s="27">
        <f t="shared" si="5232"/>
        <v>1663812380.1600001</v>
      </c>
      <c r="BF753" s="30">
        <f t="shared" si="5107"/>
        <v>0.50159999999999993</v>
      </c>
      <c r="BG753" s="27"/>
      <c r="BH753" s="27"/>
      <c r="BI753" s="27"/>
      <c r="CA753" s="20">
        <f t="shared" si="5108"/>
        <v>515</v>
      </c>
      <c r="CB753" s="20">
        <f t="shared" si="5109"/>
        <v>51500</v>
      </c>
    </row>
    <row r="754" spans="1:80" x14ac:dyDescent="0.15">
      <c r="A754">
        <v>8404</v>
      </c>
      <c r="B754" s="3" t="s">
        <v>119</v>
      </c>
      <c r="C754" s="4" t="s">
        <v>109</v>
      </c>
      <c r="D754" s="6" t="s">
        <v>120</v>
      </c>
      <c r="E754" s="5">
        <v>3</v>
      </c>
      <c r="F754" s="7" t="s">
        <v>145</v>
      </c>
      <c r="G754" s="5">
        <v>3</v>
      </c>
      <c r="H754" s="7" t="s">
        <v>190</v>
      </c>
      <c r="I754" s="5">
        <v>0</v>
      </c>
      <c r="J754" s="5">
        <v>0</v>
      </c>
      <c r="K754">
        <v>2</v>
      </c>
      <c r="L754">
        <v>1.5</v>
      </c>
      <c r="M754" s="5">
        <v>1.5</v>
      </c>
      <c r="N754" s="5">
        <v>10</v>
      </c>
      <c r="O754" s="5">
        <f t="shared" si="5089"/>
        <v>132851</v>
      </c>
      <c r="P754" s="5">
        <f t="shared" si="5090"/>
        <v>755712000</v>
      </c>
      <c r="Q754" s="5">
        <f t="shared" si="5091"/>
        <v>12595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70041</v>
      </c>
      <c r="X754" s="6" t="s">
        <v>182</v>
      </c>
      <c r="Y754" s="5">
        <v>300</v>
      </c>
      <c r="Z754" s="5">
        <v>1</v>
      </c>
      <c r="AA754" s="5">
        <v>355332096</v>
      </c>
      <c r="AB754" s="16" t="s">
        <v>111</v>
      </c>
      <c r="AC754" s="7" t="s">
        <v>112</v>
      </c>
      <c r="AD754" s="7" t="s">
        <v>112</v>
      </c>
      <c r="AE754" s="7" t="s">
        <v>112</v>
      </c>
      <c r="AF754" s="6" t="s">
        <v>113</v>
      </c>
      <c r="AG754" s="26" t="str">
        <f t="shared" ref="AG754" si="5422">CM$7</f>
        <v>4,14,28,14,6,4,14,28,14,6</v>
      </c>
      <c r="AH754" s="26" t="str">
        <f t="shared" ref="AH754" si="5423">CN$7</f>
        <v>0,0,0,0,1,0,0,0,0,1</v>
      </c>
      <c r="AI754" s="26" t="str">
        <f t="shared" ref="AI754" si="5424">CO$7</f>
        <v>0,0,0,0,1,0,0,0,0,1</v>
      </c>
      <c r="AJ754" s="26" t="str">
        <f t="shared" ref="AJ754" si="5425">CP$7</f>
        <v>0,0,0,0,5,0,0,0,0,5</v>
      </c>
      <c r="AK754" s="26" t="str">
        <f t="shared" ref="AK754" si="5426">CQ$7</f>
        <v>100,1,1000,2,5,200,1,1000,2,5</v>
      </c>
      <c r="AL754" s="26" t="str">
        <f t="shared" ref="AL754" si="5427">CR$7</f>
        <v>5,5,5,5,5,5,5,5,5,5</v>
      </c>
      <c r="AM754" s="7">
        <v>2001</v>
      </c>
      <c r="AO754">
        <f t="shared" ref="AO754" si="5428">AQ754*100+4</f>
        <v>8404</v>
      </c>
      <c r="AP754">
        <v>750</v>
      </c>
      <c r="AQ754">
        <f t="shared" si="5099"/>
        <v>84</v>
      </c>
      <c r="AR754">
        <v>13</v>
      </c>
      <c r="AS754" s="17">
        <f t="shared" si="5180"/>
        <v>470</v>
      </c>
      <c r="AT754">
        <v>12</v>
      </c>
      <c r="AU754">
        <f t="shared" si="5100"/>
        <v>36</v>
      </c>
      <c r="AV754">
        <v>150</v>
      </c>
      <c r="AW754">
        <f t="shared" si="5101"/>
        <v>132851.95776000002</v>
      </c>
      <c r="AX754">
        <f t="shared" si="5230"/>
        <v>755711999.99999988</v>
      </c>
      <c r="AY754">
        <f t="shared" si="5102"/>
        <v>12595.199999999999</v>
      </c>
      <c r="AZ754">
        <f t="shared" si="5103"/>
        <v>25190.399999999998</v>
      </c>
      <c r="BA754">
        <f t="shared" si="5104"/>
        <v>147456.00000000003</v>
      </c>
      <c r="BB754">
        <f t="shared" si="5105"/>
        <v>6297.5999999999995</v>
      </c>
      <c r="BC754">
        <f t="shared" si="5231"/>
        <v>755711999.99999988</v>
      </c>
      <c r="BD754">
        <f t="shared" si="5106"/>
        <v>0.29411764705882348</v>
      </c>
      <c r="BE754" s="27">
        <f t="shared" si="5232"/>
        <v>1699024365.1583993</v>
      </c>
      <c r="BF754" s="30">
        <f t="shared" si="5107"/>
        <v>0.50159999999999993</v>
      </c>
      <c r="BG754" s="27"/>
      <c r="BH754" s="27"/>
      <c r="BI754" s="27"/>
      <c r="CA754" s="20">
        <f t="shared" si="5108"/>
        <v>515</v>
      </c>
      <c r="CB754" s="20">
        <f t="shared" si="5109"/>
        <v>51500</v>
      </c>
    </row>
    <row r="755" spans="1:80" x14ac:dyDescent="0.15">
      <c r="A755">
        <v>8405</v>
      </c>
      <c r="B755" s="3" t="s">
        <v>122</v>
      </c>
      <c r="C755" s="4" t="s">
        <v>109</v>
      </c>
      <c r="D755" s="4" t="s">
        <v>110</v>
      </c>
      <c r="E755" s="5">
        <v>2</v>
      </c>
      <c r="F755" s="7" t="s">
        <v>146</v>
      </c>
      <c r="G755" s="5">
        <v>3</v>
      </c>
      <c r="H755" s="7" t="s">
        <v>191</v>
      </c>
      <c r="I755" s="5">
        <v>0</v>
      </c>
      <c r="J755" s="7" t="s">
        <v>148</v>
      </c>
      <c r="K755">
        <v>6</v>
      </c>
      <c r="L755">
        <v>1.5</v>
      </c>
      <c r="M755" s="5">
        <v>1.5</v>
      </c>
      <c r="N755" s="5">
        <v>10</v>
      </c>
      <c r="O755" s="5">
        <f t="shared" si="5089"/>
        <v>134235</v>
      </c>
      <c r="P755" s="5">
        <f t="shared" si="5090"/>
        <v>763584000</v>
      </c>
      <c r="Q755" s="5">
        <f t="shared" si="5091"/>
        <v>12726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70051</v>
      </c>
      <c r="X755" s="6" t="s">
        <v>183</v>
      </c>
      <c r="Y755" s="5">
        <v>300</v>
      </c>
      <c r="Z755" s="5">
        <v>1</v>
      </c>
      <c r="AA755" s="5">
        <v>363272233</v>
      </c>
      <c r="AB755" s="16" t="s">
        <v>111</v>
      </c>
      <c r="AC755" s="7" t="s">
        <v>112</v>
      </c>
      <c r="AD755" s="7" t="s">
        <v>112</v>
      </c>
      <c r="AE755" s="7" t="s">
        <v>112</v>
      </c>
      <c r="AF755" s="6" t="s">
        <v>113</v>
      </c>
      <c r="AG755" s="26" t="str">
        <f t="shared" ref="AG755" si="5429">CM$8</f>
        <v>4,19,28,19,6,4,19,28,19,6</v>
      </c>
      <c r="AH755" s="26" t="str">
        <f t="shared" ref="AH755" si="5430">CN$8</f>
        <v>0,0,0,0,1,0,0,0,0,1</v>
      </c>
      <c r="AI755" s="26" t="str">
        <f t="shared" ref="AI755" si="5431">CO$8</f>
        <v>0,0,0,0,1,0,0,0,0,1</v>
      </c>
      <c r="AJ755" s="26" t="str">
        <f t="shared" ref="AJ755" si="5432">CP$8</f>
        <v>0,0,0,0,5,0,0,0,0,5</v>
      </c>
      <c r="AK755" s="26" t="str">
        <f t="shared" ref="AK755" si="5433">CQ$8</f>
        <v>200,100,1000,200,5,200,100,1000,200,5</v>
      </c>
      <c r="AL755" s="26" t="str">
        <f t="shared" ref="AL755" si="5434">CR$8</f>
        <v>5,5,5,5,5,5,5,5,5,5</v>
      </c>
      <c r="AM755" s="7">
        <v>2001</v>
      </c>
      <c r="AO755">
        <f t="shared" ref="AO755" si="5435">AQ755*100+5</f>
        <v>8405</v>
      </c>
      <c r="AP755">
        <v>751</v>
      </c>
      <c r="AQ755">
        <f t="shared" si="5099"/>
        <v>84</v>
      </c>
      <c r="AR755">
        <v>13</v>
      </c>
      <c r="AS755" s="17">
        <f t="shared" si="5180"/>
        <v>475</v>
      </c>
      <c r="AT755">
        <v>12</v>
      </c>
      <c r="AU755">
        <f t="shared" si="5100"/>
        <v>36</v>
      </c>
      <c r="AV755">
        <v>150</v>
      </c>
      <c r="AW755">
        <f t="shared" si="5101"/>
        <v>134235.83232000002</v>
      </c>
      <c r="AX755">
        <f t="shared" si="5230"/>
        <v>763584000</v>
      </c>
      <c r="AY755">
        <f t="shared" si="5102"/>
        <v>12726.4</v>
      </c>
      <c r="AZ755">
        <f t="shared" si="5103"/>
        <v>25452.799999999999</v>
      </c>
      <c r="BA755">
        <f t="shared" si="5104"/>
        <v>148992.00000000003</v>
      </c>
      <c r="BB755">
        <f t="shared" si="5105"/>
        <v>6363.2</v>
      </c>
      <c r="BC755">
        <f t="shared" si="5231"/>
        <v>763584000</v>
      </c>
      <c r="BD755">
        <f t="shared" si="5106"/>
        <v>0.29411764705882354</v>
      </c>
      <c r="BE755" s="27">
        <f t="shared" si="5232"/>
        <v>1734605062.0416002</v>
      </c>
      <c r="BF755" s="30">
        <f t="shared" si="5107"/>
        <v>0.50159999999999993</v>
      </c>
      <c r="BG755" s="27"/>
      <c r="BH755" s="27"/>
      <c r="BI755" s="27"/>
      <c r="CA755" s="20">
        <f t="shared" si="5108"/>
        <v>515</v>
      </c>
      <c r="CB755" s="20">
        <f t="shared" si="5109"/>
        <v>51500</v>
      </c>
    </row>
    <row r="756" spans="1:80" x14ac:dyDescent="0.15">
      <c r="A756">
        <v>8406</v>
      </c>
      <c r="B756" s="3" t="s">
        <v>124</v>
      </c>
      <c r="C756" s="4" t="s">
        <v>109</v>
      </c>
      <c r="D756" s="6" t="s">
        <v>120</v>
      </c>
      <c r="E756" s="5">
        <v>1</v>
      </c>
      <c r="F756" s="7" t="s">
        <v>147</v>
      </c>
      <c r="G756" s="5">
        <v>3</v>
      </c>
      <c r="H756" s="7" t="s">
        <v>192</v>
      </c>
      <c r="I756" s="5">
        <v>0</v>
      </c>
      <c r="J756" s="7" t="s">
        <v>149</v>
      </c>
      <c r="K756">
        <v>6</v>
      </c>
      <c r="L756">
        <v>1.5</v>
      </c>
      <c r="M756" s="5">
        <v>1.5</v>
      </c>
      <c r="N756" s="5">
        <v>10</v>
      </c>
      <c r="O756" s="5">
        <f t="shared" si="5089"/>
        <v>135619</v>
      </c>
      <c r="P756" s="5">
        <f t="shared" si="5090"/>
        <v>771456000</v>
      </c>
      <c r="Q756" s="5">
        <f t="shared" si="5091"/>
        <v>12857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70061</v>
      </c>
      <c r="X756" s="6" t="s">
        <v>184</v>
      </c>
      <c r="Y756" s="5">
        <v>300</v>
      </c>
      <c r="Z756" s="5">
        <v>1</v>
      </c>
      <c r="AA756" s="5">
        <v>371300106</v>
      </c>
      <c r="AB756" s="16" t="s">
        <v>111</v>
      </c>
      <c r="AC756" s="7" t="s">
        <v>112</v>
      </c>
      <c r="AD756" s="7" t="s">
        <v>112</v>
      </c>
      <c r="AE756" s="7" t="s">
        <v>112</v>
      </c>
      <c r="AF756" s="6" t="s">
        <v>113</v>
      </c>
      <c r="AG756" s="26" t="str">
        <f t="shared" ref="AG756" si="5436">CM$9</f>
        <v>4,33,28,33,6,4,33,28,33,6</v>
      </c>
      <c r="AH756" s="26" t="str">
        <f t="shared" ref="AH756" si="5437">CN$9</f>
        <v>0,6,0,6,1,0,6,0,6,1</v>
      </c>
      <c r="AI756" s="26" t="str">
        <f t="shared" ref="AI756" si="5438">CO$9</f>
        <v>0,0,0,0,1,0,0,0,0,1</v>
      </c>
      <c r="AJ756" s="26" t="str">
        <f t="shared" ref="AJ756" si="5439">CP$9</f>
        <v>0,0,0,0,5,0,0,0,0,5</v>
      </c>
      <c r="AK756" s="26" t="str">
        <f t="shared" ref="AK756" si="5440">CQ$9</f>
        <v>200,1,1000,2,5,200,1,1000,2,5</v>
      </c>
      <c r="AL756" s="26" t="str">
        <f t="shared" ref="AL756" si="5441">CR$9</f>
        <v>5,5,5,5,5,5,5,5,5,5</v>
      </c>
      <c r="AM756" s="7">
        <v>2001</v>
      </c>
      <c r="AO756">
        <f t="shared" ref="AO756" si="5442">AQ756*100+6</f>
        <v>8406</v>
      </c>
      <c r="AP756">
        <v>752</v>
      </c>
      <c r="AQ756">
        <f t="shared" si="5099"/>
        <v>84</v>
      </c>
      <c r="AR756">
        <v>13</v>
      </c>
      <c r="AS756" s="17">
        <f t="shared" si="5180"/>
        <v>480</v>
      </c>
      <c r="AT756">
        <v>12</v>
      </c>
      <c r="AU756">
        <f t="shared" si="5100"/>
        <v>36</v>
      </c>
      <c r="AV756">
        <v>150</v>
      </c>
      <c r="AW756">
        <f t="shared" si="5101"/>
        <v>135619.70688000001</v>
      </c>
      <c r="AX756">
        <f t="shared" si="5230"/>
        <v>771456000</v>
      </c>
      <c r="AY756">
        <f t="shared" si="5102"/>
        <v>12857.599999999999</v>
      </c>
      <c r="AZ756">
        <f t="shared" si="5103"/>
        <v>25715.199999999997</v>
      </c>
      <c r="BA756">
        <f t="shared" si="5104"/>
        <v>150528.00000000003</v>
      </c>
      <c r="BB756">
        <f t="shared" si="5105"/>
        <v>6428.7999999999993</v>
      </c>
      <c r="BC756">
        <f t="shared" si="5231"/>
        <v>771456000</v>
      </c>
      <c r="BD756">
        <f t="shared" si="5106"/>
        <v>0.29411764705882354</v>
      </c>
      <c r="BE756" s="27">
        <f t="shared" si="5232"/>
        <v>1770554470.8096001</v>
      </c>
      <c r="BF756" s="30">
        <f t="shared" si="5107"/>
        <v>0.50159999999999993</v>
      </c>
      <c r="BG756" s="27"/>
      <c r="BH756" s="27"/>
      <c r="BI756" s="27"/>
      <c r="CA756" s="20">
        <f t="shared" si="5108"/>
        <v>515</v>
      </c>
      <c r="CB756" s="20">
        <f t="shared" si="5109"/>
        <v>51500</v>
      </c>
    </row>
    <row r="757" spans="1:80" x14ac:dyDescent="0.15">
      <c r="A757">
        <v>8407</v>
      </c>
      <c r="B757" s="3" t="s">
        <v>126</v>
      </c>
      <c r="C757" s="4" t="s">
        <v>109</v>
      </c>
      <c r="D757" s="4" t="s">
        <v>110</v>
      </c>
      <c r="E757" s="5">
        <v>2</v>
      </c>
      <c r="F757" s="7" t="s">
        <v>143</v>
      </c>
      <c r="G757" s="5">
        <v>3</v>
      </c>
      <c r="H757" s="7" t="s">
        <v>193</v>
      </c>
      <c r="I757" s="5">
        <v>0</v>
      </c>
      <c r="J757" s="5">
        <v>0</v>
      </c>
      <c r="K757">
        <v>2</v>
      </c>
      <c r="L757">
        <v>1.5</v>
      </c>
      <c r="M757" s="5">
        <v>1.5</v>
      </c>
      <c r="N757" s="5">
        <v>10</v>
      </c>
      <c r="O757" s="5">
        <f t="shared" si="5089"/>
        <v>137003</v>
      </c>
      <c r="P757" s="5">
        <f t="shared" si="5090"/>
        <v>779328000</v>
      </c>
      <c r="Q757" s="5">
        <f t="shared" si="5091"/>
        <v>12988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70071</v>
      </c>
      <c r="X757" s="6" t="s">
        <v>185</v>
      </c>
      <c r="Y757" s="5">
        <v>300</v>
      </c>
      <c r="Z757" s="5">
        <v>1</v>
      </c>
      <c r="AA757" s="5">
        <v>379415716</v>
      </c>
      <c r="AB757" s="16" t="s">
        <v>111</v>
      </c>
      <c r="AC757" s="7" t="s">
        <v>112</v>
      </c>
      <c r="AD757" s="7" t="s">
        <v>112</v>
      </c>
      <c r="AE757" s="7" t="s">
        <v>112</v>
      </c>
      <c r="AF757" s="6" t="s">
        <v>113</v>
      </c>
      <c r="AG757" s="26" t="str">
        <f t="shared" ref="AG757" si="5443">CM$10</f>
        <v>4,14,28,14,6,4,14,28,14,6</v>
      </c>
      <c r="AH757" s="26" t="str">
        <f t="shared" ref="AH757" si="5444">CN$10</f>
        <v>0,0,0,0,1,0,0,0,0,1</v>
      </c>
      <c r="AI757" s="26" t="str">
        <f t="shared" ref="AI757" si="5445">CO$10</f>
        <v>0,0,0,0,1,0,0,0,0,1</v>
      </c>
      <c r="AJ757" s="26" t="str">
        <f t="shared" ref="AJ757" si="5446">CP$10</f>
        <v>0,0,0,0,5,0,0,0,0,5</v>
      </c>
      <c r="AK757" s="26" t="str">
        <f t="shared" ref="AK757" si="5447">CQ$10</f>
        <v>200,1,1000,2,5,200,1,1000,2,5</v>
      </c>
      <c r="AL757" s="26" t="str">
        <f t="shared" ref="AL757" si="5448">CR$10</f>
        <v>5,5,5,5,5,5,5,5,5,5</v>
      </c>
      <c r="AM757" s="7">
        <v>2001</v>
      </c>
      <c r="AO757">
        <f t="shared" ref="AO757" si="5449">AQ757*100+7</f>
        <v>8407</v>
      </c>
      <c r="AP757">
        <v>753</v>
      </c>
      <c r="AQ757">
        <f t="shared" si="5099"/>
        <v>84</v>
      </c>
      <c r="AR757">
        <v>13</v>
      </c>
      <c r="AS757" s="17">
        <f t="shared" si="5180"/>
        <v>485</v>
      </c>
      <c r="AT757">
        <v>12</v>
      </c>
      <c r="AU757">
        <f t="shared" si="5100"/>
        <v>36</v>
      </c>
      <c r="AV757">
        <v>150</v>
      </c>
      <c r="AW757">
        <f t="shared" si="5101"/>
        <v>137003.58144000001</v>
      </c>
      <c r="AX757">
        <f t="shared" si="5230"/>
        <v>779328000</v>
      </c>
      <c r="AY757">
        <f t="shared" si="5102"/>
        <v>12988.8</v>
      </c>
      <c r="AZ757">
        <f t="shared" si="5103"/>
        <v>25977.599999999999</v>
      </c>
      <c r="BA757">
        <f t="shared" si="5104"/>
        <v>152064.00000000003</v>
      </c>
      <c r="BB757">
        <f t="shared" si="5105"/>
        <v>6494.4</v>
      </c>
      <c r="BC757">
        <f t="shared" si="5231"/>
        <v>779328000</v>
      </c>
      <c r="BD757">
        <f t="shared" si="5106"/>
        <v>0.29411764705882359</v>
      </c>
      <c r="BE757" s="27">
        <f t="shared" si="5232"/>
        <v>1806872591.4624004</v>
      </c>
      <c r="BF757" s="30">
        <f t="shared" si="5107"/>
        <v>0.50159999999999993</v>
      </c>
      <c r="BG757" s="27"/>
      <c r="BH757" s="27"/>
      <c r="BI757" s="27"/>
      <c r="CA757" s="20">
        <f t="shared" si="5108"/>
        <v>515</v>
      </c>
      <c r="CB757" s="20">
        <f t="shared" si="5109"/>
        <v>51500</v>
      </c>
    </row>
    <row r="758" spans="1:80" x14ac:dyDescent="0.15">
      <c r="A758">
        <v>8408</v>
      </c>
      <c r="B758" s="3" t="s">
        <v>128</v>
      </c>
      <c r="C758" s="4" t="s">
        <v>109</v>
      </c>
      <c r="D758" s="4" t="s">
        <v>110</v>
      </c>
      <c r="E758" s="5">
        <v>5</v>
      </c>
      <c r="F758" s="7" t="s">
        <v>129</v>
      </c>
      <c r="G758" s="5">
        <v>2</v>
      </c>
      <c r="H758" s="7" t="s">
        <v>130</v>
      </c>
      <c r="I758" s="5">
        <v>0</v>
      </c>
      <c r="J758" s="5">
        <v>0</v>
      </c>
      <c r="K758">
        <v>2</v>
      </c>
      <c r="L758">
        <v>1.5</v>
      </c>
      <c r="M758" s="5">
        <v>1.5</v>
      </c>
      <c r="N758" s="5">
        <v>10</v>
      </c>
      <c r="O758" s="5">
        <f t="shared" si="5089"/>
        <v>138387</v>
      </c>
      <c r="P758" s="5">
        <f t="shared" si="5090"/>
        <v>787200000</v>
      </c>
      <c r="Q758" s="5">
        <f t="shared" si="5091"/>
        <v>13120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70081</v>
      </c>
      <c r="X758" s="6" t="s">
        <v>186</v>
      </c>
      <c r="Y758" s="5">
        <v>300</v>
      </c>
      <c r="Z758" s="5">
        <v>1</v>
      </c>
      <c r="AA758" s="5">
        <v>387619062</v>
      </c>
      <c r="AB758" s="16" t="s">
        <v>111</v>
      </c>
      <c r="AC758" s="7" t="s">
        <v>112</v>
      </c>
      <c r="AD758" s="7" t="s">
        <v>112</v>
      </c>
      <c r="AE758" s="7" t="s">
        <v>112</v>
      </c>
      <c r="AF758" s="6" t="s">
        <v>113</v>
      </c>
      <c r="AG758" s="26" t="str">
        <f t="shared" ref="AG758" si="5450">CM$11</f>
        <v>4,28,6,28,6,4,28,6,28,6</v>
      </c>
      <c r="AH758" s="26" t="str">
        <f t="shared" ref="AH758" si="5451">CN$11</f>
        <v>0,0,1,0,1,0,0,1,0,1</v>
      </c>
      <c r="AI758" s="26" t="str">
        <f t="shared" ref="AI758" si="5452">CO$11</f>
        <v>0,0,1,0,1,0,0,1,0,1</v>
      </c>
      <c r="AJ758" s="26" t="str">
        <f t="shared" ref="AJ758" si="5453">CP$11</f>
        <v>0,0,5,0,5,0,0,5,0,5</v>
      </c>
      <c r="AK758" s="26" t="str">
        <f t="shared" ref="AK758" si="5454">CQ$11</f>
        <v>100,1000,5,1500,5,200,1000,5,1500,5</v>
      </c>
      <c r="AL758" s="26" t="str">
        <f t="shared" ref="AL758" si="5455">CR$11</f>
        <v>5,5,5,5,5,5,5,5,5,5</v>
      </c>
      <c r="AM758" s="7">
        <v>2001</v>
      </c>
      <c r="AO758">
        <f t="shared" ref="AO758" si="5456">AQ758*100+8</f>
        <v>8408</v>
      </c>
      <c r="AP758">
        <v>754</v>
      </c>
      <c r="AQ758">
        <f t="shared" si="5099"/>
        <v>84</v>
      </c>
      <c r="AR758">
        <v>13</v>
      </c>
      <c r="AS758" s="17">
        <f t="shared" si="5180"/>
        <v>490</v>
      </c>
      <c r="AT758">
        <v>12</v>
      </c>
      <c r="AU758">
        <f t="shared" si="5100"/>
        <v>36</v>
      </c>
      <c r="AV758">
        <v>150</v>
      </c>
      <c r="AW758">
        <f t="shared" si="5101"/>
        <v>138387.45600000001</v>
      </c>
      <c r="AX758">
        <f t="shared" si="5230"/>
        <v>787200000</v>
      </c>
      <c r="AY758">
        <f t="shared" si="5102"/>
        <v>13119.999999999998</v>
      </c>
      <c r="AZ758">
        <f t="shared" si="5103"/>
        <v>26239.999999999996</v>
      </c>
      <c r="BA758">
        <f t="shared" si="5104"/>
        <v>153600.00000000003</v>
      </c>
      <c r="BB758">
        <f t="shared" si="5105"/>
        <v>6559.9999999999991</v>
      </c>
      <c r="BC758">
        <f t="shared" si="5231"/>
        <v>787200000</v>
      </c>
      <c r="BD758">
        <f t="shared" si="5106"/>
        <v>0.29411764705882354</v>
      </c>
      <c r="BE758" s="27">
        <f t="shared" si="5232"/>
        <v>1843559424</v>
      </c>
      <c r="BF758" s="30">
        <f t="shared" si="5107"/>
        <v>0.50159999999999993</v>
      </c>
      <c r="BG758" s="27"/>
      <c r="BH758" s="27"/>
      <c r="BI758" s="27"/>
      <c r="CA758" s="20">
        <f t="shared" si="5108"/>
        <v>515</v>
      </c>
      <c r="CB758" s="20">
        <f t="shared" si="5109"/>
        <v>51500</v>
      </c>
    </row>
    <row r="759" spans="1:80" x14ac:dyDescent="0.15">
      <c r="A759">
        <v>8409</v>
      </c>
      <c r="B759" s="3" t="s">
        <v>132</v>
      </c>
      <c r="C759" s="4" t="s">
        <v>109</v>
      </c>
      <c r="D759" s="4" t="s">
        <v>110</v>
      </c>
      <c r="E759" s="5">
        <v>5</v>
      </c>
      <c r="F759" s="7" t="s">
        <v>140</v>
      </c>
      <c r="G759" s="5">
        <v>3</v>
      </c>
      <c r="H759" s="7" t="s">
        <v>140</v>
      </c>
      <c r="I759" s="5">
        <v>0</v>
      </c>
      <c r="J759" s="7">
        <v>0</v>
      </c>
      <c r="K759">
        <v>6</v>
      </c>
      <c r="L759">
        <v>1.5</v>
      </c>
      <c r="M759" s="5">
        <v>1.5</v>
      </c>
      <c r="N759" s="5">
        <v>10</v>
      </c>
      <c r="O759" s="5">
        <f t="shared" si="5089"/>
        <v>139771</v>
      </c>
      <c r="P759" s="5">
        <f t="shared" si="5090"/>
        <v>795072000</v>
      </c>
      <c r="Q759" s="5">
        <f t="shared" si="5091"/>
        <v>13251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70091</v>
      </c>
      <c r="X759" s="6" t="s">
        <v>187</v>
      </c>
      <c r="Y759" s="5">
        <v>300</v>
      </c>
      <c r="Z759" s="5">
        <v>1</v>
      </c>
      <c r="AA759" s="5">
        <v>395910144</v>
      </c>
      <c r="AB759" s="16" t="s">
        <v>111</v>
      </c>
      <c r="AC759" s="7" t="s">
        <v>112</v>
      </c>
      <c r="AD759" s="7" t="s">
        <v>112</v>
      </c>
      <c r="AE759" s="7" t="s">
        <v>112</v>
      </c>
      <c r="AF759" s="6" t="s">
        <v>113</v>
      </c>
      <c r="AG759" s="26" t="str">
        <f t="shared" ref="AG759" si="5457">CM$12</f>
        <v>4,33,28,33,6,4,33,28,33,6</v>
      </c>
      <c r="AH759" s="26" t="str">
        <f t="shared" ref="AH759" si="5458">CN$12</f>
        <v>0,5,0,5,1,0,5,0,5,1</v>
      </c>
      <c r="AI759" s="26" t="str">
        <f t="shared" ref="AI759" si="5459">CO$12</f>
        <v>0,0,0,0,1,0,0,0,0,1</v>
      </c>
      <c r="AJ759" s="26" t="str">
        <f t="shared" ref="AJ759" si="5460">CP$12</f>
        <v>0,0,0,0,5,0,0,0,0,5</v>
      </c>
      <c r="AK759" s="26" t="str">
        <f t="shared" ref="AK759" si="5461">CQ$12</f>
        <v>100,1,1000,2,5,200,1,1000,2,5</v>
      </c>
      <c r="AL759" s="26" t="str">
        <f t="shared" ref="AL759" si="5462">CR$12</f>
        <v>5,5,5,5,5,5,5,5,5,5</v>
      </c>
      <c r="AM759" s="7">
        <v>2001</v>
      </c>
      <c r="AO759">
        <f t="shared" ref="AO759" si="5463">AQ759*100+9</f>
        <v>8409</v>
      </c>
      <c r="AP759">
        <v>755</v>
      </c>
      <c r="AQ759">
        <f t="shared" si="5099"/>
        <v>84</v>
      </c>
      <c r="AR759">
        <v>13</v>
      </c>
      <c r="AS759" s="17">
        <f t="shared" si="5180"/>
        <v>495</v>
      </c>
      <c r="AT759">
        <v>12</v>
      </c>
      <c r="AU759">
        <f t="shared" si="5100"/>
        <v>36</v>
      </c>
      <c r="AV759">
        <v>150</v>
      </c>
      <c r="AW759">
        <f t="shared" si="5101"/>
        <v>139771.33056</v>
      </c>
      <c r="AX759">
        <f t="shared" si="5230"/>
        <v>795072000</v>
      </c>
      <c r="AY759">
        <f t="shared" si="5102"/>
        <v>13251.199999999999</v>
      </c>
      <c r="AZ759">
        <f t="shared" si="5103"/>
        <v>26502.399999999998</v>
      </c>
      <c r="BA759">
        <f t="shared" si="5104"/>
        <v>155136.00000000003</v>
      </c>
      <c r="BB759">
        <f t="shared" si="5105"/>
        <v>6625.5999999999995</v>
      </c>
      <c r="BC759">
        <f t="shared" si="5231"/>
        <v>795072000</v>
      </c>
      <c r="BD759">
        <f t="shared" si="5106"/>
        <v>0.29411764705882354</v>
      </c>
      <c r="BE759" s="27">
        <f t="shared" si="5232"/>
        <v>1880614968.4224002</v>
      </c>
      <c r="BF759" s="30">
        <f t="shared" si="5107"/>
        <v>0.50159999999999993</v>
      </c>
      <c r="BG759" s="27"/>
      <c r="BH759" s="27"/>
      <c r="BI759" s="27"/>
      <c r="CA759" s="20">
        <f t="shared" si="5108"/>
        <v>515</v>
      </c>
      <c r="CB759" s="20">
        <f t="shared" si="5109"/>
        <v>51500</v>
      </c>
    </row>
    <row r="760" spans="1:80" x14ac:dyDescent="0.15">
      <c r="A760">
        <v>8501</v>
      </c>
      <c r="B760" s="3" t="s">
        <v>108</v>
      </c>
      <c r="C760" s="4" t="s">
        <v>109</v>
      </c>
      <c r="D760" s="4" t="s">
        <v>110</v>
      </c>
      <c r="E760" s="5">
        <v>3</v>
      </c>
      <c r="F760" s="7" t="s">
        <v>141</v>
      </c>
      <c r="G760" s="5">
        <v>2.5</v>
      </c>
      <c r="H760" s="7" t="s">
        <v>194</v>
      </c>
      <c r="I760" s="5">
        <v>0</v>
      </c>
      <c r="J760" s="5">
        <v>0</v>
      </c>
      <c r="K760">
        <v>2</v>
      </c>
      <c r="L760">
        <v>1.5</v>
      </c>
      <c r="M760" s="5">
        <v>1.5</v>
      </c>
      <c r="N760" s="5">
        <v>10</v>
      </c>
      <c r="O760" s="5">
        <f t="shared" si="5089"/>
        <v>130292</v>
      </c>
      <c r="P760" s="5">
        <f t="shared" si="5090"/>
        <v>739968000</v>
      </c>
      <c r="Q760" s="5">
        <f t="shared" si="5091"/>
        <v>12332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70011</v>
      </c>
      <c r="X760" s="6" t="s">
        <v>179</v>
      </c>
      <c r="Y760" s="5">
        <v>300</v>
      </c>
      <c r="Z760" s="5">
        <v>1</v>
      </c>
      <c r="AA760" s="5">
        <v>404288963</v>
      </c>
      <c r="AB760" s="16" t="s">
        <v>111</v>
      </c>
      <c r="AC760" s="7" t="s">
        <v>112</v>
      </c>
      <c r="AD760" s="7" t="s">
        <v>112</v>
      </c>
      <c r="AE760" s="7" t="s">
        <v>112</v>
      </c>
      <c r="AF760" s="6" t="s">
        <v>113</v>
      </c>
      <c r="AG760" s="26" t="str">
        <f t="shared" ref="AG760" si="5464">CM$4</f>
        <v>4,33,28,33,6,4,33,28,33,6</v>
      </c>
      <c r="AH760" s="26" t="str">
        <f t="shared" ref="AH760" si="5465">CN$4</f>
        <v>0,8,0,8,1,0,8,0,8,1</v>
      </c>
      <c r="AI760" s="26" t="str">
        <f t="shared" ref="AI760" si="5466">CO$4</f>
        <v>0,0,0,0,1,0,0,0,0,1</v>
      </c>
      <c r="AJ760" s="26" t="str">
        <f t="shared" ref="AJ760" si="5467">CP$4</f>
        <v>0,0,0,0,5,0,0,0,0,5</v>
      </c>
      <c r="AK760" s="26" t="str">
        <f t="shared" ref="AK760" si="5468">CQ$4</f>
        <v>100,1,1000,2,5,200,1,1000,2,5</v>
      </c>
      <c r="AL760" s="26" t="str">
        <f t="shared" ref="AL760" si="5469">CR$4</f>
        <v>5,5,5,5,5,5,5,5,5,5</v>
      </c>
      <c r="AM760" s="7">
        <v>2001</v>
      </c>
      <c r="AO760">
        <f t="shared" ref="AO760" si="5470">AQ760*100+1</f>
        <v>8501</v>
      </c>
      <c r="AP760">
        <v>756</v>
      </c>
      <c r="AQ760">
        <f t="shared" si="5099"/>
        <v>85</v>
      </c>
      <c r="AR760">
        <v>13</v>
      </c>
      <c r="AS760" s="17">
        <f t="shared" si="5180"/>
        <v>460</v>
      </c>
      <c r="AT760">
        <v>12</v>
      </c>
      <c r="AU760">
        <f t="shared" si="5100"/>
        <v>36</v>
      </c>
      <c r="AV760">
        <v>150</v>
      </c>
      <c r="AW760">
        <f t="shared" si="5101"/>
        <v>130292.12160000001</v>
      </c>
      <c r="AX760">
        <f t="shared" si="5230"/>
        <v>739968000</v>
      </c>
      <c r="AY760">
        <f t="shared" si="5102"/>
        <v>12332.8</v>
      </c>
      <c r="AZ760">
        <f t="shared" si="5103"/>
        <v>24665.599999999999</v>
      </c>
      <c r="BA760">
        <f t="shared" si="5104"/>
        <v>144384.00000000003</v>
      </c>
      <c r="BB760">
        <f t="shared" si="5105"/>
        <v>6166.4</v>
      </c>
      <c r="BC760">
        <f t="shared" si="5231"/>
        <v>739968000</v>
      </c>
      <c r="BD760">
        <f t="shared" si="5106"/>
        <v>0.29411764705882359</v>
      </c>
      <c r="BE760" s="27">
        <f t="shared" si="5232"/>
        <v>1628969107.0464003</v>
      </c>
      <c r="BF760" s="30">
        <f t="shared" si="5107"/>
        <v>0.504</v>
      </c>
      <c r="BG760" s="27"/>
      <c r="BH760" s="27"/>
      <c r="BI760" s="27"/>
      <c r="CA760" s="20">
        <f t="shared" si="5108"/>
        <v>520</v>
      </c>
      <c r="CB760" s="20">
        <f t="shared" si="5109"/>
        <v>52000</v>
      </c>
    </row>
    <row r="761" spans="1:80" x14ac:dyDescent="0.15">
      <c r="A761">
        <v>8502</v>
      </c>
      <c r="B761" s="3" t="s">
        <v>115</v>
      </c>
      <c r="C761" s="4" t="s">
        <v>109</v>
      </c>
      <c r="D761" s="6" t="s">
        <v>110</v>
      </c>
      <c r="E761" s="5">
        <v>3</v>
      </c>
      <c r="F761" s="7" t="s">
        <v>142</v>
      </c>
      <c r="G761" s="5">
        <v>3</v>
      </c>
      <c r="H761" s="7" t="s">
        <v>188</v>
      </c>
      <c r="I761" s="5">
        <v>0</v>
      </c>
      <c r="J761" s="5">
        <v>0</v>
      </c>
      <c r="K761">
        <v>2</v>
      </c>
      <c r="L761">
        <v>1.5</v>
      </c>
      <c r="M761" s="5">
        <v>1.5</v>
      </c>
      <c r="N761" s="5">
        <v>10</v>
      </c>
      <c r="O761" s="5">
        <f t="shared" si="5089"/>
        <v>131678</v>
      </c>
      <c r="P761" s="5">
        <f t="shared" si="5090"/>
        <v>747840000</v>
      </c>
      <c r="Q761" s="5">
        <f t="shared" si="5091"/>
        <v>12464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70021</v>
      </c>
      <c r="X761" s="6" t="s">
        <v>180</v>
      </c>
      <c r="Y761" s="5">
        <v>300</v>
      </c>
      <c r="Z761" s="5">
        <v>1</v>
      </c>
      <c r="AA761" s="5">
        <v>347479695</v>
      </c>
      <c r="AB761" s="16" t="s">
        <v>111</v>
      </c>
      <c r="AC761" s="7" t="s">
        <v>112</v>
      </c>
      <c r="AD761" s="7" t="s">
        <v>112</v>
      </c>
      <c r="AE761" s="7" t="s">
        <v>112</v>
      </c>
      <c r="AF761" s="6" t="s">
        <v>113</v>
      </c>
      <c r="AG761" s="26" t="str">
        <f t="shared" ref="AG761" si="5471">CM$5</f>
        <v>4,33,28,33,6,4,33,28,33,6</v>
      </c>
      <c r="AH761" s="26" t="str">
        <f t="shared" ref="AH761" si="5472">CN$5</f>
        <v>0,7,0,7,1,0,7,0,7,1</v>
      </c>
      <c r="AI761" s="26" t="str">
        <f t="shared" ref="AI761" si="5473">CO$5</f>
        <v>0,0,0,0,1,0,0,0,0,1</v>
      </c>
      <c r="AJ761" s="26" t="str">
        <f t="shared" ref="AJ761" si="5474">CP$5</f>
        <v>0,0,0,0,5,0,0,0,0,5</v>
      </c>
      <c r="AK761" s="26" t="str">
        <f t="shared" ref="AK761" si="5475">CQ$5</f>
        <v>100,1,1000,2,5,200,1,1000,2,5</v>
      </c>
      <c r="AL761" s="26" t="str">
        <f t="shared" ref="AL761" si="5476">CR$5</f>
        <v>5,5,5,5,5,5,5,5,5,5</v>
      </c>
      <c r="AM761" s="7">
        <v>2001</v>
      </c>
      <c r="AO761">
        <f t="shared" ref="AO761" si="5477">AQ761*100+2</f>
        <v>8502</v>
      </c>
      <c r="AP761">
        <v>757</v>
      </c>
      <c r="AQ761">
        <f t="shared" si="5099"/>
        <v>85</v>
      </c>
      <c r="AR761">
        <v>13</v>
      </c>
      <c r="AS761" s="17">
        <f t="shared" si="5180"/>
        <v>465</v>
      </c>
      <c r="AT761">
        <v>12</v>
      </c>
      <c r="AU761">
        <f t="shared" si="5100"/>
        <v>36</v>
      </c>
      <c r="AV761">
        <v>150</v>
      </c>
      <c r="AW761">
        <f t="shared" si="5101"/>
        <v>131678.20800000001</v>
      </c>
      <c r="AX761">
        <f t="shared" si="5230"/>
        <v>747840000</v>
      </c>
      <c r="AY761">
        <f t="shared" si="5102"/>
        <v>12463.999999999998</v>
      </c>
      <c r="AZ761">
        <f t="shared" si="5103"/>
        <v>24927.999999999996</v>
      </c>
      <c r="BA761">
        <f t="shared" si="5104"/>
        <v>145920.00000000003</v>
      </c>
      <c r="BB761">
        <f t="shared" si="5105"/>
        <v>6231.9999999999991</v>
      </c>
      <c r="BC761">
        <f t="shared" si="5231"/>
        <v>747840000</v>
      </c>
      <c r="BD761">
        <f t="shared" si="5106"/>
        <v>0.29411764705882354</v>
      </c>
      <c r="BE761" s="27">
        <f t="shared" si="5232"/>
        <v>1663812380.1600001</v>
      </c>
      <c r="BF761" s="30">
        <f t="shared" si="5107"/>
        <v>0.504</v>
      </c>
      <c r="BG761" s="27"/>
      <c r="BH761" s="27"/>
      <c r="BI761" s="27"/>
      <c r="CA761" s="20">
        <f t="shared" si="5108"/>
        <v>520</v>
      </c>
      <c r="CB761" s="20">
        <f t="shared" si="5109"/>
        <v>52000</v>
      </c>
    </row>
    <row r="762" spans="1:80" x14ac:dyDescent="0.15">
      <c r="A762">
        <v>8503</v>
      </c>
      <c r="B762" s="3" t="s">
        <v>117</v>
      </c>
      <c r="C762" s="4" t="s">
        <v>109</v>
      </c>
      <c r="D762" s="4" t="s">
        <v>110</v>
      </c>
      <c r="E762" s="5">
        <v>1</v>
      </c>
      <c r="F762" s="7" t="s">
        <v>144</v>
      </c>
      <c r="G762" s="5">
        <v>3</v>
      </c>
      <c r="H762" s="7" t="s">
        <v>189</v>
      </c>
      <c r="I762" s="5">
        <v>0</v>
      </c>
      <c r="J762" s="2">
        <v>0</v>
      </c>
      <c r="K762">
        <v>6</v>
      </c>
      <c r="L762">
        <v>1.5</v>
      </c>
      <c r="M762" s="5">
        <v>1.5</v>
      </c>
      <c r="N762" s="5">
        <v>10</v>
      </c>
      <c r="O762" s="5">
        <f t="shared" si="5089"/>
        <v>133064</v>
      </c>
      <c r="P762" s="5">
        <f t="shared" si="5090"/>
        <v>755712000</v>
      </c>
      <c r="Q762" s="5">
        <f t="shared" si="5091"/>
        <v>12595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70031</v>
      </c>
      <c r="X762" s="6" t="s">
        <v>181</v>
      </c>
      <c r="Y762" s="5">
        <v>300</v>
      </c>
      <c r="Z762" s="5">
        <v>1</v>
      </c>
      <c r="AA762" s="5">
        <v>355332096</v>
      </c>
      <c r="AB762" s="16" t="s">
        <v>111</v>
      </c>
      <c r="AC762" s="7" t="s">
        <v>112</v>
      </c>
      <c r="AD762" s="7" t="s">
        <v>112</v>
      </c>
      <c r="AE762" s="7" t="s">
        <v>112</v>
      </c>
      <c r="AF762" s="6" t="s">
        <v>113</v>
      </c>
      <c r="AG762" s="26" t="str">
        <f t="shared" ref="AG762" si="5478">CM$6</f>
        <v>4,28,6,28,6,4,28,6,28,6</v>
      </c>
      <c r="AH762" s="26" t="str">
        <f t="shared" ref="AH762" si="5479">CN$6</f>
        <v>0,0,1,0,1,0,0,1,0,1</v>
      </c>
      <c r="AI762" s="26" t="str">
        <f t="shared" ref="AI762" si="5480">CO$6</f>
        <v>0,0,0,0,1,0,0,0,0,1</v>
      </c>
      <c r="AJ762" s="26" t="str">
        <f t="shared" ref="AJ762" si="5481">CP$6</f>
        <v>0,0,5,0,5,0,0,5,0,5</v>
      </c>
      <c r="AK762" s="26" t="str">
        <f t="shared" ref="AK762" si="5482">CQ$6</f>
        <v>100,1000,5,1500,5,200,1000,5,1500,5</v>
      </c>
      <c r="AL762" s="26" t="str">
        <f t="shared" ref="AL762" si="5483">CR$6</f>
        <v>5,5,5,5,5,5,5,5,5,5</v>
      </c>
      <c r="AM762" s="7">
        <v>2001</v>
      </c>
      <c r="AO762">
        <f t="shared" ref="AO762" si="5484">AQ762*100+3</f>
        <v>8503</v>
      </c>
      <c r="AP762">
        <v>758</v>
      </c>
      <c r="AQ762">
        <f t="shared" si="5099"/>
        <v>85</v>
      </c>
      <c r="AR762">
        <v>13</v>
      </c>
      <c r="AS762" s="17">
        <f t="shared" si="5180"/>
        <v>470</v>
      </c>
      <c r="AT762">
        <v>12</v>
      </c>
      <c r="AU762">
        <f t="shared" si="5100"/>
        <v>36</v>
      </c>
      <c r="AV762">
        <v>150</v>
      </c>
      <c r="AW762">
        <f t="shared" si="5101"/>
        <v>133064.29440000004</v>
      </c>
      <c r="AX762">
        <f t="shared" si="5230"/>
        <v>755711999.99999988</v>
      </c>
      <c r="AY762">
        <f t="shared" si="5102"/>
        <v>12595.199999999999</v>
      </c>
      <c r="AZ762">
        <f t="shared" si="5103"/>
        <v>25190.399999999998</v>
      </c>
      <c r="BA762">
        <f t="shared" si="5104"/>
        <v>147456.00000000003</v>
      </c>
      <c r="BB762">
        <f t="shared" si="5105"/>
        <v>6297.5999999999995</v>
      </c>
      <c r="BC762">
        <f t="shared" si="5231"/>
        <v>755711999.99999988</v>
      </c>
      <c r="BD762">
        <f t="shared" si="5106"/>
        <v>0.29411764705882348</v>
      </c>
      <c r="BE762" s="27">
        <f t="shared" si="5232"/>
        <v>1699024365.1583993</v>
      </c>
      <c r="BF762" s="30">
        <f t="shared" si="5107"/>
        <v>0.504</v>
      </c>
      <c r="BG762" s="27"/>
      <c r="BH762" s="27"/>
      <c r="BI762" s="27"/>
      <c r="CA762" s="20">
        <f t="shared" si="5108"/>
        <v>520</v>
      </c>
      <c r="CB762" s="20">
        <f t="shared" si="5109"/>
        <v>52000</v>
      </c>
    </row>
    <row r="763" spans="1:80" x14ac:dyDescent="0.15">
      <c r="A763">
        <v>8504</v>
      </c>
      <c r="B763" s="3" t="s">
        <v>119</v>
      </c>
      <c r="C763" s="4" t="s">
        <v>109</v>
      </c>
      <c r="D763" s="6" t="s">
        <v>120</v>
      </c>
      <c r="E763" s="5">
        <v>3</v>
      </c>
      <c r="F763" s="7" t="s">
        <v>145</v>
      </c>
      <c r="G763" s="5">
        <v>3</v>
      </c>
      <c r="H763" s="7" t="s">
        <v>190</v>
      </c>
      <c r="I763" s="5">
        <v>0</v>
      </c>
      <c r="J763" s="5">
        <v>0</v>
      </c>
      <c r="K763">
        <v>2</v>
      </c>
      <c r="L763">
        <v>1.5</v>
      </c>
      <c r="M763" s="5">
        <v>1.5</v>
      </c>
      <c r="N763" s="5">
        <v>10</v>
      </c>
      <c r="O763" s="5">
        <f t="shared" si="5089"/>
        <v>134450</v>
      </c>
      <c r="P763" s="5">
        <f t="shared" si="5090"/>
        <v>763584000</v>
      </c>
      <c r="Q763" s="5">
        <f t="shared" si="5091"/>
        <v>12726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70041</v>
      </c>
      <c r="X763" s="6" t="s">
        <v>182</v>
      </c>
      <c r="Y763" s="5">
        <v>300</v>
      </c>
      <c r="Z763" s="5">
        <v>1</v>
      </c>
      <c r="AA763" s="5">
        <v>363272233</v>
      </c>
      <c r="AB763" s="16" t="s">
        <v>111</v>
      </c>
      <c r="AC763" s="7" t="s">
        <v>112</v>
      </c>
      <c r="AD763" s="7" t="s">
        <v>112</v>
      </c>
      <c r="AE763" s="7" t="s">
        <v>112</v>
      </c>
      <c r="AF763" s="6" t="s">
        <v>113</v>
      </c>
      <c r="AG763" s="26" t="str">
        <f t="shared" ref="AG763" si="5485">CM$7</f>
        <v>4,14,28,14,6,4,14,28,14,6</v>
      </c>
      <c r="AH763" s="26" t="str">
        <f t="shared" ref="AH763" si="5486">CN$7</f>
        <v>0,0,0,0,1,0,0,0,0,1</v>
      </c>
      <c r="AI763" s="26" t="str">
        <f t="shared" ref="AI763" si="5487">CO$7</f>
        <v>0,0,0,0,1,0,0,0,0,1</v>
      </c>
      <c r="AJ763" s="26" t="str">
        <f t="shared" ref="AJ763" si="5488">CP$7</f>
        <v>0,0,0,0,5,0,0,0,0,5</v>
      </c>
      <c r="AK763" s="26" t="str">
        <f t="shared" ref="AK763" si="5489">CQ$7</f>
        <v>100,1,1000,2,5,200,1,1000,2,5</v>
      </c>
      <c r="AL763" s="26" t="str">
        <f t="shared" ref="AL763" si="5490">CR$7</f>
        <v>5,5,5,5,5,5,5,5,5,5</v>
      </c>
      <c r="AM763" s="7">
        <v>2001</v>
      </c>
      <c r="AO763">
        <f t="shared" ref="AO763" si="5491">AQ763*100+4</f>
        <v>8504</v>
      </c>
      <c r="AP763">
        <v>759</v>
      </c>
      <c r="AQ763">
        <f t="shared" si="5099"/>
        <v>85</v>
      </c>
      <c r="AR763">
        <v>13</v>
      </c>
      <c r="AS763" s="17">
        <f t="shared" si="5180"/>
        <v>475</v>
      </c>
      <c r="AT763">
        <v>12</v>
      </c>
      <c r="AU763">
        <f t="shared" si="5100"/>
        <v>36</v>
      </c>
      <c r="AV763">
        <v>150</v>
      </c>
      <c r="AW763">
        <f t="shared" si="5101"/>
        <v>134450.38080000001</v>
      </c>
      <c r="AX763">
        <f t="shared" si="5230"/>
        <v>763584000</v>
      </c>
      <c r="AY763">
        <f t="shared" si="5102"/>
        <v>12726.4</v>
      </c>
      <c r="AZ763">
        <f t="shared" si="5103"/>
        <v>25452.799999999999</v>
      </c>
      <c r="BA763">
        <f t="shared" si="5104"/>
        <v>148992.00000000003</v>
      </c>
      <c r="BB763">
        <f t="shared" si="5105"/>
        <v>6363.2</v>
      </c>
      <c r="BC763">
        <f t="shared" si="5231"/>
        <v>763584000</v>
      </c>
      <c r="BD763">
        <f t="shared" si="5106"/>
        <v>0.29411764705882354</v>
      </c>
      <c r="BE763" s="27">
        <f t="shared" si="5232"/>
        <v>1734605062.0416002</v>
      </c>
      <c r="BF763" s="30">
        <f t="shared" si="5107"/>
        <v>0.504</v>
      </c>
      <c r="BG763" s="27"/>
      <c r="BH763" s="27"/>
      <c r="BI763" s="27"/>
      <c r="CA763" s="20">
        <f t="shared" si="5108"/>
        <v>520</v>
      </c>
      <c r="CB763" s="20">
        <f t="shared" si="5109"/>
        <v>52000</v>
      </c>
    </row>
    <row r="764" spans="1:80" x14ac:dyDescent="0.15">
      <c r="A764">
        <v>8505</v>
      </c>
      <c r="B764" s="3" t="s">
        <v>122</v>
      </c>
      <c r="C764" s="4" t="s">
        <v>109</v>
      </c>
      <c r="D764" s="4" t="s">
        <v>110</v>
      </c>
      <c r="E764" s="5">
        <v>2</v>
      </c>
      <c r="F764" s="7" t="s">
        <v>146</v>
      </c>
      <c r="G764" s="5">
        <v>3</v>
      </c>
      <c r="H764" s="7" t="s">
        <v>191</v>
      </c>
      <c r="I764" s="5">
        <v>0</v>
      </c>
      <c r="J764" s="7" t="s">
        <v>148</v>
      </c>
      <c r="K764">
        <v>6</v>
      </c>
      <c r="L764">
        <v>1.5</v>
      </c>
      <c r="M764" s="5">
        <v>1.5</v>
      </c>
      <c r="N764" s="5">
        <v>10</v>
      </c>
      <c r="O764" s="5">
        <f t="shared" si="5089"/>
        <v>135836</v>
      </c>
      <c r="P764" s="5">
        <f t="shared" si="5090"/>
        <v>771456000</v>
      </c>
      <c r="Q764" s="5">
        <f t="shared" si="5091"/>
        <v>12857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70051</v>
      </c>
      <c r="X764" s="6" t="s">
        <v>183</v>
      </c>
      <c r="Y764" s="5">
        <v>300</v>
      </c>
      <c r="Z764" s="5">
        <v>1</v>
      </c>
      <c r="AA764" s="5">
        <v>371300106</v>
      </c>
      <c r="AB764" s="16" t="s">
        <v>111</v>
      </c>
      <c r="AC764" s="7" t="s">
        <v>112</v>
      </c>
      <c r="AD764" s="7" t="s">
        <v>112</v>
      </c>
      <c r="AE764" s="7" t="s">
        <v>112</v>
      </c>
      <c r="AF764" s="6" t="s">
        <v>113</v>
      </c>
      <c r="AG764" s="26" t="str">
        <f t="shared" ref="AG764" si="5492">CM$8</f>
        <v>4,19,28,19,6,4,19,28,19,6</v>
      </c>
      <c r="AH764" s="26" t="str">
        <f t="shared" ref="AH764" si="5493">CN$8</f>
        <v>0,0,0,0,1,0,0,0,0,1</v>
      </c>
      <c r="AI764" s="26" t="str">
        <f t="shared" ref="AI764" si="5494">CO$8</f>
        <v>0,0,0,0,1,0,0,0,0,1</v>
      </c>
      <c r="AJ764" s="26" t="str">
        <f t="shared" ref="AJ764" si="5495">CP$8</f>
        <v>0,0,0,0,5,0,0,0,0,5</v>
      </c>
      <c r="AK764" s="26" t="str">
        <f t="shared" ref="AK764" si="5496">CQ$8</f>
        <v>200,100,1000,200,5,200,100,1000,200,5</v>
      </c>
      <c r="AL764" s="26" t="str">
        <f t="shared" ref="AL764" si="5497">CR$8</f>
        <v>5,5,5,5,5,5,5,5,5,5</v>
      </c>
      <c r="AM764" s="7">
        <v>2001</v>
      </c>
      <c r="AO764">
        <f t="shared" ref="AO764" si="5498">AQ764*100+5</f>
        <v>8505</v>
      </c>
      <c r="AP764">
        <v>760</v>
      </c>
      <c r="AQ764">
        <f t="shared" si="5099"/>
        <v>85</v>
      </c>
      <c r="AR764">
        <v>13</v>
      </c>
      <c r="AS764" s="17">
        <f t="shared" si="5180"/>
        <v>480</v>
      </c>
      <c r="AT764">
        <v>12</v>
      </c>
      <c r="AU764">
        <f t="shared" si="5100"/>
        <v>36</v>
      </c>
      <c r="AV764">
        <v>150</v>
      </c>
      <c r="AW764">
        <f t="shared" si="5101"/>
        <v>135836.46720000001</v>
      </c>
      <c r="AX764">
        <f t="shared" si="5230"/>
        <v>771456000</v>
      </c>
      <c r="AY764">
        <f t="shared" si="5102"/>
        <v>12857.599999999999</v>
      </c>
      <c r="AZ764">
        <f t="shared" si="5103"/>
        <v>25715.199999999997</v>
      </c>
      <c r="BA764">
        <f t="shared" si="5104"/>
        <v>150528.00000000003</v>
      </c>
      <c r="BB764">
        <f t="shared" si="5105"/>
        <v>6428.7999999999993</v>
      </c>
      <c r="BC764">
        <f t="shared" si="5231"/>
        <v>771456000</v>
      </c>
      <c r="BD764">
        <f t="shared" si="5106"/>
        <v>0.29411764705882354</v>
      </c>
      <c r="BE764" s="27">
        <f t="shared" si="5232"/>
        <v>1770554470.8096001</v>
      </c>
      <c r="BF764" s="30">
        <f t="shared" si="5107"/>
        <v>0.504</v>
      </c>
      <c r="BG764" s="27"/>
      <c r="BH764" s="27"/>
      <c r="BI764" s="27"/>
      <c r="CA764" s="20">
        <f t="shared" si="5108"/>
        <v>520</v>
      </c>
      <c r="CB764" s="20">
        <f t="shared" si="5109"/>
        <v>52000</v>
      </c>
    </row>
    <row r="765" spans="1:80" x14ac:dyDescent="0.15">
      <c r="A765">
        <v>8506</v>
      </c>
      <c r="B765" s="3" t="s">
        <v>124</v>
      </c>
      <c r="C765" s="4" t="s">
        <v>109</v>
      </c>
      <c r="D765" s="6" t="s">
        <v>120</v>
      </c>
      <c r="E765" s="5">
        <v>1</v>
      </c>
      <c r="F765" s="7" t="s">
        <v>147</v>
      </c>
      <c r="G765" s="5">
        <v>3</v>
      </c>
      <c r="H765" s="7" t="s">
        <v>192</v>
      </c>
      <c r="I765" s="5">
        <v>0</v>
      </c>
      <c r="J765" s="7" t="s">
        <v>149</v>
      </c>
      <c r="K765">
        <v>6</v>
      </c>
      <c r="L765">
        <v>1.5</v>
      </c>
      <c r="M765" s="5">
        <v>1.5</v>
      </c>
      <c r="N765" s="5">
        <v>10</v>
      </c>
      <c r="O765" s="5">
        <f t="shared" si="5089"/>
        <v>137222</v>
      </c>
      <c r="P765" s="5">
        <f t="shared" si="5090"/>
        <v>779328000</v>
      </c>
      <c r="Q765" s="5">
        <f t="shared" si="5091"/>
        <v>12988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70061</v>
      </c>
      <c r="X765" s="6" t="s">
        <v>184</v>
      </c>
      <c r="Y765" s="5">
        <v>300</v>
      </c>
      <c r="Z765" s="5">
        <v>1</v>
      </c>
      <c r="AA765" s="5">
        <v>379415716</v>
      </c>
      <c r="AB765" s="16" t="s">
        <v>111</v>
      </c>
      <c r="AC765" s="7" t="s">
        <v>112</v>
      </c>
      <c r="AD765" s="7" t="s">
        <v>112</v>
      </c>
      <c r="AE765" s="7" t="s">
        <v>112</v>
      </c>
      <c r="AF765" s="6" t="s">
        <v>113</v>
      </c>
      <c r="AG765" s="26" t="str">
        <f t="shared" ref="AG765" si="5499">CM$9</f>
        <v>4,33,28,33,6,4,33,28,33,6</v>
      </c>
      <c r="AH765" s="26" t="str">
        <f t="shared" ref="AH765" si="5500">CN$9</f>
        <v>0,6,0,6,1,0,6,0,6,1</v>
      </c>
      <c r="AI765" s="26" t="str">
        <f t="shared" ref="AI765" si="5501">CO$9</f>
        <v>0,0,0,0,1,0,0,0,0,1</v>
      </c>
      <c r="AJ765" s="26" t="str">
        <f t="shared" ref="AJ765" si="5502">CP$9</f>
        <v>0,0,0,0,5,0,0,0,0,5</v>
      </c>
      <c r="AK765" s="26" t="str">
        <f t="shared" ref="AK765" si="5503">CQ$9</f>
        <v>200,1,1000,2,5,200,1,1000,2,5</v>
      </c>
      <c r="AL765" s="26" t="str">
        <f t="shared" ref="AL765" si="5504">CR$9</f>
        <v>5,5,5,5,5,5,5,5,5,5</v>
      </c>
      <c r="AM765" s="7">
        <v>2001</v>
      </c>
      <c r="AO765">
        <f t="shared" ref="AO765" si="5505">AQ765*100+6</f>
        <v>8506</v>
      </c>
      <c r="AP765">
        <v>761</v>
      </c>
      <c r="AQ765">
        <f t="shared" si="5099"/>
        <v>85</v>
      </c>
      <c r="AR765">
        <v>13</v>
      </c>
      <c r="AS765" s="17">
        <f t="shared" si="5180"/>
        <v>485</v>
      </c>
      <c r="AT765">
        <v>12</v>
      </c>
      <c r="AU765">
        <f t="shared" si="5100"/>
        <v>36</v>
      </c>
      <c r="AV765">
        <v>150</v>
      </c>
      <c r="AW765">
        <f t="shared" si="5101"/>
        <v>137222.55360000001</v>
      </c>
      <c r="AX765">
        <f t="shared" si="5230"/>
        <v>779328000</v>
      </c>
      <c r="AY765">
        <f t="shared" si="5102"/>
        <v>12988.8</v>
      </c>
      <c r="AZ765">
        <f t="shared" si="5103"/>
        <v>25977.599999999999</v>
      </c>
      <c r="BA765">
        <f t="shared" si="5104"/>
        <v>152064.00000000003</v>
      </c>
      <c r="BB765">
        <f t="shared" si="5105"/>
        <v>6494.4</v>
      </c>
      <c r="BC765">
        <f t="shared" si="5231"/>
        <v>779328000</v>
      </c>
      <c r="BD765">
        <f t="shared" si="5106"/>
        <v>0.29411764705882359</v>
      </c>
      <c r="BE765" s="27">
        <f t="shared" si="5232"/>
        <v>1806872591.4624004</v>
      </c>
      <c r="BF765" s="30">
        <f t="shared" si="5107"/>
        <v>0.504</v>
      </c>
      <c r="BG765" s="27"/>
      <c r="BH765" s="27"/>
      <c r="BI765" s="27"/>
      <c r="CA765" s="20">
        <f t="shared" si="5108"/>
        <v>520</v>
      </c>
      <c r="CB765" s="20">
        <f t="shared" si="5109"/>
        <v>52000</v>
      </c>
    </row>
    <row r="766" spans="1:80" x14ac:dyDescent="0.15">
      <c r="A766">
        <v>8507</v>
      </c>
      <c r="B766" s="3" t="s">
        <v>126</v>
      </c>
      <c r="C766" s="4" t="s">
        <v>109</v>
      </c>
      <c r="D766" s="4" t="s">
        <v>110</v>
      </c>
      <c r="E766" s="5">
        <v>2</v>
      </c>
      <c r="F766" s="7" t="s">
        <v>143</v>
      </c>
      <c r="G766" s="5">
        <v>3</v>
      </c>
      <c r="H766" s="7" t="s">
        <v>193</v>
      </c>
      <c r="I766" s="5">
        <v>0</v>
      </c>
      <c r="J766" s="5">
        <v>0</v>
      </c>
      <c r="K766">
        <v>2</v>
      </c>
      <c r="L766">
        <v>1.5</v>
      </c>
      <c r="M766" s="5">
        <v>1.5</v>
      </c>
      <c r="N766" s="5">
        <v>10</v>
      </c>
      <c r="O766" s="5">
        <f t="shared" si="5089"/>
        <v>138608</v>
      </c>
      <c r="P766" s="5">
        <f t="shared" si="5090"/>
        <v>787200000</v>
      </c>
      <c r="Q766" s="5">
        <f t="shared" si="5091"/>
        <v>13120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70071</v>
      </c>
      <c r="X766" s="6" t="s">
        <v>185</v>
      </c>
      <c r="Y766" s="5">
        <v>300</v>
      </c>
      <c r="Z766" s="5">
        <v>1</v>
      </c>
      <c r="AA766" s="5">
        <v>387619062</v>
      </c>
      <c r="AB766" s="16" t="s">
        <v>111</v>
      </c>
      <c r="AC766" s="7" t="s">
        <v>112</v>
      </c>
      <c r="AD766" s="7" t="s">
        <v>112</v>
      </c>
      <c r="AE766" s="7" t="s">
        <v>112</v>
      </c>
      <c r="AF766" s="6" t="s">
        <v>113</v>
      </c>
      <c r="AG766" s="26" t="str">
        <f t="shared" ref="AG766" si="5506">CM$10</f>
        <v>4,14,28,14,6,4,14,28,14,6</v>
      </c>
      <c r="AH766" s="26" t="str">
        <f t="shared" ref="AH766" si="5507">CN$10</f>
        <v>0,0,0,0,1,0,0,0,0,1</v>
      </c>
      <c r="AI766" s="26" t="str">
        <f t="shared" ref="AI766" si="5508">CO$10</f>
        <v>0,0,0,0,1,0,0,0,0,1</v>
      </c>
      <c r="AJ766" s="26" t="str">
        <f t="shared" ref="AJ766" si="5509">CP$10</f>
        <v>0,0,0,0,5,0,0,0,0,5</v>
      </c>
      <c r="AK766" s="26" t="str">
        <f t="shared" ref="AK766" si="5510">CQ$10</f>
        <v>200,1,1000,2,5,200,1,1000,2,5</v>
      </c>
      <c r="AL766" s="26" t="str">
        <f t="shared" ref="AL766" si="5511">CR$10</f>
        <v>5,5,5,5,5,5,5,5,5,5</v>
      </c>
      <c r="AM766" s="7">
        <v>2001</v>
      </c>
      <c r="AO766">
        <f t="shared" ref="AO766" si="5512">AQ766*100+7</f>
        <v>8507</v>
      </c>
      <c r="AP766">
        <v>762</v>
      </c>
      <c r="AQ766">
        <f t="shared" si="5099"/>
        <v>85</v>
      </c>
      <c r="AR766">
        <v>13</v>
      </c>
      <c r="AS766" s="17">
        <f t="shared" si="5180"/>
        <v>490</v>
      </c>
      <c r="AT766">
        <v>12</v>
      </c>
      <c r="AU766">
        <f t="shared" si="5100"/>
        <v>36</v>
      </c>
      <c r="AV766">
        <v>150</v>
      </c>
      <c r="AW766">
        <f t="shared" si="5101"/>
        <v>138608.64000000001</v>
      </c>
      <c r="AX766">
        <f t="shared" si="5230"/>
        <v>787200000</v>
      </c>
      <c r="AY766">
        <f t="shared" si="5102"/>
        <v>13119.999999999998</v>
      </c>
      <c r="AZ766">
        <f t="shared" si="5103"/>
        <v>26239.999999999996</v>
      </c>
      <c r="BA766">
        <f t="shared" si="5104"/>
        <v>153600.00000000003</v>
      </c>
      <c r="BB766">
        <f t="shared" si="5105"/>
        <v>6559.9999999999991</v>
      </c>
      <c r="BC766">
        <f t="shared" si="5231"/>
        <v>787200000</v>
      </c>
      <c r="BD766">
        <f t="shared" si="5106"/>
        <v>0.29411764705882354</v>
      </c>
      <c r="BE766" s="27">
        <f t="shared" si="5232"/>
        <v>1843559424</v>
      </c>
      <c r="BF766" s="30">
        <f t="shared" si="5107"/>
        <v>0.504</v>
      </c>
      <c r="BG766" s="27"/>
      <c r="BH766" s="27"/>
      <c r="BI766" s="27"/>
      <c r="CA766" s="20">
        <f t="shared" si="5108"/>
        <v>520</v>
      </c>
      <c r="CB766" s="20">
        <f t="shared" si="5109"/>
        <v>52000</v>
      </c>
    </row>
    <row r="767" spans="1:80" x14ac:dyDescent="0.15">
      <c r="A767">
        <v>8508</v>
      </c>
      <c r="B767" s="3" t="s">
        <v>128</v>
      </c>
      <c r="C767" s="4" t="s">
        <v>109</v>
      </c>
      <c r="D767" s="4" t="s">
        <v>110</v>
      </c>
      <c r="E767" s="5">
        <v>5</v>
      </c>
      <c r="F767" s="7" t="s">
        <v>129</v>
      </c>
      <c r="G767" s="5">
        <v>2</v>
      </c>
      <c r="H767" s="7" t="s">
        <v>130</v>
      </c>
      <c r="I767" s="5">
        <v>0</v>
      </c>
      <c r="J767" s="5">
        <v>0</v>
      </c>
      <c r="K767">
        <v>2</v>
      </c>
      <c r="L767">
        <v>1.5</v>
      </c>
      <c r="M767" s="5">
        <v>1.5</v>
      </c>
      <c r="N767" s="5">
        <v>10</v>
      </c>
      <c r="O767" s="5">
        <f t="shared" si="5089"/>
        <v>139994</v>
      </c>
      <c r="P767" s="5">
        <f t="shared" si="5090"/>
        <v>795072000</v>
      </c>
      <c r="Q767" s="5">
        <f t="shared" si="5091"/>
        <v>13251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70081</v>
      </c>
      <c r="X767" s="6" t="s">
        <v>186</v>
      </c>
      <c r="Y767" s="5">
        <v>300</v>
      </c>
      <c r="Z767" s="5">
        <v>1</v>
      </c>
      <c r="AA767" s="5">
        <v>395910144</v>
      </c>
      <c r="AB767" s="16" t="s">
        <v>111</v>
      </c>
      <c r="AC767" s="7" t="s">
        <v>112</v>
      </c>
      <c r="AD767" s="7" t="s">
        <v>112</v>
      </c>
      <c r="AE767" s="7" t="s">
        <v>112</v>
      </c>
      <c r="AF767" s="6" t="s">
        <v>113</v>
      </c>
      <c r="AG767" s="26" t="str">
        <f t="shared" ref="AG767" si="5513">CM$11</f>
        <v>4,28,6,28,6,4,28,6,28,6</v>
      </c>
      <c r="AH767" s="26" t="str">
        <f t="shared" ref="AH767" si="5514">CN$11</f>
        <v>0,0,1,0,1,0,0,1,0,1</v>
      </c>
      <c r="AI767" s="26" t="str">
        <f t="shared" ref="AI767" si="5515">CO$11</f>
        <v>0,0,1,0,1,0,0,1,0,1</v>
      </c>
      <c r="AJ767" s="26" t="str">
        <f t="shared" ref="AJ767" si="5516">CP$11</f>
        <v>0,0,5,0,5,0,0,5,0,5</v>
      </c>
      <c r="AK767" s="26" t="str">
        <f t="shared" ref="AK767" si="5517">CQ$11</f>
        <v>100,1000,5,1500,5,200,1000,5,1500,5</v>
      </c>
      <c r="AL767" s="26" t="str">
        <f t="shared" ref="AL767" si="5518">CR$11</f>
        <v>5,5,5,5,5,5,5,5,5,5</v>
      </c>
      <c r="AM767" s="7">
        <v>2001</v>
      </c>
      <c r="AO767">
        <f t="shared" ref="AO767" si="5519">AQ767*100+8</f>
        <v>8508</v>
      </c>
      <c r="AP767">
        <v>763</v>
      </c>
      <c r="AQ767">
        <f t="shared" si="5099"/>
        <v>85</v>
      </c>
      <c r="AR767">
        <v>13</v>
      </c>
      <c r="AS767" s="17">
        <f t="shared" si="5180"/>
        <v>495</v>
      </c>
      <c r="AT767">
        <v>12</v>
      </c>
      <c r="AU767">
        <f t="shared" si="5100"/>
        <v>36</v>
      </c>
      <c r="AV767">
        <v>150</v>
      </c>
      <c r="AW767">
        <f t="shared" si="5101"/>
        <v>139994.72640000004</v>
      </c>
      <c r="AX767">
        <f t="shared" si="5230"/>
        <v>795072000</v>
      </c>
      <c r="AY767">
        <f t="shared" si="5102"/>
        <v>13251.199999999999</v>
      </c>
      <c r="AZ767">
        <f t="shared" si="5103"/>
        <v>26502.399999999998</v>
      </c>
      <c r="BA767">
        <f t="shared" si="5104"/>
        <v>155136.00000000003</v>
      </c>
      <c r="BB767">
        <f t="shared" si="5105"/>
        <v>6625.5999999999995</v>
      </c>
      <c r="BC767">
        <f t="shared" si="5231"/>
        <v>795072000</v>
      </c>
      <c r="BD767">
        <f t="shared" si="5106"/>
        <v>0.29411764705882354</v>
      </c>
      <c r="BE767" s="27">
        <f t="shared" si="5232"/>
        <v>1880614968.4224002</v>
      </c>
      <c r="BF767" s="30">
        <f t="shared" si="5107"/>
        <v>0.504</v>
      </c>
      <c r="BG767" s="27"/>
      <c r="BH767" s="27"/>
      <c r="BI767" s="27"/>
      <c r="CA767" s="20">
        <f t="shared" si="5108"/>
        <v>520</v>
      </c>
      <c r="CB767" s="20">
        <f t="shared" si="5109"/>
        <v>52000</v>
      </c>
    </row>
    <row r="768" spans="1:80" x14ac:dyDescent="0.15">
      <c r="A768">
        <v>8509</v>
      </c>
      <c r="B768" s="3" t="s">
        <v>132</v>
      </c>
      <c r="C768" s="4" t="s">
        <v>109</v>
      </c>
      <c r="D768" s="4" t="s">
        <v>110</v>
      </c>
      <c r="E768" s="5">
        <v>5</v>
      </c>
      <c r="F768" s="7" t="s">
        <v>140</v>
      </c>
      <c r="G768" s="5">
        <v>3</v>
      </c>
      <c r="H768" s="7" t="s">
        <v>140</v>
      </c>
      <c r="I768" s="5">
        <v>0</v>
      </c>
      <c r="J768" s="7">
        <v>0</v>
      </c>
      <c r="K768">
        <v>6</v>
      </c>
      <c r="L768">
        <v>1.5</v>
      </c>
      <c r="M768" s="5">
        <v>1.5</v>
      </c>
      <c r="N768" s="5">
        <v>10</v>
      </c>
      <c r="O768" s="5">
        <f t="shared" si="5089"/>
        <v>141380</v>
      </c>
      <c r="P768" s="5">
        <f t="shared" si="5090"/>
        <v>802944000</v>
      </c>
      <c r="Q768" s="5">
        <f t="shared" si="5091"/>
        <v>13382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70091</v>
      </c>
      <c r="X768" s="6" t="s">
        <v>187</v>
      </c>
      <c r="Y768" s="5">
        <v>300</v>
      </c>
      <c r="Z768" s="5">
        <v>1</v>
      </c>
      <c r="AA768" s="5">
        <v>404288963</v>
      </c>
      <c r="AB768" s="16" t="s">
        <v>111</v>
      </c>
      <c r="AC768" s="7" t="s">
        <v>112</v>
      </c>
      <c r="AD768" s="7" t="s">
        <v>112</v>
      </c>
      <c r="AE768" s="7" t="s">
        <v>112</v>
      </c>
      <c r="AF768" s="6" t="s">
        <v>113</v>
      </c>
      <c r="AG768" s="26" t="str">
        <f t="shared" ref="AG768" si="5520">CM$12</f>
        <v>4,33,28,33,6,4,33,28,33,6</v>
      </c>
      <c r="AH768" s="26" t="str">
        <f t="shared" ref="AH768" si="5521">CN$12</f>
        <v>0,5,0,5,1,0,5,0,5,1</v>
      </c>
      <c r="AI768" s="26" t="str">
        <f t="shared" ref="AI768" si="5522">CO$12</f>
        <v>0,0,0,0,1,0,0,0,0,1</v>
      </c>
      <c r="AJ768" s="26" t="str">
        <f t="shared" ref="AJ768" si="5523">CP$12</f>
        <v>0,0,0,0,5,0,0,0,0,5</v>
      </c>
      <c r="AK768" s="26" t="str">
        <f t="shared" ref="AK768" si="5524">CQ$12</f>
        <v>100,1,1000,2,5,200,1,1000,2,5</v>
      </c>
      <c r="AL768" s="26" t="str">
        <f t="shared" ref="AL768" si="5525">CR$12</f>
        <v>5,5,5,5,5,5,5,5,5,5</v>
      </c>
      <c r="AM768" s="7">
        <v>2001</v>
      </c>
      <c r="AO768">
        <f t="shared" ref="AO768" si="5526">AQ768*100+9</f>
        <v>8509</v>
      </c>
      <c r="AP768">
        <v>764</v>
      </c>
      <c r="AQ768">
        <f t="shared" si="5099"/>
        <v>85</v>
      </c>
      <c r="AR768">
        <v>13</v>
      </c>
      <c r="AS768" s="17">
        <f t="shared" si="5180"/>
        <v>500</v>
      </c>
      <c r="AT768">
        <v>12</v>
      </c>
      <c r="AU768">
        <f t="shared" si="5100"/>
        <v>36</v>
      </c>
      <c r="AV768">
        <v>150</v>
      </c>
      <c r="AW768">
        <f t="shared" si="5101"/>
        <v>141380.81280000001</v>
      </c>
      <c r="AX768">
        <f t="shared" si="5230"/>
        <v>802944000</v>
      </c>
      <c r="AY768">
        <f t="shared" si="5102"/>
        <v>13382.4</v>
      </c>
      <c r="AZ768">
        <f t="shared" si="5103"/>
        <v>26764.799999999999</v>
      </c>
      <c r="BA768">
        <f t="shared" si="5104"/>
        <v>156672.00000000003</v>
      </c>
      <c r="BB768">
        <f t="shared" si="5105"/>
        <v>6691.2</v>
      </c>
      <c r="BC768">
        <f t="shared" si="5231"/>
        <v>802944000</v>
      </c>
      <c r="BD768">
        <f t="shared" si="5106"/>
        <v>0.29411764705882354</v>
      </c>
      <c r="BE768" s="27">
        <f t="shared" si="5232"/>
        <v>1918039224.7296002</v>
      </c>
      <c r="BF768" s="30">
        <f t="shared" si="5107"/>
        <v>0.504</v>
      </c>
      <c r="BG768" s="27"/>
      <c r="BH768" s="27"/>
      <c r="BI768" s="27"/>
      <c r="CA768" s="20">
        <f t="shared" si="5108"/>
        <v>520</v>
      </c>
      <c r="CB768" s="20">
        <f t="shared" si="5109"/>
        <v>52000</v>
      </c>
    </row>
    <row r="769" spans="1:80" x14ac:dyDescent="0.15">
      <c r="A769">
        <v>8601</v>
      </c>
      <c r="B769" s="3" t="s">
        <v>108</v>
      </c>
      <c r="C769" s="4" t="s">
        <v>109</v>
      </c>
      <c r="D769" s="4" t="s">
        <v>110</v>
      </c>
      <c r="E769" s="5">
        <v>3</v>
      </c>
      <c r="F769" s="7" t="s">
        <v>141</v>
      </c>
      <c r="G769" s="5">
        <v>2.5</v>
      </c>
      <c r="H769" s="7" t="s">
        <v>194</v>
      </c>
      <c r="I769" s="5">
        <v>0</v>
      </c>
      <c r="J769" s="5">
        <v>0</v>
      </c>
      <c r="K769">
        <v>2</v>
      </c>
      <c r="L769">
        <v>1.5</v>
      </c>
      <c r="M769" s="5">
        <v>1.5</v>
      </c>
      <c r="N769" s="5">
        <v>10</v>
      </c>
      <c r="O769" s="5">
        <f t="shared" si="5089"/>
        <v>131888</v>
      </c>
      <c r="P769" s="5">
        <f t="shared" si="5090"/>
        <v>747840000</v>
      </c>
      <c r="Q769" s="5">
        <f t="shared" si="5091"/>
        <v>12464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70011</v>
      </c>
      <c r="X769" s="6" t="s">
        <v>179</v>
      </c>
      <c r="Y769" s="5">
        <v>300</v>
      </c>
      <c r="Z769" s="5">
        <v>1</v>
      </c>
      <c r="AA769" s="5">
        <v>412755517</v>
      </c>
      <c r="AB769" s="16" t="s">
        <v>111</v>
      </c>
      <c r="AC769" s="7" t="s">
        <v>112</v>
      </c>
      <c r="AD769" s="7" t="s">
        <v>112</v>
      </c>
      <c r="AE769" s="7" t="s">
        <v>112</v>
      </c>
      <c r="AF769" s="6" t="s">
        <v>113</v>
      </c>
      <c r="AG769" s="26" t="str">
        <f t="shared" ref="AG769" si="5527">CM$4</f>
        <v>4,33,28,33,6,4,33,28,33,6</v>
      </c>
      <c r="AH769" s="26" t="str">
        <f t="shared" ref="AH769" si="5528">CN$4</f>
        <v>0,8,0,8,1,0,8,0,8,1</v>
      </c>
      <c r="AI769" s="26" t="str">
        <f t="shared" ref="AI769" si="5529">CO$4</f>
        <v>0,0,0,0,1,0,0,0,0,1</v>
      </c>
      <c r="AJ769" s="26" t="str">
        <f t="shared" ref="AJ769" si="5530">CP$4</f>
        <v>0,0,0,0,5,0,0,0,0,5</v>
      </c>
      <c r="AK769" s="26" t="str">
        <f t="shared" ref="AK769" si="5531">CQ$4</f>
        <v>100,1,1000,2,5,200,1,1000,2,5</v>
      </c>
      <c r="AL769" s="26" t="str">
        <f t="shared" ref="AL769" si="5532">CR$4</f>
        <v>5,5,5,5,5,5,5,5,5,5</v>
      </c>
      <c r="AM769" s="7">
        <v>2001</v>
      </c>
      <c r="AO769">
        <f t="shared" ref="AO769" si="5533">AQ769*100+1</f>
        <v>8601</v>
      </c>
      <c r="AP769">
        <v>765</v>
      </c>
      <c r="AQ769">
        <f t="shared" si="5099"/>
        <v>86</v>
      </c>
      <c r="AR769">
        <v>13</v>
      </c>
      <c r="AS769" s="17">
        <f t="shared" si="5180"/>
        <v>465</v>
      </c>
      <c r="AT769">
        <v>12</v>
      </c>
      <c r="AU769">
        <f t="shared" si="5100"/>
        <v>36</v>
      </c>
      <c r="AV769">
        <v>150</v>
      </c>
      <c r="AW769">
        <f t="shared" si="5101"/>
        <v>131888.33280000003</v>
      </c>
      <c r="AX769">
        <f t="shared" si="5230"/>
        <v>747840000</v>
      </c>
      <c r="AY769">
        <f t="shared" si="5102"/>
        <v>12463.999999999998</v>
      </c>
      <c r="AZ769">
        <f t="shared" si="5103"/>
        <v>24927.999999999996</v>
      </c>
      <c r="BA769">
        <f t="shared" si="5104"/>
        <v>145920.00000000003</v>
      </c>
      <c r="BB769">
        <f t="shared" si="5105"/>
        <v>6231.9999999999991</v>
      </c>
      <c r="BC769">
        <f t="shared" si="5231"/>
        <v>747840000</v>
      </c>
      <c r="BD769">
        <f t="shared" si="5106"/>
        <v>0.29411764705882354</v>
      </c>
      <c r="BE769" s="27">
        <f t="shared" si="5232"/>
        <v>1663812380.1600001</v>
      </c>
      <c r="BF769" s="30">
        <f t="shared" si="5107"/>
        <v>0.50639999999999996</v>
      </c>
      <c r="BG769" s="27"/>
      <c r="BH769" s="27"/>
      <c r="BI769" s="27"/>
      <c r="CA769" s="20">
        <f t="shared" si="5108"/>
        <v>525</v>
      </c>
      <c r="CB769" s="20">
        <f t="shared" si="5109"/>
        <v>52500</v>
      </c>
    </row>
    <row r="770" spans="1:80" x14ac:dyDescent="0.15">
      <c r="A770">
        <v>8602</v>
      </c>
      <c r="B770" s="3" t="s">
        <v>115</v>
      </c>
      <c r="C770" s="4" t="s">
        <v>109</v>
      </c>
      <c r="D770" s="6" t="s">
        <v>110</v>
      </c>
      <c r="E770" s="5">
        <v>3</v>
      </c>
      <c r="F770" s="7" t="s">
        <v>142</v>
      </c>
      <c r="G770" s="5">
        <v>3</v>
      </c>
      <c r="H770" s="7" t="s">
        <v>188</v>
      </c>
      <c r="I770" s="5">
        <v>0</v>
      </c>
      <c r="J770" s="5">
        <v>0</v>
      </c>
      <c r="K770">
        <v>2</v>
      </c>
      <c r="L770">
        <v>1.5</v>
      </c>
      <c r="M770" s="5">
        <v>1.5</v>
      </c>
      <c r="N770" s="5">
        <v>10</v>
      </c>
      <c r="O770" s="5">
        <f t="shared" si="5089"/>
        <v>133276</v>
      </c>
      <c r="P770" s="5">
        <f t="shared" si="5090"/>
        <v>755712000</v>
      </c>
      <c r="Q770" s="5">
        <f t="shared" si="5091"/>
        <v>12595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70021</v>
      </c>
      <c r="X770" s="6" t="s">
        <v>180</v>
      </c>
      <c r="Y770" s="5">
        <v>300</v>
      </c>
      <c r="Z770" s="5">
        <v>1</v>
      </c>
      <c r="AA770" s="5">
        <v>355332096</v>
      </c>
      <c r="AB770" s="16" t="s">
        <v>111</v>
      </c>
      <c r="AC770" s="7" t="s">
        <v>112</v>
      </c>
      <c r="AD770" s="7" t="s">
        <v>112</v>
      </c>
      <c r="AE770" s="7" t="s">
        <v>112</v>
      </c>
      <c r="AF770" s="6" t="s">
        <v>113</v>
      </c>
      <c r="AG770" s="26" t="str">
        <f t="shared" ref="AG770" si="5534">CM$5</f>
        <v>4,33,28,33,6,4,33,28,33,6</v>
      </c>
      <c r="AH770" s="26" t="str">
        <f t="shared" ref="AH770" si="5535">CN$5</f>
        <v>0,7,0,7,1,0,7,0,7,1</v>
      </c>
      <c r="AI770" s="26" t="str">
        <f t="shared" ref="AI770" si="5536">CO$5</f>
        <v>0,0,0,0,1,0,0,0,0,1</v>
      </c>
      <c r="AJ770" s="26" t="str">
        <f t="shared" ref="AJ770" si="5537">CP$5</f>
        <v>0,0,0,0,5,0,0,0,0,5</v>
      </c>
      <c r="AK770" s="26" t="str">
        <f t="shared" ref="AK770" si="5538">CQ$5</f>
        <v>100,1,1000,2,5,200,1,1000,2,5</v>
      </c>
      <c r="AL770" s="26" t="str">
        <f t="shared" ref="AL770" si="5539">CR$5</f>
        <v>5,5,5,5,5,5,5,5,5,5</v>
      </c>
      <c r="AM770" s="7">
        <v>2001</v>
      </c>
      <c r="AO770">
        <f t="shared" ref="AO770" si="5540">AQ770*100+2</f>
        <v>8602</v>
      </c>
      <c r="AP770">
        <v>766</v>
      </c>
      <c r="AQ770">
        <f t="shared" si="5099"/>
        <v>86</v>
      </c>
      <c r="AR770">
        <v>13</v>
      </c>
      <c r="AS770" s="17">
        <f t="shared" si="5180"/>
        <v>470</v>
      </c>
      <c r="AT770">
        <v>12</v>
      </c>
      <c r="AU770">
        <f t="shared" si="5100"/>
        <v>36</v>
      </c>
      <c r="AV770">
        <v>150</v>
      </c>
      <c r="AW770">
        <f t="shared" si="5101"/>
        <v>133276.63104000004</v>
      </c>
      <c r="AX770">
        <f t="shared" si="5230"/>
        <v>755711999.99999988</v>
      </c>
      <c r="AY770">
        <f t="shared" si="5102"/>
        <v>12595.199999999999</v>
      </c>
      <c r="AZ770">
        <f t="shared" si="5103"/>
        <v>25190.399999999998</v>
      </c>
      <c r="BA770">
        <f t="shared" si="5104"/>
        <v>147456.00000000003</v>
      </c>
      <c r="BB770">
        <f t="shared" si="5105"/>
        <v>6297.5999999999995</v>
      </c>
      <c r="BC770">
        <f t="shared" si="5231"/>
        <v>755711999.99999988</v>
      </c>
      <c r="BD770">
        <f t="shared" si="5106"/>
        <v>0.29411764705882348</v>
      </c>
      <c r="BE770" s="27">
        <f t="shared" si="5232"/>
        <v>1699024365.1583993</v>
      </c>
      <c r="BF770" s="30">
        <f t="shared" si="5107"/>
        <v>0.50639999999999996</v>
      </c>
      <c r="BG770" s="27"/>
      <c r="BH770" s="27"/>
      <c r="BI770" s="27"/>
      <c r="CA770" s="20">
        <f t="shared" si="5108"/>
        <v>525</v>
      </c>
      <c r="CB770" s="20">
        <f t="shared" si="5109"/>
        <v>52500</v>
      </c>
    </row>
    <row r="771" spans="1:80" x14ac:dyDescent="0.15">
      <c r="A771">
        <v>8603</v>
      </c>
      <c r="B771" s="3" t="s">
        <v>117</v>
      </c>
      <c r="C771" s="4" t="s">
        <v>109</v>
      </c>
      <c r="D771" s="4" t="s">
        <v>110</v>
      </c>
      <c r="E771" s="5">
        <v>1</v>
      </c>
      <c r="F771" s="7" t="s">
        <v>144</v>
      </c>
      <c r="G771" s="5">
        <v>3</v>
      </c>
      <c r="H771" s="7" t="s">
        <v>189</v>
      </c>
      <c r="I771" s="5">
        <v>0</v>
      </c>
      <c r="J771" s="2">
        <v>0</v>
      </c>
      <c r="K771">
        <v>6</v>
      </c>
      <c r="L771">
        <v>1.5</v>
      </c>
      <c r="M771" s="5">
        <v>1.5</v>
      </c>
      <c r="N771" s="5">
        <v>10</v>
      </c>
      <c r="O771" s="5">
        <f t="shared" si="5089"/>
        <v>134664</v>
      </c>
      <c r="P771" s="5">
        <f t="shared" si="5090"/>
        <v>763584000</v>
      </c>
      <c r="Q771" s="5">
        <f t="shared" si="5091"/>
        <v>12726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70031</v>
      </c>
      <c r="X771" s="6" t="s">
        <v>181</v>
      </c>
      <c r="Y771" s="5">
        <v>300</v>
      </c>
      <c r="Z771" s="5">
        <v>1</v>
      </c>
      <c r="AA771" s="5">
        <v>363272233</v>
      </c>
      <c r="AB771" s="16" t="s">
        <v>111</v>
      </c>
      <c r="AC771" s="7" t="s">
        <v>112</v>
      </c>
      <c r="AD771" s="7" t="s">
        <v>112</v>
      </c>
      <c r="AE771" s="7" t="s">
        <v>112</v>
      </c>
      <c r="AF771" s="6" t="s">
        <v>113</v>
      </c>
      <c r="AG771" s="26" t="str">
        <f t="shared" ref="AG771" si="5541">CM$6</f>
        <v>4,28,6,28,6,4,28,6,28,6</v>
      </c>
      <c r="AH771" s="26" t="str">
        <f t="shared" ref="AH771" si="5542">CN$6</f>
        <v>0,0,1,0,1,0,0,1,0,1</v>
      </c>
      <c r="AI771" s="26" t="str">
        <f t="shared" ref="AI771" si="5543">CO$6</f>
        <v>0,0,0,0,1,0,0,0,0,1</v>
      </c>
      <c r="AJ771" s="26" t="str">
        <f t="shared" ref="AJ771" si="5544">CP$6</f>
        <v>0,0,5,0,5,0,0,5,0,5</v>
      </c>
      <c r="AK771" s="26" t="str">
        <f t="shared" ref="AK771" si="5545">CQ$6</f>
        <v>100,1000,5,1500,5,200,1000,5,1500,5</v>
      </c>
      <c r="AL771" s="26" t="str">
        <f t="shared" ref="AL771" si="5546">CR$6</f>
        <v>5,5,5,5,5,5,5,5,5,5</v>
      </c>
      <c r="AM771" s="7">
        <v>2001</v>
      </c>
      <c r="AO771">
        <f t="shared" ref="AO771" si="5547">AQ771*100+3</f>
        <v>8603</v>
      </c>
      <c r="AP771">
        <v>767</v>
      </c>
      <c r="AQ771">
        <f t="shared" si="5099"/>
        <v>86</v>
      </c>
      <c r="AR771">
        <v>13</v>
      </c>
      <c r="AS771" s="17">
        <f t="shared" si="5180"/>
        <v>475</v>
      </c>
      <c r="AT771">
        <v>12</v>
      </c>
      <c r="AU771">
        <f t="shared" si="5100"/>
        <v>36</v>
      </c>
      <c r="AV771">
        <v>150</v>
      </c>
      <c r="AW771">
        <f t="shared" si="5101"/>
        <v>134664.92928000001</v>
      </c>
      <c r="AX771">
        <f t="shared" si="5230"/>
        <v>763584000</v>
      </c>
      <c r="AY771">
        <f t="shared" si="5102"/>
        <v>12726.4</v>
      </c>
      <c r="AZ771">
        <f t="shared" si="5103"/>
        <v>25452.799999999999</v>
      </c>
      <c r="BA771">
        <f t="shared" si="5104"/>
        <v>148992.00000000003</v>
      </c>
      <c r="BB771">
        <f t="shared" si="5105"/>
        <v>6363.2</v>
      </c>
      <c r="BC771">
        <f t="shared" si="5231"/>
        <v>763584000</v>
      </c>
      <c r="BD771">
        <f t="shared" si="5106"/>
        <v>0.29411764705882354</v>
      </c>
      <c r="BE771" s="27">
        <f t="shared" si="5232"/>
        <v>1734605062.0416002</v>
      </c>
      <c r="BF771" s="30">
        <f t="shared" si="5107"/>
        <v>0.50639999999999996</v>
      </c>
      <c r="BG771" s="27"/>
      <c r="BH771" s="27"/>
      <c r="BI771" s="27"/>
      <c r="CA771" s="20">
        <f t="shared" si="5108"/>
        <v>525</v>
      </c>
      <c r="CB771" s="20">
        <f t="shared" si="5109"/>
        <v>52500</v>
      </c>
    </row>
    <row r="772" spans="1:80" x14ac:dyDescent="0.15">
      <c r="A772">
        <v>8604</v>
      </c>
      <c r="B772" s="3" t="s">
        <v>119</v>
      </c>
      <c r="C772" s="4" t="s">
        <v>109</v>
      </c>
      <c r="D772" s="6" t="s">
        <v>120</v>
      </c>
      <c r="E772" s="5">
        <v>3</v>
      </c>
      <c r="F772" s="7" t="s">
        <v>145</v>
      </c>
      <c r="G772" s="5">
        <v>3</v>
      </c>
      <c r="H772" s="7" t="s">
        <v>190</v>
      </c>
      <c r="I772" s="5">
        <v>0</v>
      </c>
      <c r="J772" s="5">
        <v>0</v>
      </c>
      <c r="K772">
        <v>2</v>
      </c>
      <c r="L772">
        <v>1.5</v>
      </c>
      <c r="M772" s="5">
        <v>1.5</v>
      </c>
      <c r="N772" s="5">
        <v>10</v>
      </c>
      <c r="O772" s="5">
        <f t="shared" si="5089"/>
        <v>136053</v>
      </c>
      <c r="P772" s="5">
        <f t="shared" si="5090"/>
        <v>771456000</v>
      </c>
      <c r="Q772" s="5">
        <f t="shared" si="5091"/>
        <v>12857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70041</v>
      </c>
      <c r="X772" s="6" t="s">
        <v>182</v>
      </c>
      <c r="Y772" s="5">
        <v>300</v>
      </c>
      <c r="Z772" s="5">
        <v>1</v>
      </c>
      <c r="AA772" s="5">
        <v>371300106</v>
      </c>
      <c r="AB772" s="16" t="s">
        <v>111</v>
      </c>
      <c r="AC772" s="7" t="s">
        <v>112</v>
      </c>
      <c r="AD772" s="7" t="s">
        <v>112</v>
      </c>
      <c r="AE772" s="7" t="s">
        <v>112</v>
      </c>
      <c r="AF772" s="6" t="s">
        <v>113</v>
      </c>
      <c r="AG772" s="26" t="str">
        <f t="shared" ref="AG772" si="5548">CM$7</f>
        <v>4,14,28,14,6,4,14,28,14,6</v>
      </c>
      <c r="AH772" s="26" t="str">
        <f t="shared" ref="AH772" si="5549">CN$7</f>
        <v>0,0,0,0,1,0,0,0,0,1</v>
      </c>
      <c r="AI772" s="26" t="str">
        <f t="shared" ref="AI772" si="5550">CO$7</f>
        <v>0,0,0,0,1,0,0,0,0,1</v>
      </c>
      <c r="AJ772" s="26" t="str">
        <f t="shared" ref="AJ772" si="5551">CP$7</f>
        <v>0,0,0,0,5,0,0,0,0,5</v>
      </c>
      <c r="AK772" s="26" t="str">
        <f t="shared" ref="AK772" si="5552">CQ$7</f>
        <v>100,1,1000,2,5,200,1,1000,2,5</v>
      </c>
      <c r="AL772" s="26" t="str">
        <f t="shared" ref="AL772" si="5553">CR$7</f>
        <v>5,5,5,5,5,5,5,5,5,5</v>
      </c>
      <c r="AM772" s="7">
        <v>2001</v>
      </c>
      <c r="AO772">
        <f t="shared" ref="AO772" si="5554">AQ772*100+4</f>
        <v>8604</v>
      </c>
      <c r="AP772">
        <v>768</v>
      </c>
      <c r="AQ772">
        <f t="shared" si="5099"/>
        <v>86</v>
      </c>
      <c r="AR772">
        <v>13</v>
      </c>
      <c r="AS772" s="17">
        <f t="shared" si="5180"/>
        <v>480</v>
      </c>
      <c r="AT772">
        <v>12</v>
      </c>
      <c r="AU772">
        <f t="shared" si="5100"/>
        <v>36</v>
      </c>
      <c r="AV772">
        <v>150</v>
      </c>
      <c r="AW772">
        <f t="shared" si="5101"/>
        <v>136053.22752000001</v>
      </c>
      <c r="AX772">
        <f t="shared" si="5230"/>
        <v>771456000</v>
      </c>
      <c r="AY772">
        <f t="shared" si="5102"/>
        <v>12857.599999999999</v>
      </c>
      <c r="AZ772">
        <f t="shared" si="5103"/>
        <v>25715.199999999997</v>
      </c>
      <c r="BA772">
        <f t="shared" si="5104"/>
        <v>150528.00000000003</v>
      </c>
      <c r="BB772">
        <f t="shared" si="5105"/>
        <v>6428.7999999999993</v>
      </c>
      <c r="BC772">
        <f t="shared" si="5231"/>
        <v>771456000</v>
      </c>
      <c r="BD772">
        <f t="shared" si="5106"/>
        <v>0.29411764705882354</v>
      </c>
      <c r="BE772" s="27">
        <f t="shared" si="5232"/>
        <v>1770554470.8096001</v>
      </c>
      <c r="BF772" s="30">
        <f t="shared" si="5107"/>
        <v>0.50639999999999996</v>
      </c>
      <c r="BG772" s="27"/>
      <c r="BH772" s="27"/>
      <c r="BI772" s="27"/>
      <c r="CA772" s="20">
        <f t="shared" si="5108"/>
        <v>525</v>
      </c>
      <c r="CB772" s="20">
        <f t="shared" si="5109"/>
        <v>52500</v>
      </c>
    </row>
    <row r="773" spans="1:80" x14ac:dyDescent="0.15">
      <c r="A773">
        <v>8605</v>
      </c>
      <c r="B773" s="3" t="s">
        <v>122</v>
      </c>
      <c r="C773" s="4" t="s">
        <v>109</v>
      </c>
      <c r="D773" s="4" t="s">
        <v>110</v>
      </c>
      <c r="E773" s="5">
        <v>2</v>
      </c>
      <c r="F773" s="7" t="s">
        <v>146</v>
      </c>
      <c r="G773" s="5">
        <v>3</v>
      </c>
      <c r="H773" s="7" t="s">
        <v>191</v>
      </c>
      <c r="I773" s="5">
        <v>0</v>
      </c>
      <c r="J773" s="7" t="s">
        <v>148</v>
      </c>
      <c r="K773">
        <v>6</v>
      </c>
      <c r="L773">
        <v>1.5</v>
      </c>
      <c r="M773" s="5">
        <v>1.5</v>
      </c>
      <c r="N773" s="5">
        <v>10</v>
      </c>
      <c r="O773" s="5">
        <f t="shared" ref="O773:O836" si="5555">FLOOR(AW773,1)</f>
        <v>137441</v>
      </c>
      <c r="P773" s="5">
        <f t="shared" ref="P773:P836" si="5556">FLOOR(BC773,1)</f>
        <v>779328000</v>
      </c>
      <c r="Q773" s="5">
        <f t="shared" ref="Q773:Q836" si="5557">FLOOR(AY773,1)</f>
        <v>12988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70051</v>
      </c>
      <c r="X773" s="6" t="s">
        <v>183</v>
      </c>
      <c r="Y773" s="5">
        <v>300</v>
      </c>
      <c r="Z773" s="5">
        <v>1</v>
      </c>
      <c r="AA773" s="5">
        <v>379415716</v>
      </c>
      <c r="AB773" s="16" t="s">
        <v>111</v>
      </c>
      <c r="AC773" s="7" t="s">
        <v>112</v>
      </c>
      <c r="AD773" s="7" t="s">
        <v>112</v>
      </c>
      <c r="AE773" s="7" t="s">
        <v>112</v>
      </c>
      <c r="AF773" s="6" t="s">
        <v>113</v>
      </c>
      <c r="AG773" s="26" t="str">
        <f t="shared" ref="AG773" si="5558">CM$8</f>
        <v>4,19,28,19,6,4,19,28,19,6</v>
      </c>
      <c r="AH773" s="26" t="str">
        <f t="shared" ref="AH773" si="5559">CN$8</f>
        <v>0,0,0,0,1,0,0,0,0,1</v>
      </c>
      <c r="AI773" s="26" t="str">
        <f t="shared" ref="AI773" si="5560">CO$8</f>
        <v>0,0,0,0,1,0,0,0,0,1</v>
      </c>
      <c r="AJ773" s="26" t="str">
        <f t="shared" ref="AJ773" si="5561">CP$8</f>
        <v>0,0,0,0,5,0,0,0,0,5</v>
      </c>
      <c r="AK773" s="26" t="str">
        <f t="shared" ref="AK773" si="5562">CQ$8</f>
        <v>200,100,1000,200,5,200,100,1000,200,5</v>
      </c>
      <c r="AL773" s="26" t="str">
        <f t="shared" ref="AL773" si="5563">CR$8</f>
        <v>5,5,5,5,5,5,5,5,5,5</v>
      </c>
      <c r="AM773" s="7">
        <v>2001</v>
      </c>
      <c r="AO773">
        <f t="shared" ref="AO773" si="5564">AQ773*100+5</f>
        <v>8605</v>
      </c>
      <c r="AP773">
        <v>769</v>
      </c>
      <c r="AQ773">
        <f t="shared" ref="AQ773:AQ836" si="5565">FLOOR(AP773/9+1,1)</f>
        <v>86</v>
      </c>
      <c r="AR773">
        <v>13</v>
      </c>
      <c r="AS773" s="17">
        <f t="shared" si="5180"/>
        <v>485</v>
      </c>
      <c r="AT773">
        <v>12</v>
      </c>
      <c r="AU773">
        <f t="shared" ref="AU773:AU836" si="5566">20+FLOOR(AQ773/10,1)*2</f>
        <v>36</v>
      </c>
      <c r="AV773">
        <v>150</v>
      </c>
      <c r="AW773">
        <f t="shared" ref="AW773:AW836" si="5567">BA773*0.6*(1+BF773)</f>
        <v>137441.52576000002</v>
      </c>
      <c r="AX773">
        <f t="shared" si="5230"/>
        <v>779328000</v>
      </c>
      <c r="AY773">
        <f t="shared" ref="AY773:AY836" si="5568">BB773*2</f>
        <v>12988.8</v>
      </c>
      <c r="AZ773">
        <f t="shared" ref="AZ773:AZ836" si="5569">(INDEX($BO$2:$BO$15,MATCH($AR773,$BK$2:$BK$15,0))+INDEX($BP$2:$BP$15,MATCH($AR773,$BK$2:$BK$15,0))*$AS773)*(1+INDEX($BZ$2:$BZ$15,MATCH($AT773,$BX$2:$BX$15,0)))</f>
        <v>25977.599999999999</v>
      </c>
      <c r="BA773">
        <f t="shared" ref="BA773:BA836" si="5570">INDEX($BQ$2:$BQ$15,MATCH($AR773,$BK$2:$BK$15,0))+INDEX($BR$2:$BR$15,MATCH($AR773,$BK$2:$BK$15,0))*$AS773</f>
        <v>152064.00000000003</v>
      </c>
      <c r="BB773">
        <f t="shared" ref="BB773:BB836" si="5571">(INDEX($BS$2:$BS$15,MATCH($AR773,$BK$2:$BK$15,0))+INDEX($BT$2:$BT$15,MATCH($AR773,$BK$2:$BK$15,0))*$AS773)*(1+INDEX($BZ$2:$BZ$15,MATCH($AT773,$BX$2:$BX$15,0)))</f>
        <v>6494.4</v>
      </c>
      <c r="BC773">
        <f t="shared" si="5231"/>
        <v>779328000</v>
      </c>
      <c r="BD773">
        <f t="shared" ref="BD773:BD836" si="5572">1/(1+AZ773*3/(5*BB773))</f>
        <v>0.29411764705882359</v>
      </c>
      <c r="BE773" s="27">
        <f t="shared" si="5232"/>
        <v>1806872591.4624004</v>
      </c>
      <c r="BF773" s="30">
        <f t="shared" ref="BF773:BF836" si="5573">0.3+AQ773*0.0024</f>
        <v>0.50639999999999996</v>
      </c>
      <c r="BG773" s="27"/>
      <c r="BH773" s="27"/>
      <c r="BI773" s="27"/>
      <c r="CA773" s="20">
        <f t="shared" ref="CA773:CA836" si="5574">$CA$2+(AQ773-1)*5</f>
        <v>525</v>
      </c>
      <c r="CB773" s="20">
        <f t="shared" ref="CB773:CB836" si="5575">$CB$2+(AQ773-1)*500</f>
        <v>52500</v>
      </c>
    </row>
    <row r="774" spans="1:80" x14ac:dyDescent="0.15">
      <c r="A774">
        <v>8606</v>
      </c>
      <c r="B774" s="3" t="s">
        <v>124</v>
      </c>
      <c r="C774" s="4" t="s">
        <v>109</v>
      </c>
      <c r="D774" s="6" t="s">
        <v>120</v>
      </c>
      <c r="E774" s="5">
        <v>1</v>
      </c>
      <c r="F774" s="7" t="s">
        <v>147</v>
      </c>
      <c r="G774" s="5">
        <v>3</v>
      </c>
      <c r="H774" s="7" t="s">
        <v>192</v>
      </c>
      <c r="I774" s="5">
        <v>0</v>
      </c>
      <c r="J774" s="7" t="s">
        <v>149</v>
      </c>
      <c r="K774">
        <v>6</v>
      </c>
      <c r="L774">
        <v>1.5</v>
      </c>
      <c r="M774" s="5">
        <v>1.5</v>
      </c>
      <c r="N774" s="5">
        <v>10</v>
      </c>
      <c r="O774" s="5">
        <f t="shared" si="5555"/>
        <v>138829</v>
      </c>
      <c r="P774" s="5">
        <f t="shared" si="5556"/>
        <v>787200000</v>
      </c>
      <c r="Q774" s="5">
        <f t="shared" si="5557"/>
        <v>13120</v>
      </c>
      <c r="R774" s="5">
        <v>0</v>
      </c>
      <c r="S774" s="5">
        <v>0</v>
      </c>
      <c r="T774" s="5">
        <v>0</v>
      </c>
      <c r="U774" s="5">
        <v>0</v>
      </c>
      <c r="V774" s="5">
        <v>0</v>
      </c>
      <c r="W774" s="5">
        <v>70061</v>
      </c>
      <c r="X774" s="6" t="s">
        <v>184</v>
      </c>
      <c r="Y774" s="5">
        <v>300</v>
      </c>
      <c r="Z774" s="5">
        <v>1</v>
      </c>
      <c r="AA774" s="5">
        <v>387619062</v>
      </c>
      <c r="AB774" s="16" t="s">
        <v>111</v>
      </c>
      <c r="AC774" s="7" t="s">
        <v>112</v>
      </c>
      <c r="AD774" s="7" t="s">
        <v>112</v>
      </c>
      <c r="AE774" s="7" t="s">
        <v>112</v>
      </c>
      <c r="AF774" s="6" t="s">
        <v>113</v>
      </c>
      <c r="AG774" s="26" t="str">
        <f t="shared" ref="AG774" si="5576">CM$9</f>
        <v>4,33,28,33,6,4,33,28,33,6</v>
      </c>
      <c r="AH774" s="26" t="str">
        <f t="shared" ref="AH774" si="5577">CN$9</f>
        <v>0,6,0,6,1,0,6,0,6,1</v>
      </c>
      <c r="AI774" s="26" t="str">
        <f t="shared" ref="AI774" si="5578">CO$9</f>
        <v>0,0,0,0,1,0,0,0,0,1</v>
      </c>
      <c r="AJ774" s="26" t="str">
        <f t="shared" ref="AJ774" si="5579">CP$9</f>
        <v>0,0,0,0,5,0,0,0,0,5</v>
      </c>
      <c r="AK774" s="26" t="str">
        <f t="shared" ref="AK774" si="5580">CQ$9</f>
        <v>200,1,1000,2,5,200,1,1000,2,5</v>
      </c>
      <c r="AL774" s="26" t="str">
        <f t="shared" ref="AL774" si="5581">CR$9</f>
        <v>5,5,5,5,5,5,5,5,5,5</v>
      </c>
      <c r="AM774" s="7">
        <v>2001</v>
      </c>
      <c r="AO774">
        <f t="shared" ref="AO774" si="5582">AQ774*100+6</f>
        <v>8606</v>
      </c>
      <c r="AP774">
        <v>770</v>
      </c>
      <c r="AQ774">
        <f t="shared" si="5565"/>
        <v>86</v>
      </c>
      <c r="AR774">
        <v>13</v>
      </c>
      <c r="AS774" s="17">
        <f t="shared" si="5180"/>
        <v>490</v>
      </c>
      <c r="AT774">
        <v>12</v>
      </c>
      <c r="AU774">
        <f t="shared" si="5566"/>
        <v>36</v>
      </c>
      <c r="AV774">
        <v>150</v>
      </c>
      <c r="AW774">
        <f t="shared" si="5567"/>
        <v>138829.82400000002</v>
      </c>
      <c r="AX774">
        <f t="shared" si="5230"/>
        <v>787200000</v>
      </c>
      <c r="AY774">
        <f t="shared" si="5568"/>
        <v>13119.999999999998</v>
      </c>
      <c r="AZ774">
        <f t="shared" si="5569"/>
        <v>26239.999999999996</v>
      </c>
      <c r="BA774">
        <f t="shared" si="5570"/>
        <v>153600.00000000003</v>
      </c>
      <c r="BB774">
        <f t="shared" si="5571"/>
        <v>6559.9999999999991</v>
      </c>
      <c r="BC774">
        <f t="shared" si="5231"/>
        <v>787200000</v>
      </c>
      <c r="BD774">
        <f t="shared" si="5572"/>
        <v>0.29411764705882354</v>
      </c>
      <c r="BE774" s="27">
        <f t="shared" si="5232"/>
        <v>1843559424</v>
      </c>
      <c r="BF774" s="30">
        <f t="shared" si="5573"/>
        <v>0.50639999999999996</v>
      </c>
      <c r="BG774" s="27"/>
      <c r="BH774" s="27"/>
      <c r="BI774" s="27"/>
      <c r="CA774" s="20">
        <f t="shared" si="5574"/>
        <v>525</v>
      </c>
      <c r="CB774" s="20">
        <f t="shared" si="5575"/>
        <v>52500</v>
      </c>
    </row>
    <row r="775" spans="1:80" x14ac:dyDescent="0.15">
      <c r="A775">
        <v>8607</v>
      </c>
      <c r="B775" s="3" t="s">
        <v>126</v>
      </c>
      <c r="C775" s="4" t="s">
        <v>109</v>
      </c>
      <c r="D775" s="4" t="s">
        <v>110</v>
      </c>
      <c r="E775" s="5">
        <v>2</v>
      </c>
      <c r="F775" s="7" t="s">
        <v>143</v>
      </c>
      <c r="G775" s="5">
        <v>3</v>
      </c>
      <c r="H775" s="7" t="s">
        <v>193</v>
      </c>
      <c r="I775" s="5">
        <v>0</v>
      </c>
      <c r="J775" s="5">
        <v>0</v>
      </c>
      <c r="K775">
        <v>2</v>
      </c>
      <c r="L775">
        <v>1.5</v>
      </c>
      <c r="M775" s="5">
        <v>1.5</v>
      </c>
      <c r="N775" s="5">
        <v>10</v>
      </c>
      <c r="O775" s="5">
        <f t="shared" si="5555"/>
        <v>140218</v>
      </c>
      <c r="P775" s="5">
        <f t="shared" si="5556"/>
        <v>795072000</v>
      </c>
      <c r="Q775" s="5">
        <f t="shared" si="5557"/>
        <v>13251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70071</v>
      </c>
      <c r="X775" s="6" t="s">
        <v>185</v>
      </c>
      <c r="Y775" s="5">
        <v>300</v>
      </c>
      <c r="Z775" s="5">
        <v>1</v>
      </c>
      <c r="AA775" s="5">
        <v>395910144</v>
      </c>
      <c r="AB775" s="16" t="s">
        <v>111</v>
      </c>
      <c r="AC775" s="7" t="s">
        <v>112</v>
      </c>
      <c r="AD775" s="7" t="s">
        <v>112</v>
      </c>
      <c r="AE775" s="7" t="s">
        <v>112</v>
      </c>
      <c r="AF775" s="6" t="s">
        <v>113</v>
      </c>
      <c r="AG775" s="26" t="str">
        <f t="shared" ref="AG775" si="5583">CM$10</f>
        <v>4,14,28,14,6,4,14,28,14,6</v>
      </c>
      <c r="AH775" s="26" t="str">
        <f t="shared" ref="AH775" si="5584">CN$10</f>
        <v>0,0,0,0,1,0,0,0,0,1</v>
      </c>
      <c r="AI775" s="26" t="str">
        <f t="shared" ref="AI775" si="5585">CO$10</f>
        <v>0,0,0,0,1,0,0,0,0,1</v>
      </c>
      <c r="AJ775" s="26" t="str">
        <f t="shared" ref="AJ775" si="5586">CP$10</f>
        <v>0,0,0,0,5,0,0,0,0,5</v>
      </c>
      <c r="AK775" s="26" t="str">
        <f t="shared" ref="AK775" si="5587">CQ$10</f>
        <v>200,1,1000,2,5,200,1,1000,2,5</v>
      </c>
      <c r="AL775" s="26" t="str">
        <f t="shared" ref="AL775" si="5588">CR$10</f>
        <v>5,5,5,5,5,5,5,5,5,5</v>
      </c>
      <c r="AM775" s="7">
        <v>2001</v>
      </c>
      <c r="AO775">
        <f t="shared" ref="AO775" si="5589">AQ775*100+7</f>
        <v>8607</v>
      </c>
      <c r="AP775">
        <v>771</v>
      </c>
      <c r="AQ775">
        <f t="shared" si="5565"/>
        <v>86</v>
      </c>
      <c r="AR775">
        <v>13</v>
      </c>
      <c r="AS775" s="17">
        <f t="shared" si="5180"/>
        <v>495</v>
      </c>
      <c r="AT775">
        <v>12</v>
      </c>
      <c r="AU775">
        <f t="shared" si="5566"/>
        <v>36</v>
      </c>
      <c r="AV775">
        <v>150</v>
      </c>
      <c r="AW775">
        <f t="shared" si="5567"/>
        <v>140218.12224000003</v>
      </c>
      <c r="AX775">
        <f t="shared" si="5230"/>
        <v>795072000</v>
      </c>
      <c r="AY775">
        <f t="shared" si="5568"/>
        <v>13251.199999999999</v>
      </c>
      <c r="AZ775">
        <f t="shared" si="5569"/>
        <v>26502.399999999998</v>
      </c>
      <c r="BA775">
        <f t="shared" si="5570"/>
        <v>155136.00000000003</v>
      </c>
      <c r="BB775">
        <f t="shared" si="5571"/>
        <v>6625.5999999999995</v>
      </c>
      <c r="BC775">
        <f t="shared" si="5231"/>
        <v>795072000</v>
      </c>
      <c r="BD775">
        <f t="shared" si="5572"/>
        <v>0.29411764705882354</v>
      </c>
      <c r="BE775" s="27">
        <f t="shared" si="5232"/>
        <v>1880614968.4224002</v>
      </c>
      <c r="BF775" s="30">
        <f t="shared" si="5573"/>
        <v>0.50639999999999996</v>
      </c>
      <c r="BG775" s="27"/>
      <c r="BH775" s="27"/>
      <c r="BI775" s="27"/>
      <c r="CA775" s="20">
        <f t="shared" si="5574"/>
        <v>525</v>
      </c>
      <c r="CB775" s="20">
        <f t="shared" si="5575"/>
        <v>52500</v>
      </c>
    </row>
    <row r="776" spans="1:80" x14ac:dyDescent="0.15">
      <c r="A776">
        <v>8608</v>
      </c>
      <c r="B776" s="3" t="s">
        <v>128</v>
      </c>
      <c r="C776" s="4" t="s">
        <v>109</v>
      </c>
      <c r="D776" s="4" t="s">
        <v>110</v>
      </c>
      <c r="E776" s="5">
        <v>5</v>
      </c>
      <c r="F776" s="7" t="s">
        <v>129</v>
      </c>
      <c r="G776" s="5">
        <v>2</v>
      </c>
      <c r="H776" s="7" t="s">
        <v>130</v>
      </c>
      <c r="I776" s="5">
        <v>0</v>
      </c>
      <c r="J776" s="5">
        <v>0</v>
      </c>
      <c r="K776">
        <v>2</v>
      </c>
      <c r="L776">
        <v>1.5</v>
      </c>
      <c r="M776" s="5">
        <v>1.5</v>
      </c>
      <c r="N776" s="5">
        <v>10</v>
      </c>
      <c r="O776" s="5">
        <f t="shared" si="5555"/>
        <v>141606</v>
      </c>
      <c r="P776" s="5">
        <f t="shared" si="5556"/>
        <v>802944000</v>
      </c>
      <c r="Q776" s="5">
        <f t="shared" si="5557"/>
        <v>13382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70081</v>
      </c>
      <c r="X776" s="6" t="s">
        <v>186</v>
      </c>
      <c r="Y776" s="5">
        <v>300</v>
      </c>
      <c r="Z776" s="5">
        <v>1</v>
      </c>
      <c r="AA776" s="5">
        <v>404288963</v>
      </c>
      <c r="AB776" s="16" t="s">
        <v>111</v>
      </c>
      <c r="AC776" s="7" t="s">
        <v>112</v>
      </c>
      <c r="AD776" s="7" t="s">
        <v>112</v>
      </c>
      <c r="AE776" s="7" t="s">
        <v>112</v>
      </c>
      <c r="AF776" s="6" t="s">
        <v>113</v>
      </c>
      <c r="AG776" s="26" t="str">
        <f t="shared" ref="AG776" si="5590">CM$11</f>
        <v>4,28,6,28,6,4,28,6,28,6</v>
      </c>
      <c r="AH776" s="26" t="str">
        <f t="shared" ref="AH776" si="5591">CN$11</f>
        <v>0,0,1,0,1,0,0,1,0,1</v>
      </c>
      <c r="AI776" s="26" t="str">
        <f t="shared" ref="AI776" si="5592">CO$11</f>
        <v>0,0,1,0,1,0,0,1,0,1</v>
      </c>
      <c r="AJ776" s="26" t="str">
        <f t="shared" ref="AJ776" si="5593">CP$11</f>
        <v>0,0,5,0,5,0,0,5,0,5</v>
      </c>
      <c r="AK776" s="26" t="str">
        <f t="shared" ref="AK776" si="5594">CQ$11</f>
        <v>100,1000,5,1500,5,200,1000,5,1500,5</v>
      </c>
      <c r="AL776" s="26" t="str">
        <f t="shared" ref="AL776" si="5595">CR$11</f>
        <v>5,5,5,5,5,5,5,5,5,5</v>
      </c>
      <c r="AM776" s="7">
        <v>2001</v>
      </c>
      <c r="AO776">
        <f t="shared" ref="AO776" si="5596">AQ776*100+8</f>
        <v>8608</v>
      </c>
      <c r="AP776">
        <v>772</v>
      </c>
      <c r="AQ776">
        <f t="shared" si="5565"/>
        <v>86</v>
      </c>
      <c r="AR776">
        <v>13</v>
      </c>
      <c r="AS776" s="17">
        <f t="shared" si="5180"/>
        <v>500</v>
      </c>
      <c r="AT776">
        <v>12</v>
      </c>
      <c r="AU776">
        <f t="shared" si="5566"/>
        <v>36</v>
      </c>
      <c r="AV776">
        <v>150</v>
      </c>
      <c r="AW776">
        <f t="shared" si="5567"/>
        <v>141606.42048</v>
      </c>
      <c r="AX776">
        <f t="shared" si="5230"/>
        <v>802944000</v>
      </c>
      <c r="AY776">
        <f t="shared" si="5568"/>
        <v>13382.4</v>
      </c>
      <c r="AZ776">
        <f t="shared" si="5569"/>
        <v>26764.799999999999</v>
      </c>
      <c r="BA776">
        <f t="shared" si="5570"/>
        <v>156672.00000000003</v>
      </c>
      <c r="BB776">
        <f t="shared" si="5571"/>
        <v>6691.2</v>
      </c>
      <c r="BC776">
        <f t="shared" si="5231"/>
        <v>802944000</v>
      </c>
      <c r="BD776">
        <f t="shared" si="5572"/>
        <v>0.29411764705882354</v>
      </c>
      <c r="BE776" s="27">
        <f t="shared" si="5232"/>
        <v>1918039224.7296002</v>
      </c>
      <c r="BF776" s="30">
        <f t="shared" si="5573"/>
        <v>0.50639999999999996</v>
      </c>
      <c r="BG776" s="27"/>
      <c r="BH776" s="27"/>
      <c r="BI776" s="27"/>
      <c r="CA776" s="20">
        <f t="shared" si="5574"/>
        <v>525</v>
      </c>
      <c r="CB776" s="20">
        <f t="shared" si="5575"/>
        <v>52500</v>
      </c>
    </row>
    <row r="777" spans="1:80" x14ac:dyDescent="0.15">
      <c r="A777">
        <v>8609</v>
      </c>
      <c r="B777" s="3" t="s">
        <v>132</v>
      </c>
      <c r="C777" s="4" t="s">
        <v>109</v>
      </c>
      <c r="D777" s="4" t="s">
        <v>110</v>
      </c>
      <c r="E777" s="5">
        <v>5</v>
      </c>
      <c r="F777" s="7" t="s">
        <v>140</v>
      </c>
      <c r="G777" s="5">
        <v>3</v>
      </c>
      <c r="H777" s="7" t="s">
        <v>140</v>
      </c>
      <c r="I777" s="5">
        <v>0</v>
      </c>
      <c r="J777" s="7">
        <v>0</v>
      </c>
      <c r="K777">
        <v>6</v>
      </c>
      <c r="L777">
        <v>1.5</v>
      </c>
      <c r="M777" s="5">
        <v>1.5</v>
      </c>
      <c r="N777" s="5">
        <v>10</v>
      </c>
      <c r="O777" s="5">
        <f t="shared" si="5555"/>
        <v>142994</v>
      </c>
      <c r="P777" s="5">
        <f t="shared" si="5556"/>
        <v>810816000</v>
      </c>
      <c r="Q777" s="5">
        <f t="shared" si="5557"/>
        <v>13513</v>
      </c>
      <c r="R777" s="5">
        <v>0</v>
      </c>
      <c r="S777" s="5">
        <v>0</v>
      </c>
      <c r="T777" s="5">
        <v>0</v>
      </c>
      <c r="U777" s="5">
        <v>0</v>
      </c>
      <c r="V777" s="5">
        <v>0</v>
      </c>
      <c r="W777" s="5">
        <v>70091</v>
      </c>
      <c r="X777" s="6" t="s">
        <v>187</v>
      </c>
      <c r="Y777" s="5">
        <v>300</v>
      </c>
      <c r="Z777" s="5">
        <v>1</v>
      </c>
      <c r="AA777" s="5">
        <v>412755517</v>
      </c>
      <c r="AB777" s="16" t="s">
        <v>111</v>
      </c>
      <c r="AC777" s="7" t="s">
        <v>112</v>
      </c>
      <c r="AD777" s="7" t="s">
        <v>112</v>
      </c>
      <c r="AE777" s="7" t="s">
        <v>112</v>
      </c>
      <c r="AF777" s="6" t="s">
        <v>113</v>
      </c>
      <c r="AG777" s="26" t="str">
        <f t="shared" ref="AG777" si="5597">CM$12</f>
        <v>4,33,28,33,6,4,33,28,33,6</v>
      </c>
      <c r="AH777" s="26" t="str">
        <f t="shared" ref="AH777" si="5598">CN$12</f>
        <v>0,5,0,5,1,0,5,0,5,1</v>
      </c>
      <c r="AI777" s="26" t="str">
        <f t="shared" ref="AI777" si="5599">CO$12</f>
        <v>0,0,0,0,1,0,0,0,0,1</v>
      </c>
      <c r="AJ777" s="26" t="str">
        <f t="shared" ref="AJ777" si="5600">CP$12</f>
        <v>0,0,0,0,5,0,0,0,0,5</v>
      </c>
      <c r="AK777" s="26" t="str">
        <f t="shared" ref="AK777" si="5601">CQ$12</f>
        <v>100,1,1000,2,5,200,1,1000,2,5</v>
      </c>
      <c r="AL777" s="26" t="str">
        <f t="shared" ref="AL777" si="5602">CR$12</f>
        <v>5,5,5,5,5,5,5,5,5,5</v>
      </c>
      <c r="AM777" s="7">
        <v>2001</v>
      </c>
      <c r="AO777">
        <f t="shared" ref="AO777" si="5603">AQ777*100+9</f>
        <v>8609</v>
      </c>
      <c r="AP777">
        <v>773</v>
      </c>
      <c r="AQ777">
        <f t="shared" si="5565"/>
        <v>86</v>
      </c>
      <c r="AR777">
        <v>13</v>
      </c>
      <c r="AS777" s="17">
        <f t="shared" si="5180"/>
        <v>505</v>
      </c>
      <c r="AT777">
        <v>12</v>
      </c>
      <c r="AU777">
        <f t="shared" si="5566"/>
        <v>36</v>
      </c>
      <c r="AV777">
        <v>150</v>
      </c>
      <c r="AW777">
        <f t="shared" si="5567"/>
        <v>142994.71872000003</v>
      </c>
      <c r="AX777">
        <f t="shared" si="5230"/>
        <v>810816000</v>
      </c>
      <c r="AY777">
        <f t="shared" si="5568"/>
        <v>13513.599999999999</v>
      </c>
      <c r="AZ777">
        <f t="shared" si="5569"/>
        <v>27027.199999999997</v>
      </c>
      <c r="BA777">
        <f t="shared" si="5570"/>
        <v>158208.00000000003</v>
      </c>
      <c r="BB777">
        <f t="shared" si="5571"/>
        <v>6756.7999999999993</v>
      </c>
      <c r="BC777">
        <f t="shared" si="5231"/>
        <v>810816000</v>
      </c>
      <c r="BD777">
        <f t="shared" si="5572"/>
        <v>0.29411764705882354</v>
      </c>
      <c r="BE777" s="27">
        <f t="shared" si="5232"/>
        <v>1955832192.9216001</v>
      </c>
      <c r="BF777" s="30">
        <f t="shared" si="5573"/>
        <v>0.50639999999999996</v>
      </c>
      <c r="BG777" s="27"/>
      <c r="BH777" s="27"/>
      <c r="BI777" s="27"/>
      <c r="CA777" s="20">
        <f t="shared" si="5574"/>
        <v>525</v>
      </c>
      <c r="CB777" s="20">
        <f t="shared" si="5575"/>
        <v>52500</v>
      </c>
    </row>
    <row r="778" spans="1:80" x14ac:dyDescent="0.15">
      <c r="A778">
        <v>8701</v>
      </c>
      <c r="B778" s="3" t="s">
        <v>108</v>
      </c>
      <c r="C778" s="4" t="s">
        <v>109</v>
      </c>
      <c r="D778" s="4" t="s">
        <v>110</v>
      </c>
      <c r="E778" s="5">
        <v>3</v>
      </c>
      <c r="F778" s="7" t="s">
        <v>141</v>
      </c>
      <c r="G778" s="5">
        <v>2.5</v>
      </c>
      <c r="H778" s="7" t="s">
        <v>194</v>
      </c>
      <c r="I778" s="5">
        <v>0</v>
      </c>
      <c r="J778" s="5">
        <v>0</v>
      </c>
      <c r="K778">
        <v>2</v>
      </c>
      <c r="L778">
        <v>1.5</v>
      </c>
      <c r="M778" s="5">
        <v>1.5</v>
      </c>
      <c r="N778" s="5">
        <v>10</v>
      </c>
      <c r="O778" s="5">
        <f t="shared" si="5555"/>
        <v>133488</v>
      </c>
      <c r="P778" s="5">
        <f t="shared" si="5556"/>
        <v>755712000</v>
      </c>
      <c r="Q778" s="5">
        <f t="shared" si="5557"/>
        <v>12595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70011</v>
      </c>
      <c r="X778" s="6" t="s">
        <v>179</v>
      </c>
      <c r="Y778" s="5">
        <v>300</v>
      </c>
      <c r="Z778" s="5">
        <v>1</v>
      </c>
      <c r="AA778" s="5">
        <v>421309809</v>
      </c>
      <c r="AB778" s="16" t="s">
        <v>111</v>
      </c>
      <c r="AC778" s="7" t="s">
        <v>112</v>
      </c>
      <c r="AD778" s="7" t="s">
        <v>112</v>
      </c>
      <c r="AE778" s="7" t="s">
        <v>112</v>
      </c>
      <c r="AF778" s="6" t="s">
        <v>113</v>
      </c>
      <c r="AG778" s="26" t="str">
        <f t="shared" ref="AG778" si="5604">CM$4</f>
        <v>4,33,28,33,6,4,33,28,33,6</v>
      </c>
      <c r="AH778" s="26" t="str">
        <f t="shared" ref="AH778" si="5605">CN$4</f>
        <v>0,8,0,8,1,0,8,0,8,1</v>
      </c>
      <c r="AI778" s="26" t="str">
        <f t="shared" ref="AI778" si="5606">CO$4</f>
        <v>0,0,0,0,1,0,0,0,0,1</v>
      </c>
      <c r="AJ778" s="26" t="str">
        <f t="shared" ref="AJ778" si="5607">CP$4</f>
        <v>0,0,0,0,5,0,0,0,0,5</v>
      </c>
      <c r="AK778" s="26" t="str">
        <f t="shared" ref="AK778" si="5608">CQ$4</f>
        <v>100,1,1000,2,5,200,1,1000,2,5</v>
      </c>
      <c r="AL778" s="26" t="str">
        <f t="shared" ref="AL778" si="5609">CR$4</f>
        <v>5,5,5,5,5,5,5,5,5,5</v>
      </c>
      <c r="AM778" s="7">
        <v>2001</v>
      </c>
      <c r="AO778">
        <f t="shared" ref="AO778" si="5610">AQ778*100+1</f>
        <v>8701</v>
      </c>
      <c r="AP778">
        <v>774</v>
      </c>
      <c r="AQ778">
        <f t="shared" si="5565"/>
        <v>87</v>
      </c>
      <c r="AR778">
        <v>13</v>
      </c>
      <c r="AS778" s="17">
        <f t="shared" si="5180"/>
        <v>470</v>
      </c>
      <c r="AT778">
        <v>12</v>
      </c>
      <c r="AU778">
        <f t="shared" si="5566"/>
        <v>36</v>
      </c>
      <c r="AV778">
        <v>150</v>
      </c>
      <c r="AW778">
        <f t="shared" si="5567"/>
        <v>133488.96768000003</v>
      </c>
      <c r="AX778">
        <f t="shared" si="5230"/>
        <v>755711999.99999988</v>
      </c>
      <c r="AY778">
        <f t="shared" si="5568"/>
        <v>12595.199999999999</v>
      </c>
      <c r="AZ778">
        <f t="shared" si="5569"/>
        <v>25190.399999999998</v>
      </c>
      <c r="BA778">
        <f t="shared" si="5570"/>
        <v>147456.00000000003</v>
      </c>
      <c r="BB778">
        <f t="shared" si="5571"/>
        <v>6297.5999999999995</v>
      </c>
      <c r="BC778">
        <f t="shared" si="5231"/>
        <v>755711999.99999988</v>
      </c>
      <c r="BD778">
        <f t="shared" si="5572"/>
        <v>0.29411764705882348</v>
      </c>
      <c r="BE778" s="27">
        <f t="shared" si="5232"/>
        <v>1699024365.1583993</v>
      </c>
      <c r="BF778" s="30">
        <f t="shared" si="5573"/>
        <v>0.50879999999999992</v>
      </c>
      <c r="BG778" s="27"/>
      <c r="BH778" s="27"/>
      <c r="BI778" s="27"/>
      <c r="CA778" s="20">
        <f t="shared" si="5574"/>
        <v>530</v>
      </c>
      <c r="CB778" s="20">
        <f t="shared" si="5575"/>
        <v>53000</v>
      </c>
    </row>
    <row r="779" spans="1:80" x14ac:dyDescent="0.15">
      <c r="A779">
        <v>8702</v>
      </c>
      <c r="B779" s="3" t="s">
        <v>115</v>
      </c>
      <c r="C779" s="4" t="s">
        <v>109</v>
      </c>
      <c r="D779" s="6" t="s">
        <v>110</v>
      </c>
      <c r="E779" s="5">
        <v>3</v>
      </c>
      <c r="F779" s="7" t="s">
        <v>142</v>
      </c>
      <c r="G779" s="5">
        <v>3</v>
      </c>
      <c r="H779" s="7" t="s">
        <v>188</v>
      </c>
      <c r="I779" s="5">
        <v>0</v>
      </c>
      <c r="J779" s="5">
        <v>0</v>
      </c>
      <c r="K779">
        <v>2</v>
      </c>
      <c r="L779">
        <v>1.5</v>
      </c>
      <c r="M779" s="5">
        <v>1.5</v>
      </c>
      <c r="N779" s="5">
        <v>10</v>
      </c>
      <c r="O779" s="5">
        <f t="shared" si="5555"/>
        <v>134879</v>
      </c>
      <c r="P779" s="5">
        <f t="shared" si="5556"/>
        <v>763584000</v>
      </c>
      <c r="Q779" s="5">
        <f t="shared" si="5557"/>
        <v>12726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70021</v>
      </c>
      <c r="X779" s="6" t="s">
        <v>180</v>
      </c>
      <c r="Y779" s="5">
        <v>300</v>
      </c>
      <c r="Z779" s="5">
        <v>1</v>
      </c>
      <c r="AA779" s="5">
        <v>363272233</v>
      </c>
      <c r="AB779" s="16" t="s">
        <v>111</v>
      </c>
      <c r="AC779" s="7" t="s">
        <v>112</v>
      </c>
      <c r="AD779" s="7" t="s">
        <v>112</v>
      </c>
      <c r="AE779" s="7" t="s">
        <v>112</v>
      </c>
      <c r="AF779" s="6" t="s">
        <v>113</v>
      </c>
      <c r="AG779" s="26" t="str">
        <f t="shared" ref="AG779" si="5611">CM$5</f>
        <v>4,33,28,33,6,4,33,28,33,6</v>
      </c>
      <c r="AH779" s="26" t="str">
        <f t="shared" ref="AH779" si="5612">CN$5</f>
        <v>0,7,0,7,1,0,7,0,7,1</v>
      </c>
      <c r="AI779" s="26" t="str">
        <f t="shared" ref="AI779" si="5613">CO$5</f>
        <v>0,0,0,0,1,0,0,0,0,1</v>
      </c>
      <c r="AJ779" s="26" t="str">
        <f t="shared" ref="AJ779" si="5614">CP$5</f>
        <v>0,0,0,0,5,0,0,0,0,5</v>
      </c>
      <c r="AK779" s="26" t="str">
        <f t="shared" ref="AK779" si="5615">CQ$5</f>
        <v>100,1,1000,2,5,200,1,1000,2,5</v>
      </c>
      <c r="AL779" s="26" t="str">
        <f t="shared" ref="AL779" si="5616">CR$5</f>
        <v>5,5,5,5,5,5,5,5,5,5</v>
      </c>
      <c r="AM779" s="7">
        <v>2001</v>
      </c>
      <c r="AO779">
        <f t="shared" ref="AO779" si="5617">AQ779*100+2</f>
        <v>8702</v>
      </c>
      <c r="AP779">
        <v>775</v>
      </c>
      <c r="AQ779">
        <f t="shared" si="5565"/>
        <v>87</v>
      </c>
      <c r="AR779">
        <v>13</v>
      </c>
      <c r="AS779" s="17">
        <f t="shared" si="5180"/>
        <v>475</v>
      </c>
      <c r="AT779">
        <v>12</v>
      </c>
      <c r="AU779">
        <f t="shared" si="5566"/>
        <v>36</v>
      </c>
      <c r="AV779">
        <v>150</v>
      </c>
      <c r="AW779">
        <f t="shared" si="5567"/>
        <v>134879.47776000001</v>
      </c>
      <c r="AX779">
        <f t="shared" si="5230"/>
        <v>763584000</v>
      </c>
      <c r="AY779">
        <f t="shared" si="5568"/>
        <v>12726.4</v>
      </c>
      <c r="AZ779">
        <f t="shared" si="5569"/>
        <v>25452.799999999999</v>
      </c>
      <c r="BA779">
        <f t="shared" si="5570"/>
        <v>148992.00000000003</v>
      </c>
      <c r="BB779">
        <f t="shared" si="5571"/>
        <v>6363.2</v>
      </c>
      <c r="BC779">
        <f t="shared" si="5231"/>
        <v>763584000</v>
      </c>
      <c r="BD779">
        <f t="shared" si="5572"/>
        <v>0.29411764705882354</v>
      </c>
      <c r="BE779" s="27">
        <f t="shared" si="5232"/>
        <v>1734605062.0416002</v>
      </c>
      <c r="BF779" s="30">
        <f t="shared" si="5573"/>
        <v>0.50879999999999992</v>
      </c>
      <c r="BG779" s="27"/>
      <c r="BH779" s="27"/>
      <c r="BI779" s="27"/>
      <c r="CA779" s="20">
        <f t="shared" si="5574"/>
        <v>530</v>
      </c>
      <c r="CB779" s="20">
        <f t="shared" si="5575"/>
        <v>53000</v>
      </c>
    </row>
    <row r="780" spans="1:80" x14ac:dyDescent="0.15">
      <c r="A780">
        <v>8703</v>
      </c>
      <c r="B780" s="3" t="s">
        <v>117</v>
      </c>
      <c r="C780" s="4" t="s">
        <v>109</v>
      </c>
      <c r="D780" s="4" t="s">
        <v>110</v>
      </c>
      <c r="E780" s="5">
        <v>1</v>
      </c>
      <c r="F780" s="7" t="s">
        <v>144</v>
      </c>
      <c r="G780" s="5">
        <v>3</v>
      </c>
      <c r="H780" s="7" t="s">
        <v>189</v>
      </c>
      <c r="I780" s="5">
        <v>0</v>
      </c>
      <c r="J780" s="2">
        <v>0</v>
      </c>
      <c r="K780">
        <v>6</v>
      </c>
      <c r="L780">
        <v>1.5</v>
      </c>
      <c r="M780" s="5">
        <v>1.5</v>
      </c>
      <c r="N780" s="5">
        <v>10</v>
      </c>
      <c r="O780" s="5">
        <f t="shared" si="5555"/>
        <v>136269</v>
      </c>
      <c r="P780" s="5">
        <f t="shared" si="5556"/>
        <v>771456000</v>
      </c>
      <c r="Q780" s="5">
        <f t="shared" si="5557"/>
        <v>12857</v>
      </c>
      <c r="R780" s="5">
        <v>0</v>
      </c>
      <c r="S780" s="5">
        <v>0</v>
      </c>
      <c r="T780" s="5">
        <v>0</v>
      </c>
      <c r="U780" s="5">
        <v>0</v>
      </c>
      <c r="V780" s="5">
        <v>0</v>
      </c>
      <c r="W780" s="5">
        <v>70031</v>
      </c>
      <c r="X780" s="6" t="s">
        <v>181</v>
      </c>
      <c r="Y780" s="5">
        <v>300</v>
      </c>
      <c r="Z780" s="5">
        <v>1</v>
      </c>
      <c r="AA780" s="5">
        <v>371300106</v>
      </c>
      <c r="AB780" s="16" t="s">
        <v>111</v>
      </c>
      <c r="AC780" s="7" t="s">
        <v>112</v>
      </c>
      <c r="AD780" s="7" t="s">
        <v>112</v>
      </c>
      <c r="AE780" s="7" t="s">
        <v>112</v>
      </c>
      <c r="AF780" s="6" t="s">
        <v>113</v>
      </c>
      <c r="AG780" s="26" t="str">
        <f t="shared" ref="AG780" si="5618">CM$6</f>
        <v>4,28,6,28,6,4,28,6,28,6</v>
      </c>
      <c r="AH780" s="26" t="str">
        <f t="shared" ref="AH780" si="5619">CN$6</f>
        <v>0,0,1,0,1,0,0,1,0,1</v>
      </c>
      <c r="AI780" s="26" t="str">
        <f t="shared" ref="AI780" si="5620">CO$6</f>
        <v>0,0,0,0,1,0,0,0,0,1</v>
      </c>
      <c r="AJ780" s="26" t="str">
        <f t="shared" ref="AJ780" si="5621">CP$6</f>
        <v>0,0,5,0,5,0,0,5,0,5</v>
      </c>
      <c r="AK780" s="26" t="str">
        <f t="shared" ref="AK780" si="5622">CQ$6</f>
        <v>100,1000,5,1500,5,200,1000,5,1500,5</v>
      </c>
      <c r="AL780" s="26" t="str">
        <f t="shared" ref="AL780" si="5623">CR$6</f>
        <v>5,5,5,5,5,5,5,5,5,5</v>
      </c>
      <c r="AM780" s="7">
        <v>2001</v>
      </c>
      <c r="AO780">
        <f t="shared" ref="AO780" si="5624">AQ780*100+3</f>
        <v>8703</v>
      </c>
      <c r="AP780">
        <v>776</v>
      </c>
      <c r="AQ780">
        <f t="shared" si="5565"/>
        <v>87</v>
      </c>
      <c r="AR780">
        <v>13</v>
      </c>
      <c r="AS780" s="17">
        <f t="shared" si="5180"/>
        <v>480</v>
      </c>
      <c r="AT780">
        <v>12</v>
      </c>
      <c r="AU780">
        <f t="shared" si="5566"/>
        <v>36</v>
      </c>
      <c r="AV780">
        <v>150</v>
      </c>
      <c r="AW780">
        <f t="shared" si="5567"/>
        <v>136269.98784000002</v>
      </c>
      <c r="AX780">
        <f t="shared" si="5230"/>
        <v>771456000</v>
      </c>
      <c r="AY780">
        <f t="shared" si="5568"/>
        <v>12857.599999999999</v>
      </c>
      <c r="AZ780">
        <f t="shared" si="5569"/>
        <v>25715.199999999997</v>
      </c>
      <c r="BA780">
        <f t="shared" si="5570"/>
        <v>150528.00000000003</v>
      </c>
      <c r="BB780">
        <f t="shared" si="5571"/>
        <v>6428.7999999999993</v>
      </c>
      <c r="BC780">
        <f t="shared" si="5231"/>
        <v>771456000</v>
      </c>
      <c r="BD780">
        <f t="shared" si="5572"/>
        <v>0.29411764705882354</v>
      </c>
      <c r="BE780" s="27">
        <f t="shared" si="5232"/>
        <v>1770554470.8096001</v>
      </c>
      <c r="BF780" s="30">
        <f t="shared" si="5573"/>
        <v>0.50879999999999992</v>
      </c>
      <c r="BG780" s="27"/>
      <c r="BH780" s="27"/>
      <c r="BI780" s="27"/>
      <c r="CA780" s="20">
        <f t="shared" si="5574"/>
        <v>530</v>
      </c>
      <c r="CB780" s="20">
        <f t="shared" si="5575"/>
        <v>53000</v>
      </c>
    </row>
    <row r="781" spans="1:80" x14ac:dyDescent="0.15">
      <c r="A781">
        <v>8704</v>
      </c>
      <c r="B781" s="3" t="s">
        <v>119</v>
      </c>
      <c r="C781" s="4" t="s">
        <v>109</v>
      </c>
      <c r="D781" s="6" t="s">
        <v>120</v>
      </c>
      <c r="E781" s="5">
        <v>3</v>
      </c>
      <c r="F781" s="7" t="s">
        <v>145</v>
      </c>
      <c r="G781" s="5">
        <v>3</v>
      </c>
      <c r="H781" s="7" t="s">
        <v>190</v>
      </c>
      <c r="I781" s="5">
        <v>0</v>
      </c>
      <c r="J781" s="5">
        <v>0</v>
      </c>
      <c r="K781">
        <v>2</v>
      </c>
      <c r="L781">
        <v>1.5</v>
      </c>
      <c r="M781" s="5">
        <v>1.5</v>
      </c>
      <c r="N781" s="5">
        <v>10</v>
      </c>
      <c r="O781" s="5">
        <f t="shared" si="5555"/>
        <v>137660</v>
      </c>
      <c r="P781" s="5">
        <f t="shared" si="5556"/>
        <v>779328000</v>
      </c>
      <c r="Q781" s="5">
        <f t="shared" si="5557"/>
        <v>12988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70041</v>
      </c>
      <c r="X781" s="6" t="s">
        <v>182</v>
      </c>
      <c r="Y781" s="5">
        <v>300</v>
      </c>
      <c r="Z781" s="5">
        <v>1</v>
      </c>
      <c r="AA781" s="5">
        <v>379415716</v>
      </c>
      <c r="AB781" s="16" t="s">
        <v>111</v>
      </c>
      <c r="AC781" s="7" t="s">
        <v>112</v>
      </c>
      <c r="AD781" s="7" t="s">
        <v>112</v>
      </c>
      <c r="AE781" s="7" t="s">
        <v>112</v>
      </c>
      <c r="AF781" s="6" t="s">
        <v>113</v>
      </c>
      <c r="AG781" s="26" t="str">
        <f t="shared" ref="AG781" si="5625">CM$7</f>
        <v>4,14,28,14,6,4,14,28,14,6</v>
      </c>
      <c r="AH781" s="26" t="str">
        <f t="shared" ref="AH781" si="5626">CN$7</f>
        <v>0,0,0,0,1,0,0,0,0,1</v>
      </c>
      <c r="AI781" s="26" t="str">
        <f t="shared" ref="AI781" si="5627">CO$7</f>
        <v>0,0,0,0,1,0,0,0,0,1</v>
      </c>
      <c r="AJ781" s="26" t="str">
        <f t="shared" ref="AJ781" si="5628">CP$7</f>
        <v>0,0,0,0,5,0,0,0,0,5</v>
      </c>
      <c r="AK781" s="26" t="str">
        <f t="shared" ref="AK781" si="5629">CQ$7</f>
        <v>100,1,1000,2,5,200,1,1000,2,5</v>
      </c>
      <c r="AL781" s="26" t="str">
        <f t="shared" ref="AL781" si="5630">CR$7</f>
        <v>5,5,5,5,5,5,5,5,5,5</v>
      </c>
      <c r="AM781" s="7">
        <v>2001</v>
      </c>
      <c r="AO781">
        <f t="shared" ref="AO781" si="5631">AQ781*100+4</f>
        <v>8704</v>
      </c>
      <c r="AP781">
        <v>777</v>
      </c>
      <c r="AQ781">
        <f t="shared" si="5565"/>
        <v>87</v>
      </c>
      <c r="AR781">
        <v>13</v>
      </c>
      <c r="AS781" s="17">
        <f t="shared" si="5180"/>
        <v>485</v>
      </c>
      <c r="AT781">
        <v>12</v>
      </c>
      <c r="AU781">
        <f t="shared" si="5566"/>
        <v>36</v>
      </c>
      <c r="AV781">
        <v>150</v>
      </c>
      <c r="AW781">
        <f t="shared" si="5567"/>
        <v>137660.49791999999</v>
      </c>
      <c r="AX781">
        <f t="shared" si="5230"/>
        <v>779328000</v>
      </c>
      <c r="AY781">
        <f t="shared" si="5568"/>
        <v>12988.8</v>
      </c>
      <c r="AZ781">
        <f t="shared" si="5569"/>
        <v>25977.599999999999</v>
      </c>
      <c r="BA781">
        <f t="shared" si="5570"/>
        <v>152064.00000000003</v>
      </c>
      <c r="BB781">
        <f t="shared" si="5571"/>
        <v>6494.4</v>
      </c>
      <c r="BC781">
        <f t="shared" si="5231"/>
        <v>779328000</v>
      </c>
      <c r="BD781">
        <f t="shared" si="5572"/>
        <v>0.29411764705882359</v>
      </c>
      <c r="BE781" s="27">
        <f t="shared" si="5232"/>
        <v>1806872591.4624004</v>
      </c>
      <c r="BF781" s="30">
        <f t="shared" si="5573"/>
        <v>0.50879999999999992</v>
      </c>
      <c r="BG781" s="27"/>
      <c r="BH781" s="27"/>
      <c r="BI781" s="27"/>
      <c r="CA781" s="20">
        <f t="shared" si="5574"/>
        <v>530</v>
      </c>
      <c r="CB781" s="20">
        <f t="shared" si="5575"/>
        <v>53000</v>
      </c>
    </row>
    <row r="782" spans="1:80" x14ac:dyDescent="0.15">
      <c r="A782">
        <v>8705</v>
      </c>
      <c r="B782" s="3" t="s">
        <v>122</v>
      </c>
      <c r="C782" s="4" t="s">
        <v>109</v>
      </c>
      <c r="D782" s="4" t="s">
        <v>110</v>
      </c>
      <c r="E782" s="5">
        <v>2</v>
      </c>
      <c r="F782" s="7" t="s">
        <v>146</v>
      </c>
      <c r="G782" s="5">
        <v>3</v>
      </c>
      <c r="H782" s="7" t="s">
        <v>191</v>
      </c>
      <c r="I782" s="5">
        <v>0</v>
      </c>
      <c r="J782" s="7" t="s">
        <v>148</v>
      </c>
      <c r="K782">
        <v>6</v>
      </c>
      <c r="L782">
        <v>1.5</v>
      </c>
      <c r="M782" s="5">
        <v>1.5</v>
      </c>
      <c r="N782" s="5">
        <v>10</v>
      </c>
      <c r="O782" s="5">
        <f t="shared" si="5555"/>
        <v>139051</v>
      </c>
      <c r="P782" s="5">
        <f t="shared" si="5556"/>
        <v>787200000</v>
      </c>
      <c r="Q782" s="5">
        <f t="shared" si="5557"/>
        <v>13120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70051</v>
      </c>
      <c r="X782" s="6" t="s">
        <v>183</v>
      </c>
      <c r="Y782" s="5">
        <v>300</v>
      </c>
      <c r="Z782" s="5">
        <v>1</v>
      </c>
      <c r="AA782" s="5">
        <v>387619062</v>
      </c>
      <c r="AB782" s="16" t="s">
        <v>111</v>
      </c>
      <c r="AC782" s="7" t="s">
        <v>112</v>
      </c>
      <c r="AD782" s="7" t="s">
        <v>112</v>
      </c>
      <c r="AE782" s="7" t="s">
        <v>112</v>
      </c>
      <c r="AF782" s="6" t="s">
        <v>113</v>
      </c>
      <c r="AG782" s="26" t="str">
        <f t="shared" ref="AG782" si="5632">CM$8</f>
        <v>4,19,28,19,6,4,19,28,19,6</v>
      </c>
      <c r="AH782" s="26" t="str">
        <f t="shared" ref="AH782" si="5633">CN$8</f>
        <v>0,0,0,0,1,0,0,0,0,1</v>
      </c>
      <c r="AI782" s="26" t="str">
        <f t="shared" ref="AI782" si="5634">CO$8</f>
        <v>0,0,0,0,1,0,0,0,0,1</v>
      </c>
      <c r="AJ782" s="26" t="str">
        <f t="shared" ref="AJ782" si="5635">CP$8</f>
        <v>0,0,0,0,5,0,0,0,0,5</v>
      </c>
      <c r="AK782" s="26" t="str">
        <f t="shared" ref="AK782" si="5636">CQ$8</f>
        <v>200,100,1000,200,5,200,100,1000,200,5</v>
      </c>
      <c r="AL782" s="26" t="str">
        <f t="shared" ref="AL782" si="5637">CR$8</f>
        <v>5,5,5,5,5,5,5,5,5,5</v>
      </c>
      <c r="AM782" s="7">
        <v>2001</v>
      </c>
      <c r="AO782">
        <f t="shared" ref="AO782" si="5638">AQ782*100+5</f>
        <v>8705</v>
      </c>
      <c r="AP782">
        <v>778</v>
      </c>
      <c r="AQ782">
        <f t="shared" si="5565"/>
        <v>87</v>
      </c>
      <c r="AR782">
        <v>13</v>
      </c>
      <c r="AS782" s="17">
        <f t="shared" si="5180"/>
        <v>490</v>
      </c>
      <c r="AT782">
        <v>12</v>
      </c>
      <c r="AU782">
        <f t="shared" si="5566"/>
        <v>36</v>
      </c>
      <c r="AV782">
        <v>150</v>
      </c>
      <c r="AW782">
        <f t="shared" si="5567"/>
        <v>139051.008</v>
      </c>
      <c r="AX782">
        <f t="shared" si="5230"/>
        <v>787200000</v>
      </c>
      <c r="AY782">
        <f t="shared" si="5568"/>
        <v>13119.999999999998</v>
      </c>
      <c r="AZ782">
        <f t="shared" si="5569"/>
        <v>26239.999999999996</v>
      </c>
      <c r="BA782">
        <f t="shared" si="5570"/>
        <v>153600.00000000003</v>
      </c>
      <c r="BB782">
        <f t="shared" si="5571"/>
        <v>6559.9999999999991</v>
      </c>
      <c r="BC782">
        <f t="shared" si="5231"/>
        <v>787200000</v>
      </c>
      <c r="BD782">
        <f t="shared" si="5572"/>
        <v>0.29411764705882354</v>
      </c>
      <c r="BE782" s="27">
        <f t="shared" si="5232"/>
        <v>1843559424</v>
      </c>
      <c r="BF782" s="30">
        <f t="shared" si="5573"/>
        <v>0.50879999999999992</v>
      </c>
      <c r="BG782" s="27"/>
      <c r="BH782" s="27"/>
      <c r="BI782" s="27"/>
      <c r="CA782" s="20">
        <f t="shared" si="5574"/>
        <v>530</v>
      </c>
      <c r="CB782" s="20">
        <f t="shared" si="5575"/>
        <v>53000</v>
      </c>
    </row>
    <row r="783" spans="1:80" x14ac:dyDescent="0.15">
      <c r="A783">
        <v>8706</v>
      </c>
      <c r="B783" s="3" t="s">
        <v>124</v>
      </c>
      <c r="C783" s="4" t="s">
        <v>109</v>
      </c>
      <c r="D783" s="6" t="s">
        <v>120</v>
      </c>
      <c r="E783" s="5">
        <v>1</v>
      </c>
      <c r="F783" s="7" t="s">
        <v>147</v>
      </c>
      <c r="G783" s="5">
        <v>3</v>
      </c>
      <c r="H783" s="7" t="s">
        <v>192</v>
      </c>
      <c r="I783" s="5">
        <v>0</v>
      </c>
      <c r="J783" s="7" t="s">
        <v>149</v>
      </c>
      <c r="K783">
        <v>6</v>
      </c>
      <c r="L783">
        <v>1.5</v>
      </c>
      <c r="M783" s="5">
        <v>1.5</v>
      </c>
      <c r="N783" s="5">
        <v>10</v>
      </c>
      <c r="O783" s="5">
        <f t="shared" si="5555"/>
        <v>140441</v>
      </c>
      <c r="P783" s="5">
        <f t="shared" si="5556"/>
        <v>795072000</v>
      </c>
      <c r="Q783" s="5">
        <f t="shared" si="5557"/>
        <v>13251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70061</v>
      </c>
      <c r="X783" s="6" t="s">
        <v>184</v>
      </c>
      <c r="Y783" s="5">
        <v>300</v>
      </c>
      <c r="Z783" s="5">
        <v>1</v>
      </c>
      <c r="AA783" s="5">
        <v>395910144</v>
      </c>
      <c r="AB783" s="16" t="s">
        <v>111</v>
      </c>
      <c r="AC783" s="7" t="s">
        <v>112</v>
      </c>
      <c r="AD783" s="7" t="s">
        <v>112</v>
      </c>
      <c r="AE783" s="7" t="s">
        <v>112</v>
      </c>
      <c r="AF783" s="6" t="s">
        <v>113</v>
      </c>
      <c r="AG783" s="26" t="str">
        <f t="shared" ref="AG783" si="5639">CM$9</f>
        <v>4,33,28,33,6,4,33,28,33,6</v>
      </c>
      <c r="AH783" s="26" t="str">
        <f t="shared" ref="AH783" si="5640">CN$9</f>
        <v>0,6,0,6,1,0,6,0,6,1</v>
      </c>
      <c r="AI783" s="26" t="str">
        <f t="shared" ref="AI783" si="5641">CO$9</f>
        <v>0,0,0,0,1,0,0,0,0,1</v>
      </c>
      <c r="AJ783" s="26" t="str">
        <f t="shared" ref="AJ783" si="5642">CP$9</f>
        <v>0,0,0,0,5,0,0,0,0,5</v>
      </c>
      <c r="AK783" s="26" t="str">
        <f t="shared" ref="AK783" si="5643">CQ$9</f>
        <v>200,1,1000,2,5,200,1,1000,2,5</v>
      </c>
      <c r="AL783" s="26" t="str">
        <f t="shared" ref="AL783" si="5644">CR$9</f>
        <v>5,5,5,5,5,5,5,5,5,5</v>
      </c>
      <c r="AM783" s="7">
        <v>2001</v>
      </c>
      <c r="AO783">
        <f t="shared" ref="AO783" si="5645">AQ783*100+6</f>
        <v>8706</v>
      </c>
      <c r="AP783">
        <v>779</v>
      </c>
      <c r="AQ783">
        <f t="shared" si="5565"/>
        <v>87</v>
      </c>
      <c r="AR783">
        <v>13</v>
      </c>
      <c r="AS783" s="17">
        <f t="shared" ref="AS783:AS846" si="5646">AS774+5</f>
        <v>495</v>
      </c>
      <c r="AT783">
        <v>12</v>
      </c>
      <c r="AU783">
        <f t="shared" si="5566"/>
        <v>36</v>
      </c>
      <c r="AV783">
        <v>150</v>
      </c>
      <c r="AW783">
        <f t="shared" si="5567"/>
        <v>140441.51808000001</v>
      </c>
      <c r="AX783">
        <f t="shared" si="5230"/>
        <v>795072000</v>
      </c>
      <c r="AY783">
        <f t="shared" si="5568"/>
        <v>13251.199999999999</v>
      </c>
      <c r="AZ783">
        <f t="shared" si="5569"/>
        <v>26502.399999999998</v>
      </c>
      <c r="BA783">
        <f t="shared" si="5570"/>
        <v>155136.00000000003</v>
      </c>
      <c r="BB783">
        <f t="shared" si="5571"/>
        <v>6625.5999999999995</v>
      </c>
      <c r="BC783">
        <f t="shared" si="5231"/>
        <v>795072000</v>
      </c>
      <c r="BD783">
        <f t="shared" si="5572"/>
        <v>0.29411764705882354</v>
      </c>
      <c r="BE783" s="27">
        <f t="shared" si="5232"/>
        <v>1880614968.4224002</v>
      </c>
      <c r="BF783" s="30">
        <f t="shared" si="5573"/>
        <v>0.50879999999999992</v>
      </c>
      <c r="BG783" s="27"/>
      <c r="BH783" s="27"/>
      <c r="BI783" s="27"/>
      <c r="CA783" s="20">
        <f t="shared" si="5574"/>
        <v>530</v>
      </c>
      <c r="CB783" s="20">
        <f t="shared" si="5575"/>
        <v>53000</v>
      </c>
    </row>
    <row r="784" spans="1:80" x14ac:dyDescent="0.15">
      <c r="A784">
        <v>8707</v>
      </c>
      <c r="B784" s="3" t="s">
        <v>126</v>
      </c>
      <c r="C784" s="4" t="s">
        <v>109</v>
      </c>
      <c r="D784" s="4" t="s">
        <v>110</v>
      </c>
      <c r="E784" s="5">
        <v>2</v>
      </c>
      <c r="F784" s="7" t="s">
        <v>143</v>
      </c>
      <c r="G784" s="5">
        <v>3</v>
      </c>
      <c r="H784" s="7" t="s">
        <v>193</v>
      </c>
      <c r="I784" s="5">
        <v>0</v>
      </c>
      <c r="J784" s="5">
        <v>0</v>
      </c>
      <c r="K784">
        <v>2</v>
      </c>
      <c r="L784">
        <v>1.5</v>
      </c>
      <c r="M784" s="5">
        <v>1.5</v>
      </c>
      <c r="N784" s="5">
        <v>10</v>
      </c>
      <c r="O784" s="5">
        <f t="shared" si="5555"/>
        <v>141832</v>
      </c>
      <c r="P784" s="5">
        <f t="shared" si="5556"/>
        <v>802944000</v>
      </c>
      <c r="Q784" s="5">
        <f t="shared" si="5557"/>
        <v>13382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70071</v>
      </c>
      <c r="X784" s="6" t="s">
        <v>185</v>
      </c>
      <c r="Y784" s="5">
        <v>300</v>
      </c>
      <c r="Z784" s="5">
        <v>1</v>
      </c>
      <c r="AA784" s="5">
        <v>404288963</v>
      </c>
      <c r="AB784" s="16" t="s">
        <v>111</v>
      </c>
      <c r="AC784" s="7" t="s">
        <v>112</v>
      </c>
      <c r="AD784" s="7" t="s">
        <v>112</v>
      </c>
      <c r="AE784" s="7" t="s">
        <v>112</v>
      </c>
      <c r="AF784" s="6" t="s">
        <v>113</v>
      </c>
      <c r="AG784" s="26" t="str">
        <f t="shared" ref="AG784" si="5647">CM$10</f>
        <v>4,14,28,14,6,4,14,28,14,6</v>
      </c>
      <c r="AH784" s="26" t="str">
        <f t="shared" ref="AH784" si="5648">CN$10</f>
        <v>0,0,0,0,1,0,0,0,0,1</v>
      </c>
      <c r="AI784" s="26" t="str">
        <f t="shared" ref="AI784" si="5649">CO$10</f>
        <v>0,0,0,0,1,0,0,0,0,1</v>
      </c>
      <c r="AJ784" s="26" t="str">
        <f t="shared" ref="AJ784" si="5650">CP$10</f>
        <v>0,0,0,0,5,0,0,0,0,5</v>
      </c>
      <c r="AK784" s="26" t="str">
        <f t="shared" ref="AK784" si="5651">CQ$10</f>
        <v>200,1,1000,2,5,200,1,1000,2,5</v>
      </c>
      <c r="AL784" s="26" t="str">
        <f t="shared" ref="AL784" si="5652">CR$10</f>
        <v>5,5,5,5,5,5,5,5,5,5</v>
      </c>
      <c r="AM784" s="7">
        <v>2001</v>
      </c>
      <c r="AO784">
        <f t="shared" ref="AO784" si="5653">AQ784*100+7</f>
        <v>8707</v>
      </c>
      <c r="AP784">
        <v>780</v>
      </c>
      <c r="AQ784">
        <f t="shared" si="5565"/>
        <v>87</v>
      </c>
      <c r="AR784">
        <v>13</v>
      </c>
      <c r="AS784" s="17">
        <f t="shared" si="5646"/>
        <v>500</v>
      </c>
      <c r="AT784">
        <v>12</v>
      </c>
      <c r="AU784">
        <f t="shared" si="5566"/>
        <v>36</v>
      </c>
      <c r="AV784">
        <v>150</v>
      </c>
      <c r="AW784">
        <f t="shared" si="5567"/>
        <v>141832.02816000002</v>
      </c>
      <c r="AX784">
        <f t="shared" si="5230"/>
        <v>802944000</v>
      </c>
      <c r="AY784">
        <f t="shared" si="5568"/>
        <v>13382.4</v>
      </c>
      <c r="AZ784">
        <f t="shared" si="5569"/>
        <v>26764.799999999999</v>
      </c>
      <c r="BA784">
        <f t="shared" si="5570"/>
        <v>156672.00000000003</v>
      </c>
      <c r="BB784">
        <f t="shared" si="5571"/>
        <v>6691.2</v>
      </c>
      <c r="BC784">
        <f t="shared" si="5231"/>
        <v>802944000</v>
      </c>
      <c r="BD784">
        <f t="shared" si="5572"/>
        <v>0.29411764705882354</v>
      </c>
      <c r="BE784" s="27">
        <f t="shared" si="5232"/>
        <v>1918039224.7296002</v>
      </c>
      <c r="BF784" s="30">
        <f t="shared" si="5573"/>
        <v>0.50879999999999992</v>
      </c>
      <c r="BG784" s="27"/>
      <c r="BH784" s="27"/>
      <c r="BI784" s="27"/>
      <c r="CA784" s="20">
        <f t="shared" si="5574"/>
        <v>530</v>
      </c>
      <c r="CB784" s="20">
        <f t="shared" si="5575"/>
        <v>53000</v>
      </c>
    </row>
    <row r="785" spans="1:80" x14ac:dyDescent="0.15">
      <c r="A785">
        <v>8708</v>
      </c>
      <c r="B785" s="3" t="s">
        <v>128</v>
      </c>
      <c r="C785" s="4" t="s">
        <v>109</v>
      </c>
      <c r="D785" s="4" t="s">
        <v>110</v>
      </c>
      <c r="E785" s="5">
        <v>5</v>
      </c>
      <c r="F785" s="7" t="s">
        <v>129</v>
      </c>
      <c r="G785" s="5">
        <v>2</v>
      </c>
      <c r="H785" s="7" t="s">
        <v>130</v>
      </c>
      <c r="I785" s="5">
        <v>0</v>
      </c>
      <c r="J785" s="5">
        <v>0</v>
      </c>
      <c r="K785">
        <v>2</v>
      </c>
      <c r="L785">
        <v>1.5</v>
      </c>
      <c r="M785" s="5">
        <v>1.5</v>
      </c>
      <c r="N785" s="5">
        <v>10</v>
      </c>
      <c r="O785" s="5">
        <f t="shared" si="5555"/>
        <v>143222</v>
      </c>
      <c r="P785" s="5">
        <f t="shared" si="5556"/>
        <v>810816000</v>
      </c>
      <c r="Q785" s="5">
        <f t="shared" si="5557"/>
        <v>13513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70081</v>
      </c>
      <c r="X785" s="6" t="s">
        <v>186</v>
      </c>
      <c r="Y785" s="5">
        <v>300</v>
      </c>
      <c r="Z785" s="5">
        <v>1</v>
      </c>
      <c r="AA785" s="5">
        <v>412755517</v>
      </c>
      <c r="AB785" s="16" t="s">
        <v>111</v>
      </c>
      <c r="AC785" s="7" t="s">
        <v>112</v>
      </c>
      <c r="AD785" s="7" t="s">
        <v>112</v>
      </c>
      <c r="AE785" s="7" t="s">
        <v>112</v>
      </c>
      <c r="AF785" s="6" t="s">
        <v>113</v>
      </c>
      <c r="AG785" s="26" t="str">
        <f t="shared" ref="AG785" si="5654">CM$11</f>
        <v>4,28,6,28,6,4,28,6,28,6</v>
      </c>
      <c r="AH785" s="26" t="str">
        <f t="shared" ref="AH785" si="5655">CN$11</f>
        <v>0,0,1,0,1,0,0,1,0,1</v>
      </c>
      <c r="AI785" s="26" t="str">
        <f t="shared" ref="AI785" si="5656">CO$11</f>
        <v>0,0,1,0,1,0,0,1,0,1</v>
      </c>
      <c r="AJ785" s="26" t="str">
        <f t="shared" ref="AJ785" si="5657">CP$11</f>
        <v>0,0,5,0,5,0,0,5,0,5</v>
      </c>
      <c r="AK785" s="26" t="str">
        <f t="shared" ref="AK785" si="5658">CQ$11</f>
        <v>100,1000,5,1500,5,200,1000,5,1500,5</v>
      </c>
      <c r="AL785" s="26" t="str">
        <f t="shared" ref="AL785" si="5659">CR$11</f>
        <v>5,5,5,5,5,5,5,5,5,5</v>
      </c>
      <c r="AM785" s="7">
        <v>2001</v>
      </c>
      <c r="AO785">
        <f t="shared" ref="AO785" si="5660">AQ785*100+8</f>
        <v>8708</v>
      </c>
      <c r="AP785">
        <v>781</v>
      </c>
      <c r="AQ785">
        <f t="shared" si="5565"/>
        <v>87</v>
      </c>
      <c r="AR785">
        <v>13</v>
      </c>
      <c r="AS785" s="17">
        <f t="shared" si="5646"/>
        <v>505</v>
      </c>
      <c r="AT785">
        <v>12</v>
      </c>
      <c r="AU785">
        <f t="shared" si="5566"/>
        <v>36</v>
      </c>
      <c r="AV785">
        <v>150</v>
      </c>
      <c r="AW785">
        <f t="shared" si="5567"/>
        <v>143222.53824000002</v>
      </c>
      <c r="AX785">
        <f t="shared" si="5230"/>
        <v>810816000</v>
      </c>
      <c r="AY785">
        <f t="shared" si="5568"/>
        <v>13513.599999999999</v>
      </c>
      <c r="AZ785">
        <f t="shared" si="5569"/>
        <v>27027.199999999997</v>
      </c>
      <c r="BA785">
        <f t="shared" si="5570"/>
        <v>158208.00000000003</v>
      </c>
      <c r="BB785">
        <f t="shared" si="5571"/>
        <v>6756.7999999999993</v>
      </c>
      <c r="BC785">
        <f t="shared" si="5231"/>
        <v>810816000</v>
      </c>
      <c r="BD785">
        <f t="shared" si="5572"/>
        <v>0.29411764705882354</v>
      </c>
      <c r="BE785" s="27">
        <f t="shared" si="5232"/>
        <v>1955832192.9216001</v>
      </c>
      <c r="BF785" s="30">
        <f t="shared" si="5573"/>
        <v>0.50879999999999992</v>
      </c>
      <c r="BG785" s="27"/>
      <c r="BH785" s="27"/>
      <c r="BI785" s="27"/>
      <c r="CA785" s="20">
        <f t="shared" si="5574"/>
        <v>530</v>
      </c>
      <c r="CB785" s="20">
        <f t="shared" si="5575"/>
        <v>53000</v>
      </c>
    </row>
    <row r="786" spans="1:80" x14ac:dyDescent="0.15">
      <c r="A786">
        <v>8709</v>
      </c>
      <c r="B786" s="3" t="s">
        <v>132</v>
      </c>
      <c r="C786" s="4" t="s">
        <v>109</v>
      </c>
      <c r="D786" s="4" t="s">
        <v>110</v>
      </c>
      <c r="E786" s="5">
        <v>5</v>
      </c>
      <c r="F786" s="7" t="s">
        <v>140</v>
      </c>
      <c r="G786" s="5">
        <v>3</v>
      </c>
      <c r="H786" s="7" t="s">
        <v>140</v>
      </c>
      <c r="I786" s="5">
        <v>0</v>
      </c>
      <c r="J786" s="7">
        <v>0</v>
      </c>
      <c r="K786">
        <v>6</v>
      </c>
      <c r="L786">
        <v>1.5</v>
      </c>
      <c r="M786" s="5">
        <v>1.5</v>
      </c>
      <c r="N786" s="5">
        <v>10</v>
      </c>
      <c r="O786" s="5">
        <f t="shared" si="5555"/>
        <v>144613</v>
      </c>
      <c r="P786" s="5">
        <f t="shared" si="5556"/>
        <v>818688000</v>
      </c>
      <c r="Q786" s="5">
        <f t="shared" si="5557"/>
        <v>13644</v>
      </c>
      <c r="R786" s="5">
        <v>0</v>
      </c>
      <c r="S786" s="5">
        <v>0</v>
      </c>
      <c r="T786" s="5">
        <v>0</v>
      </c>
      <c r="U786" s="5">
        <v>0</v>
      </c>
      <c r="V786" s="5">
        <v>0</v>
      </c>
      <c r="W786" s="5">
        <v>70091</v>
      </c>
      <c r="X786" s="6" t="s">
        <v>187</v>
      </c>
      <c r="Y786" s="5">
        <v>300</v>
      </c>
      <c r="Z786" s="5">
        <v>1</v>
      </c>
      <c r="AA786" s="5">
        <v>421309809</v>
      </c>
      <c r="AB786" s="16" t="s">
        <v>111</v>
      </c>
      <c r="AC786" s="7" t="s">
        <v>112</v>
      </c>
      <c r="AD786" s="7" t="s">
        <v>112</v>
      </c>
      <c r="AE786" s="7" t="s">
        <v>112</v>
      </c>
      <c r="AF786" s="6" t="s">
        <v>113</v>
      </c>
      <c r="AG786" s="26" t="str">
        <f t="shared" ref="AG786" si="5661">CM$12</f>
        <v>4,33,28,33,6,4,33,28,33,6</v>
      </c>
      <c r="AH786" s="26" t="str">
        <f t="shared" ref="AH786" si="5662">CN$12</f>
        <v>0,5,0,5,1,0,5,0,5,1</v>
      </c>
      <c r="AI786" s="26" t="str">
        <f t="shared" ref="AI786" si="5663">CO$12</f>
        <v>0,0,0,0,1,0,0,0,0,1</v>
      </c>
      <c r="AJ786" s="26" t="str">
        <f t="shared" ref="AJ786" si="5664">CP$12</f>
        <v>0,0,0,0,5,0,0,0,0,5</v>
      </c>
      <c r="AK786" s="26" t="str">
        <f t="shared" ref="AK786" si="5665">CQ$12</f>
        <v>100,1,1000,2,5,200,1,1000,2,5</v>
      </c>
      <c r="AL786" s="26" t="str">
        <f t="shared" ref="AL786" si="5666">CR$12</f>
        <v>5,5,5,5,5,5,5,5,5,5</v>
      </c>
      <c r="AM786" s="7">
        <v>2001</v>
      </c>
      <c r="AO786">
        <f t="shared" ref="AO786" si="5667">AQ786*100+9</f>
        <v>8709</v>
      </c>
      <c r="AP786">
        <v>782</v>
      </c>
      <c r="AQ786">
        <f t="shared" si="5565"/>
        <v>87</v>
      </c>
      <c r="AR786">
        <v>13</v>
      </c>
      <c r="AS786" s="17">
        <f t="shared" si="5646"/>
        <v>510</v>
      </c>
      <c r="AT786">
        <v>12</v>
      </c>
      <c r="AU786">
        <f t="shared" si="5566"/>
        <v>36</v>
      </c>
      <c r="AV786">
        <v>150</v>
      </c>
      <c r="AW786">
        <f t="shared" si="5567"/>
        <v>144613.04832</v>
      </c>
      <c r="AX786">
        <f t="shared" si="5230"/>
        <v>818688000</v>
      </c>
      <c r="AY786">
        <f t="shared" si="5568"/>
        <v>13644.8</v>
      </c>
      <c r="AZ786">
        <f t="shared" si="5569"/>
        <v>27289.599999999999</v>
      </c>
      <c r="BA786">
        <f t="shared" si="5570"/>
        <v>159744.00000000003</v>
      </c>
      <c r="BB786">
        <f t="shared" si="5571"/>
        <v>6822.4</v>
      </c>
      <c r="BC786">
        <f t="shared" si="5231"/>
        <v>818688000</v>
      </c>
      <c r="BD786">
        <f t="shared" si="5572"/>
        <v>0.29411764705882359</v>
      </c>
      <c r="BE786" s="27">
        <f t="shared" si="5232"/>
        <v>1993993872.9984004</v>
      </c>
      <c r="BF786" s="30">
        <f t="shared" si="5573"/>
        <v>0.50879999999999992</v>
      </c>
      <c r="BG786" s="27"/>
      <c r="BH786" s="27"/>
      <c r="BI786" s="27"/>
      <c r="CA786" s="20">
        <f t="shared" si="5574"/>
        <v>530</v>
      </c>
      <c r="CB786" s="20">
        <f t="shared" si="5575"/>
        <v>53000</v>
      </c>
    </row>
    <row r="787" spans="1:80" x14ac:dyDescent="0.15">
      <c r="A787">
        <v>8801</v>
      </c>
      <c r="B787" s="3" t="s">
        <v>108</v>
      </c>
      <c r="C787" s="4" t="s">
        <v>109</v>
      </c>
      <c r="D787" s="4" t="s">
        <v>110</v>
      </c>
      <c r="E787" s="5">
        <v>3</v>
      </c>
      <c r="F787" s="7" t="s">
        <v>141</v>
      </c>
      <c r="G787" s="5">
        <v>2.5</v>
      </c>
      <c r="H787" s="7" t="s">
        <v>194</v>
      </c>
      <c r="I787" s="5">
        <v>0</v>
      </c>
      <c r="J787" s="5">
        <v>0</v>
      </c>
      <c r="K787">
        <v>2</v>
      </c>
      <c r="L787">
        <v>1.5</v>
      </c>
      <c r="M787" s="5">
        <v>1.5</v>
      </c>
      <c r="N787" s="5">
        <v>10</v>
      </c>
      <c r="O787" s="5">
        <f t="shared" si="5555"/>
        <v>135094</v>
      </c>
      <c r="P787" s="5">
        <f t="shared" si="5556"/>
        <v>763584000</v>
      </c>
      <c r="Q787" s="5">
        <f t="shared" si="5557"/>
        <v>12726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70011</v>
      </c>
      <c r="X787" s="6" t="s">
        <v>179</v>
      </c>
      <c r="Y787" s="5">
        <v>300</v>
      </c>
      <c r="Z787" s="5">
        <v>1</v>
      </c>
      <c r="AA787" s="5">
        <v>429951836</v>
      </c>
      <c r="AB787" s="16" t="s">
        <v>111</v>
      </c>
      <c r="AC787" s="7" t="s">
        <v>112</v>
      </c>
      <c r="AD787" s="7" t="s">
        <v>112</v>
      </c>
      <c r="AE787" s="7" t="s">
        <v>112</v>
      </c>
      <c r="AF787" s="6" t="s">
        <v>113</v>
      </c>
      <c r="AG787" s="26" t="str">
        <f t="shared" ref="AG787" si="5668">CM$4</f>
        <v>4,33,28,33,6,4,33,28,33,6</v>
      </c>
      <c r="AH787" s="26" t="str">
        <f t="shared" ref="AH787" si="5669">CN$4</f>
        <v>0,8,0,8,1,0,8,0,8,1</v>
      </c>
      <c r="AI787" s="26" t="str">
        <f t="shared" ref="AI787" si="5670">CO$4</f>
        <v>0,0,0,0,1,0,0,0,0,1</v>
      </c>
      <c r="AJ787" s="26" t="str">
        <f t="shared" ref="AJ787" si="5671">CP$4</f>
        <v>0,0,0,0,5,0,0,0,0,5</v>
      </c>
      <c r="AK787" s="26" t="str">
        <f t="shared" ref="AK787" si="5672">CQ$4</f>
        <v>100,1,1000,2,5,200,1,1000,2,5</v>
      </c>
      <c r="AL787" s="26" t="str">
        <f t="shared" ref="AL787" si="5673">CR$4</f>
        <v>5,5,5,5,5,5,5,5,5,5</v>
      </c>
      <c r="AM787" s="7">
        <v>2001</v>
      </c>
      <c r="AO787">
        <f t="shared" ref="AO787" si="5674">AQ787*100+1</f>
        <v>8801</v>
      </c>
      <c r="AP787">
        <v>783</v>
      </c>
      <c r="AQ787">
        <f t="shared" si="5565"/>
        <v>88</v>
      </c>
      <c r="AR787">
        <v>13</v>
      </c>
      <c r="AS787" s="17">
        <f t="shared" si="5646"/>
        <v>475</v>
      </c>
      <c r="AT787">
        <v>12</v>
      </c>
      <c r="AU787">
        <f t="shared" si="5566"/>
        <v>36</v>
      </c>
      <c r="AV787">
        <v>150</v>
      </c>
      <c r="AW787">
        <f t="shared" si="5567"/>
        <v>135094.02624000004</v>
      </c>
      <c r="AX787">
        <f t="shared" si="5230"/>
        <v>763584000</v>
      </c>
      <c r="AY787">
        <f t="shared" si="5568"/>
        <v>12726.4</v>
      </c>
      <c r="AZ787">
        <f t="shared" si="5569"/>
        <v>25452.799999999999</v>
      </c>
      <c r="BA787">
        <f t="shared" si="5570"/>
        <v>148992.00000000003</v>
      </c>
      <c r="BB787">
        <f t="shared" si="5571"/>
        <v>6363.2</v>
      </c>
      <c r="BC787">
        <f t="shared" si="5231"/>
        <v>763584000</v>
      </c>
      <c r="BD787">
        <f t="shared" si="5572"/>
        <v>0.29411764705882354</v>
      </c>
      <c r="BE787" s="27">
        <f t="shared" si="5232"/>
        <v>1734605062.0416002</v>
      </c>
      <c r="BF787" s="30">
        <f t="shared" si="5573"/>
        <v>0.51119999999999999</v>
      </c>
      <c r="BG787" s="27"/>
      <c r="BH787" s="27"/>
      <c r="BI787" s="27"/>
      <c r="CA787" s="20">
        <f t="shared" si="5574"/>
        <v>535</v>
      </c>
      <c r="CB787" s="20">
        <f t="shared" si="5575"/>
        <v>53500</v>
      </c>
    </row>
    <row r="788" spans="1:80" x14ac:dyDescent="0.15">
      <c r="A788">
        <v>8802</v>
      </c>
      <c r="B788" s="3" t="s">
        <v>115</v>
      </c>
      <c r="C788" s="4" t="s">
        <v>109</v>
      </c>
      <c r="D788" s="6" t="s">
        <v>110</v>
      </c>
      <c r="E788" s="5">
        <v>3</v>
      </c>
      <c r="F788" s="7" t="s">
        <v>142</v>
      </c>
      <c r="G788" s="5">
        <v>3</v>
      </c>
      <c r="H788" s="7" t="s">
        <v>188</v>
      </c>
      <c r="I788" s="5">
        <v>0</v>
      </c>
      <c r="J788" s="5">
        <v>0</v>
      </c>
      <c r="K788">
        <v>2</v>
      </c>
      <c r="L788">
        <v>1.5</v>
      </c>
      <c r="M788" s="5">
        <v>1.5</v>
      </c>
      <c r="N788" s="5">
        <v>10</v>
      </c>
      <c r="O788" s="5">
        <f t="shared" si="5555"/>
        <v>136486</v>
      </c>
      <c r="P788" s="5">
        <f t="shared" si="5556"/>
        <v>771456000</v>
      </c>
      <c r="Q788" s="5">
        <f t="shared" si="5557"/>
        <v>12857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70021</v>
      </c>
      <c r="X788" s="6" t="s">
        <v>180</v>
      </c>
      <c r="Y788" s="5">
        <v>300</v>
      </c>
      <c r="Z788" s="5">
        <v>1</v>
      </c>
      <c r="AA788" s="5">
        <v>371300106</v>
      </c>
      <c r="AB788" s="16" t="s">
        <v>111</v>
      </c>
      <c r="AC788" s="7" t="s">
        <v>112</v>
      </c>
      <c r="AD788" s="7" t="s">
        <v>112</v>
      </c>
      <c r="AE788" s="7" t="s">
        <v>112</v>
      </c>
      <c r="AF788" s="6" t="s">
        <v>113</v>
      </c>
      <c r="AG788" s="26" t="str">
        <f t="shared" ref="AG788" si="5675">CM$5</f>
        <v>4,33,28,33,6,4,33,28,33,6</v>
      </c>
      <c r="AH788" s="26" t="str">
        <f t="shared" ref="AH788" si="5676">CN$5</f>
        <v>0,7,0,7,1,0,7,0,7,1</v>
      </c>
      <c r="AI788" s="26" t="str">
        <f t="shared" ref="AI788" si="5677">CO$5</f>
        <v>0,0,0,0,1,0,0,0,0,1</v>
      </c>
      <c r="AJ788" s="26" t="str">
        <f t="shared" ref="AJ788" si="5678">CP$5</f>
        <v>0,0,0,0,5,0,0,0,0,5</v>
      </c>
      <c r="AK788" s="26" t="str">
        <f t="shared" ref="AK788" si="5679">CQ$5</f>
        <v>100,1,1000,2,5,200,1,1000,2,5</v>
      </c>
      <c r="AL788" s="26" t="str">
        <f t="shared" ref="AL788" si="5680">CR$5</f>
        <v>5,5,5,5,5,5,5,5,5,5</v>
      </c>
      <c r="AM788" s="7">
        <v>2001</v>
      </c>
      <c r="AO788">
        <f t="shared" ref="AO788" si="5681">AQ788*100+2</f>
        <v>8802</v>
      </c>
      <c r="AP788">
        <v>784</v>
      </c>
      <c r="AQ788">
        <f t="shared" si="5565"/>
        <v>88</v>
      </c>
      <c r="AR788">
        <v>13</v>
      </c>
      <c r="AS788" s="17">
        <f t="shared" si="5646"/>
        <v>480</v>
      </c>
      <c r="AT788">
        <v>12</v>
      </c>
      <c r="AU788">
        <f t="shared" si="5566"/>
        <v>36</v>
      </c>
      <c r="AV788">
        <v>150</v>
      </c>
      <c r="AW788">
        <f t="shared" si="5567"/>
        <v>136486.74816000005</v>
      </c>
      <c r="AX788">
        <f t="shared" si="5230"/>
        <v>771456000</v>
      </c>
      <c r="AY788">
        <f t="shared" si="5568"/>
        <v>12857.599999999999</v>
      </c>
      <c r="AZ788">
        <f t="shared" si="5569"/>
        <v>25715.199999999997</v>
      </c>
      <c r="BA788">
        <f t="shared" si="5570"/>
        <v>150528.00000000003</v>
      </c>
      <c r="BB788">
        <f t="shared" si="5571"/>
        <v>6428.7999999999993</v>
      </c>
      <c r="BC788">
        <f t="shared" si="5231"/>
        <v>771456000</v>
      </c>
      <c r="BD788">
        <f t="shared" si="5572"/>
        <v>0.29411764705882354</v>
      </c>
      <c r="BE788" s="27">
        <f t="shared" si="5232"/>
        <v>1770554470.8096001</v>
      </c>
      <c r="BF788" s="30">
        <f t="shared" si="5573"/>
        <v>0.51119999999999999</v>
      </c>
      <c r="BG788" s="27"/>
      <c r="BH788" s="27"/>
      <c r="BI788" s="27"/>
      <c r="CA788" s="20">
        <f t="shared" si="5574"/>
        <v>535</v>
      </c>
      <c r="CB788" s="20">
        <f t="shared" si="5575"/>
        <v>53500</v>
      </c>
    </row>
    <row r="789" spans="1:80" x14ac:dyDescent="0.15">
      <c r="A789">
        <v>8803</v>
      </c>
      <c r="B789" s="3" t="s">
        <v>117</v>
      </c>
      <c r="C789" s="4" t="s">
        <v>109</v>
      </c>
      <c r="D789" s="4" t="s">
        <v>110</v>
      </c>
      <c r="E789" s="5">
        <v>1</v>
      </c>
      <c r="F789" s="7" t="s">
        <v>144</v>
      </c>
      <c r="G789" s="5">
        <v>3</v>
      </c>
      <c r="H789" s="7" t="s">
        <v>189</v>
      </c>
      <c r="I789" s="5">
        <v>0</v>
      </c>
      <c r="J789" s="2">
        <v>0</v>
      </c>
      <c r="K789">
        <v>6</v>
      </c>
      <c r="L789">
        <v>1.5</v>
      </c>
      <c r="M789" s="5">
        <v>1.5</v>
      </c>
      <c r="N789" s="5">
        <v>10</v>
      </c>
      <c r="O789" s="5">
        <f t="shared" si="5555"/>
        <v>137879</v>
      </c>
      <c r="P789" s="5">
        <f t="shared" si="5556"/>
        <v>779328000</v>
      </c>
      <c r="Q789" s="5">
        <f t="shared" si="5557"/>
        <v>12988</v>
      </c>
      <c r="R789" s="5">
        <v>0</v>
      </c>
      <c r="S789" s="5">
        <v>0</v>
      </c>
      <c r="T789" s="5">
        <v>0</v>
      </c>
      <c r="U789" s="5">
        <v>0</v>
      </c>
      <c r="V789" s="5">
        <v>0</v>
      </c>
      <c r="W789" s="5">
        <v>70031</v>
      </c>
      <c r="X789" s="6" t="s">
        <v>181</v>
      </c>
      <c r="Y789" s="5">
        <v>300</v>
      </c>
      <c r="Z789" s="5">
        <v>1</v>
      </c>
      <c r="AA789" s="5">
        <v>379415716</v>
      </c>
      <c r="AB789" s="16" t="s">
        <v>111</v>
      </c>
      <c r="AC789" s="7" t="s">
        <v>112</v>
      </c>
      <c r="AD789" s="7" t="s">
        <v>112</v>
      </c>
      <c r="AE789" s="7" t="s">
        <v>112</v>
      </c>
      <c r="AF789" s="6" t="s">
        <v>113</v>
      </c>
      <c r="AG789" s="26" t="str">
        <f t="shared" ref="AG789" si="5682">CM$6</f>
        <v>4,28,6,28,6,4,28,6,28,6</v>
      </c>
      <c r="AH789" s="26" t="str">
        <f t="shared" ref="AH789" si="5683">CN$6</f>
        <v>0,0,1,0,1,0,0,1,0,1</v>
      </c>
      <c r="AI789" s="26" t="str">
        <f t="shared" ref="AI789" si="5684">CO$6</f>
        <v>0,0,0,0,1,0,0,0,0,1</v>
      </c>
      <c r="AJ789" s="26" t="str">
        <f t="shared" ref="AJ789" si="5685">CP$6</f>
        <v>0,0,5,0,5,0,0,5,0,5</v>
      </c>
      <c r="AK789" s="26" t="str">
        <f t="shared" ref="AK789" si="5686">CQ$6</f>
        <v>100,1000,5,1500,5,200,1000,5,1500,5</v>
      </c>
      <c r="AL789" s="26" t="str">
        <f t="shared" ref="AL789" si="5687">CR$6</f>
        <v>5,5,5,5,5,5,5,5,5,5</v>
      </c>
      <c r="AM789" s="7">
        <v>2001</v>
      </c>
      <c r="AO789">
        <f t="shared" ref="AO789" si="5688">AQ789*100+3</f>
        <v>8803</v>
      </c>
      <c r="AP789">
        <v>785</v>
      </c>
      <c r="AQ789">
        <f t="shared" si="5565"/>
        <v>88</v>
      </c>
      <c r="AR789">
        <v>13</v>
      </c>
      <c r="AS789" s="17">
        <f t="shared" si="5646"/>
        <v>485</v>
      </c>
      <c r="AT789">
        <v>12</v>
      </c>
      <c r="AU789">
        <f t="shared" si="5566"/>
        <v>36</v>
      </c>
      <c r="AV789">
        <v>150</v>
      </c>
      <c r="AW789">
        <f t="shared" si="5567"/>
        <v>137879.47008000003</v>
      </c>
      <c r="AX789">
        <f t="shared" si="5230"/>
        <v>779328000</v>
      </c>
      <c r="AY789">
        <f t="shared" si="5568"/>
        <v>12988.8</v>
      </c>
      <c r="AZ789">
        <f t="shared" si="5569"/>
        <v>25977.599999999999</v>
      </c>
      <c r="BA789">
        <f t="shared" si="5570"/>
        <v>152064.00000000003</v>
      </c>
      <c r="BB789">
        <f t="shared" si="5571"/>
        <v>6494.4</v>
      </c>
      <c r="BC789">
        <f t="shared" si="5231"/>
        <v>779328000</v>
      </c>
      <c r="BD789">
        <f t="shared" si="5572"/>
        <v>0.29411764705882359</v>
      </c>
      <c r="BE789" s="27">
        <f t="shared" si="5232"/>
        <v>1806872591.4624004</v>
      </c>
      <c r="BF789" s="30">
        <f t="shared" si="5573"/>
        <v>0.51119999999999999</v>
      </c>
      <c r="BG789" s="27"/>
      <c r="BH789" s="27"/>
      <c r="BI789" s="27"/>
      <c r="CA789" s="20">
        <f t="shared" si="5574"/>
        <v>535</v>
      </c>
      <c r="CB789" s="20">
        <f t="shared" si="5575"/>
        <v>53500</v>
      </c>
    </row>
    <row r="790" spans="1:80" x14ac:dyDescent="0.15">
      <c r="A790">
        <v>8804</v>
      </c>
      <c r="B790" s="3" t="s">
        <v>119</v>
      </c>
      <c r="C790" s="4" t="s">
        <v>109</v>
      </c>
      <c r="D790" s="6" t="s">
        <v>120</v>
      </c>
      <c r="E790" s="5">
        <v>3</v>
      </c>
      <c r="F790" s="7" t="s">
        <v>145</v>
      </c>
      <c r="G790" s="5">
        <v>3</v>
      </c>
      <c r="H790" s="7" t="s">
        <v>190</v>
      </c>
      <c r="I790" s="5">
        <v>0</v>
      </c>
      <c r="J790" s="5">
        <v>0</v>
      </c>
      <c r="K790">
        <v>2</v>
      </c>
      <c r="L790">
        <v>1.5</v>
      </c>
      <c r="M790" s="5">
        <v>1.5</v>
      </c>
      <c r="N790" s="5">
        <v>10</v>
      </c>
      <c r="O790" s="5">
        <f t="shared" si="5555"/>
        <v>139272</v>
      </c>
      <c r="P790" s="5">
        <f t="shared" si="5556"/>
        <v>787200000</v>
      </c>
      <c r="Q790" s="5">
        <f t="shared" si="5557"/>
        <v>13120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70041</v>
      </c>
      <c r="X790" s="6" t="s">
        <v>182</v>
      </c>
      <c r="Y790" s="5">
        <v>300</v>
      </c>
      <c r="Z790" s="5">
        <v>1</v>
      </c>
      <c r="AA790" s="5">
        <v>387619062</v>
      </c>
      <c r="AB790" s="16" t="s">
        <v>111</v>
      </c>
      <c r="AC790" s="7" t="s">
        <v>112</v>
      </c>
      <c r="AD790" s="7" t="s">
        <v>112</v>
      </c>
      <c r="AE790" s="7" t="s">
        <v>112</v>
      </c>
      <c r="AF790" s="6" t="s">
        <v>113</v>
      </c>
      <c r="AG790" s="26" t="str">
        <f t="shared" ref="AG790" si="5689">CM$7</f>
        <v>4,14,28,14,6,4,14,28,14,6</v>
      </c>
      <c r="AH790" s="26" t="str">
        <f t="shared" ref="AH790" si="5690">CN$7</f>
        <v>0,0,0,0,1,0,0,0,0,1</v>
      </c>
      <c r="AI790" s="26" t="str">
        <f t="shared" ref="AI790" si="5691">CO$7</f>
        <v>0,0,0,0,1,0,0,0,0,1</v>
      </c>
      <c r="AJ790" s="26" t="str">
        <f t="shared" ref="AJ790" si="5692">CP$7</f>
        <v>0,0,0,0,5,0,0,0,0,5</v>
      </c>
      <c r="AK790" s="26" t="str">
        <f t="shared" ref="AK790" si="5693">CQ$7</f>
        <v>100,1,1000,2,5,200,1,1000,2,5</v>
      </c>
      <c r="AL790" s="26" t="str">
        <f t="shared" ref="AL790" si="5694">CR$7</f>
        <v>5,5,5,5,5,5,5,5,5,5</v>
      </c>
      <c r="AM790" s="7">
        <v>2001</v>
      </c>
      <c r="AO790">
        <f t="shared" ref="AO790" si="5695">AQ790*100+4</f>
        <v>8804</v>
      </c>
      <c r="AP790">
        <v>786</v>
      </c>
      <c r="AQ790">
        <f t="shared" si="5565"/>
        <v>88</v>
      </c>
      <c r="AR790">
        <v>13</v>
      </c>
      <c r="AS790" s="17">
        <f t="shared" si="5646"/>
        <v>490</v>
      </c>
      <c r="AT790">
        <v>12</v>
      </c>
      <c r="AU790">
        <f t="shared" si="5566"/>
        <v>36</v>
      </c>
      <c r="AV790">
        <v>150</v>
      </c>
      <c r="AW790">
        <f t="shared" si="5567"/>
        <v>139272.19200000004</v>
      </c>
      <c r="AX790">
        <f t="shared" ref="AX790:AX853" si="5696">BC790</f>
        <v>787200000</v>
      </c>
      <c r="AY790">
        <f t="shared" si="5568"/>
        <v>13119.999999999998</v>
      </c>
      <c r="AZ790">
        <f t="shared" si="5569"/>
        <v>26239.999999999996</v>
      </c>
      <c r="BA790">
        <f t="shared" si="5570"/>
        <v>153600.00000000003</v>
      </c>
      <c r="BB790">
        <f t="shared" si="5571"/>
        <v>6559.9999999999991</v>
      </c>
      <c r="BC790">
        <f t="shared" ref="BC790:BC853" si="5697">90/1.5*AZ790*(1/(1+AZ790/(5*BB790)))*6*AV790</f>
        <v>787200000</v>
      </c>
      <c r="BD790">
        <f t="shared" si="5572"/>
        <v>0.29411764705882354</v>
      </c>
      <c r="BE790" s="27">
        <f t="shared" ref="BE790:BE853" si="5698">BC790/10000/(1-BD790)/1*AZ790/L790*(1+0.1*0.5)*0.9*1</f>
        <v>1843559424</v>
      </c>
      <c r="BF790" s="30">
        <f t="shared" si="5573"/>
        <v>0.51119999999999999</v>
      </c>
      <c r="BG790" s="27"/>
      <c r="BH790" s="27"/>
      <c r="BI790" s="27"/>
      <c r="CA790" s="20">
        <f t="shared" si="5574"/>
        <v>535</v>
      </c>
      <c r="CB790" s="20">
        <f t="shared" si="5575"/>
        <v>53500</v>
      </c>
    </row>
    <row r="791" spans="1:80" x14ac:dyDescent="0.15">
      <c r="A791">
        <v>8805</v>
      </c>
      <c r="B791" s="3" t="s">
        <v>122</v>
      </c>
      <c r="C791" s="4" t="s">
        <v>109</v>
      </c>
      <c r="D791" s="4" t="s">
        <v>110</v>
      </c>
      <c r="E791" s="5">
        <v>2</v>
      </c>
      <c r="F791" s="7" t="s">
        <v>146</v>
      </c>
      <c r="G791" s="5">
        <v>3</v>
      </c>
      <c r="H791" s="7" t="s">
        <v>191</v>
      </c>
      <c r="I791" s="5">
        <v>0</v>
      </c>
      <c r="J791" s="7" t="s">
        <v>148</v>
      </c>
      <c r="K791">
        <v>6</v>
      </c>
      <c r="L791">
        <v>1.5</v>
      </c>
      <c r="M791" s="5">
        <v>1.5</v>
      </c>
      <c r="N791" s="5">
        <v>10</v>
      </c>
      <c r="O791" s="5">
        <f t="shared" si="5555"/>
        <v>140664</v>
      </c>
      <c r="P791" s="5">
        <f t="shared" si="5556"/>
        <v>795072000</v>
      </c>
      <c r="Q791" s="5">
        <f t="shared" si="5557"/>
        <v>13251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70051</v>
      </c>
      <c r="X791" s="6" t="s">
        <v>183</v>
      </c>
      <c r="Y791" s="5">
        <v>300</v>
      </c>
      <c r="Z791" s="5">
        <v>1</v>
      </c>
      <c r="AA791" s="5">
        <v>395910144</v>
      </c>
      <c r="AB791" s="16" t="s">
        <v>111</v>
      </c>
      <c r="AC791" s="7" t="s">
        <v>112</v>
      </c>
      <c r="AD791" s="7" t="s">
        <v>112</v>
      </c>
      <c r="AE791" s="7" t="s">
        <v>112</v>
      </c>
      <c r="AF791" s="6" t="s">
        <v>113</v>
      </c>
      <c r="AG791" s="26" t="str">
        <f t="shared" ref="AG791" si="5699">CM$8</f>
        <v>4,19,28,19,6,4,19,28,19,6</v>
      </c>
      <c r="AH791" s="26" t="str">
        <f t="shared" ref="AH791" si="5700">CN$8</f>
        <v>0,0,0,0,1,0,0,0,0,1</v>
      </c>
      <c r="AI791" s="26" t="str">
        <f t="shared" ref="AI791" si="5701">CO$8</f>
        <v>0,0,0,0,1,0,0,0,0,1</v>
      </c>
      <c r="AJ791" s="26" t="str">
        <f t="shared" ref="AJ791" si="5702">CP$8</f>
        <v>0,0,0,0,5,0,0,0,0,5</v>
      </c>
      <c r="AK791" s="26" t="str">
        <f t="shared" ref="AK791" si="5703">CQ$8</f>
        <v>200,100,1000,200,5,200,100,1000,200,5</v>
      </c>
      <c r="AL791" s="26" t="str">
        <f t="shared" ref="AL791" si="5704">CR$8</f>
        <v>5,5,5,5,5,5,5,5,5,5</v>
      </c>
      <c r="AM791" s="7">
        <v>2001</v>
      </c>
      <c r="AO791">
        <f t="shared" ref="AO791" si="5705">AQ791*100+5</f>
        <v>8805</v>
      </c>
      <c r="AP791">
        <v>787</v>
      </c>
      <c r="AQ791">
        <f t="shared" si="5565"/>
        <v>88</v>
      </c>
      <c r="AR791">
        <v>13</v>
      </c>
      <c r="AS791" s="17">
        <f t="shared" si="5646"/>
        <v>495</v>
      </c>
      <c r="AT791">
        <v>12</v>
      </c>
      <c r="AU791">
        <f t="shared" si="5566"/>
        <v>36</v>
      </c>
      <c r="AV791">
        <v>150</v>
      </c>
      <c r="AW791">
        <f t="shared" si="5567"/>
        <v>140664.91392000005</v>
      </c>
      <c r="AX791">
        <f t="shared" si="5696"/>
        <v>795072000</v>
      </c>
      <c r="AY791">
        <f t="shared" si="5568"/>
        <v>13251.199999999999</v>
      </c>
      <c r="AZ791">
        <f t="shared" si="5569"/>
        <v>26502.399999999998</v>
      </c>
      <c r="BA791">
        <f t="shared" si="5570"/>
        <v>155136.00000000003</v>
      </c>
      <c r="BB791">
        <f t="shared" si="5571"/>
        <v>6625.5999999999995</v>
      </c>
      <c r="BC791">
        <f t="shared" si="5697"/>
        <v>795072000</v>
      </c>
      <c r="BD791">
        <f t="shared" si="5572"/>
        <v>0.29411764705882354</v>
      </c>
      <c r="BE791" s="27">
        <f t="shared" si="5698"/>
        <v>1880614968.4224002</v>
      </c>
      <c r="BF791" s="30">
        <f t="shared" si="5573"/>
        <v>0.51119999999999999</v>
      </c>
      <c r="BG791" s="27"/>
      <c r="BH791" s="27"/>
      <c r="BI791" s="27"/>
      <c r="CA791" s="20">
        <f t="shared" si="5574"/>
        <v>535</v>
      </c>
      <c r="CB791" s="20">
        <f t="shared" si="5575"/>
        <v>53500</v>
      </c>
    </row>
    <row r="792" spans="1:80" x14ac:dyDescent="0.15">
      <c r="A792">
        <v>8806</v>
      </c>
      <c r="B792" s="3" t="s">
        <v>124</v>
      </c>
      <c r="C792" s="4" t="s">
        <v>109</v>
      </c>
      <c r="D792" s="6" t="s">
        <v>120</v>
      </c>
      <c r="E792" s="5">
        <v>1</v>
      </c>
      <c r="F792" s="7" t="s">
        <v>147</v>
      </c>
      <c r="G792" s="5">
        <v>3</v>
      </c>
      <c r="H792" s="7" t="s">
        <v>192</v>
      </c>
      <c r="I792" s="5">
        <v>0</v>
      </c>
      <c r="J792" s="7" t="s">
        <v>149</v>
      </c>
      <c r="K792">
        <v>6</v>
      </c>
      <c r="L792">
        <v>1.5</v>
      </c>
      <c r="M792" s="5">
        <v>1.5</v>
      </c>
      <c r="N792" s="5">
        <v>10</v>
      </c>
      <c r="O792" s="5">
        <f t="shared" si="5555"/>
        <v>142057</v>
      </c>
      <c r="P792" s="5">
        <f t="shared" si="5556"/>
        <v>802944000</v>
      </c>
      <c r="Q792" s="5">
        <f t="shared" si="5557"/>
        <v>13382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70061</v>
      </c>
      <c r="X792" s="6" t="s">
        <v>184</v>
      </c>
      <c r="Y792" s="5">
        <v>300</v>
      </c>
      <c r="Z792" s="5">
        <v>1</v>
      </c>
      <c r="AA792" s="5">
        <v>404288963</v>
      </c>
      <c r="AB792" s="16" t="s">
        <v>111</v>
      </c>
      <c r="AC792" s="7" t="s">
        <v>112</v>
      </c>
      <c r="AD792" s="7" t="s">
        <v>112</v>
      </c>
      <c r="AE792" s="7" t="s">
        <v>112</v>
      </c>
      <c r="AF792" s="6" t="s">
        <v>113</v>
      </c>
      <c r="AG792" s="26" t="str">
        <f t="shared" ref="AG792" si="5706">CM$9</f>
        <v>4,33,28,33,6,4,33,28,33,6</v>
      </c>
      <c r="AH792" s="26" t="str">
        <f t="shared" ref="AH792" si="5707">CN$9</f>
        <v>0,6,0,6,1,0,6,0,6,1</v>
      </c>
      <c r="AI792" s="26" t="str">
        <f t="shared" ref="AI792" si="5708">CO$9</f>
        <v>0,0,0,0,1,0,0,0,0,1</v>
      </c>
      <c r="AJ792" s="26" t="str">
        <f t="shared" ref="AJ792" si="5709">CP$9</f>
        <v>0,0,0,0,5,0,0,0,0,5</v>
      </c>
      <c r="AK792" s="26" t="str">
        <f t="shared" ref="AK792" si="5710">CQ$9</f>
        <v>200,1,1000,2,5,200,1,1000,2,5</v>
      </c>
      <c r="AL792" s="26" t="str">
        <f t="shared" ref="AL792" si="5711">CR$9</f>
        <v>5,5,5,5,5,5,5,5,5,5</v>
      </c>
      <c r="AM792" s="7">
        <v>2001</v>
      </c>
      <c r="AO792">
        <f t="shared" ref="AO792" si="5712">AQ792*100+6</f>
        <v>8806</v>
      </c>
      <c r="AP792">
        <v>788</v>
      </c>
      <c r="AQ792">
        <f t="shared" si="5565"/>
        <v>88</v>
      </c>
      <c r="AR792">
        <v>13</v>
      </c>
      <c r="AS792" s="17">
        <f t="shared" si="5646"/>
        <v>500</v>
      </c>
      <c r="AT792">
        <v>12</v>
      </c>
      <c r="AU792">
        <f t="shared" si="5566"/>
        <v>36</v>
      </c>
      <c r="AV792">
        <v>150</v>
      </c>
      <c r="AW792">
        <f t="shared" si="5567"/>
        <v>142057.63584000003</v>
      </c>
      <c r="AX792">
        <f t="shared" si="5696"/>
        <v>802944000</v>
      </c>
      <c r="AY792">
        <f t="shared" si="5568"/>
        <v>13382.4</v>
      </c>
      <c r="AZ792">
        <f t="shared" si="5569"/>
        <v>26764.799999999999</v>
      </c>
      <c r="BA792">
        <f t="shared" si="5570"/>
        <v>156672.00000000003</v>
      </c>
      <c r="BB792">
        <f t="shared" si="5571"/>
        <v>6691.2</v>
      </c>
      <c r="BC792">
        <f t="shared" si="5697"/>
        <v>802944000</v>
      </c>
      <c r="BD792">
        <f t="shared" si="5572"/>
        <v>0.29411764705882354</v>
      </c>
      <c r="BE792" s="27">
        <f t="shared" si="5698"/>
        <v>1918039224.7296002</v>
      </c>
      <c r="BF792" s="30">
        <f t="shared" si="5573"/>
        <v>0.51119999999999999</v>
      </c>
      <c r="BG792" s="27"/>
      <c r="BH792" s="27"/>
      <c r="BI792" s="27"/>
      <c r="CA792" s="20">
        <f t="shared" si="5574"/>
        <v>535</v>
      </c>
      <c r="CB792" s="20">
        <f t="shared" si="5575"/>
        <v>53500</v>
      </c>
    </row>
    <row r="793" spans="1:80" x14ac:dyDescent="0.15">
      <c r="A793">
        <v>8807</v>
      </c>
      <c r="B793" s="3" t="s">
        <v>126</v>
      </c>
      <c r="C793" s="4" t="s">
        <v>109</v>
      </c>
      <c r="D793" s="4" t="s">
        <v>110</v>
      </c>
      <c r="E793" s="5">
        <v>2</v>
      </c>
      <c r="F793" s="7" t="s">
        <v>143</v>
      </c>
      <c r="G793" s="5">
        <v>3</v>
      </c>
      <c r="H793" s="7" t="s">
        <v>193</v>
      </c>
      <c r="I793" s="5">
        <v>0</v>
      </c>
      <c r="J793" s="5">
        <v>0</v>
      </c>
      <c r="K793">
        <v>2</v>
      </c>
      <c r="L793">
        <v>1.5</v>
      </c>
      <c r="M793" s="5">
        <v>1.5</v>
      </c>
      <c r="N793" s="5">
        <v>10</v>
      </c>
      <c r="O793" s="5">
        <f t="shared" si="5555"/>
        <v>143450</v>
      </c>
      <c r="P793" s="5">
        <f t="shared" si="5556"/>
        <v>810816000</v>
      </c>
      <c r="Q793" s="5">
        <f t="shared" si="5557"/>
        <v>13513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70071</v>
      </c>
      <c r="X793" s="6" t="s">
        <v>185</v>
      </c>
      <c r="Y793" s="5">
        <v>300</v>
      </c>
      <c r="Z793" s="5">
        <v>1</v>
      </c>
      <c r="AA793" s="5">
        <v>412755517</v>
      </c>
      <c r="AB793" s="16" t="s">
        <v>111</v>
      </c>
      <c r="AC793" s="7" t="s">
        <v>112</v>
      </c>
      <c r="AD793" s="7" t="s">
        <v>112</v>
      </c>
      <c r="AE793" s="7" t="s">
        <v>112</v>
      </c>
      <c r="AF793" s="6" t="s">
        <v>113</v>
      </c>
      <c r="AG793" s="26" t="str">
        <f t="shared" ref="AG793" si="5713">CM$10</f>
        <v>4,14,28,14,6,4,14,28,14,6</v>
      </c>
      <c r="AH793" s="26" t="str">
        <f t="shared" ref="AH793" si="5714">CN$10</f>
        <v>0,0,0,0,1,0,0,0,0,1</v>
      </c>
      <c r="AI793" s="26" t="str">
        <f t="shared" ref="AI793" si="5715">CO$10</f>
        <v>0,0,0,0,1,0,0,0,0,1</v>
      </c>
      <c r="AJ793" s="26" t="str">
        <f t="shared" ref="AJ793" si="5716">CP$10</f>
        <v>0,0,0,0,5,0,0,0,0,5</v>
      </c>
      <c r="AK793" s="26" t="str">
        <f t="shared" ref="AK793" si="5717">CQ$10</f>
        <v>200,1,1000,2,5,200,1,1000,2,5</v>
      </c>
      <c r="AL793" s="26" t="str">
        <f t="shared" ref="AL793" si="5718">CR$10</f>
        <v>5,5,5,5,5,5,5,5,5,5</v>
      </c>
      <c r="AM793" s="7">
        <v>2001</v>
      </c>
      <c r="AO793">
        <f t="shared" ref="AO793" si="5719">AQ793*100+7</f>
        <v>8807</v>
      </c>
      <c r="AP793">
        <v>789</v>
      </c>
      <c r="AQ793">
        <f t="shared" si="5565"/>
        <v>88</v>
      </c>
      <c r="AR793">
        <v>13</v>
      </c>
      <c r="AS793" s="17">
        <f t="shared" si="5646"/>
        <v>505</v>
      </c>
      <c r="AT793">
        <v>12</v>
      </c>
      <c r="AU793">
        <f t="shared" si="5566"/>
        <v>36</v>
      </c>
      <c r="AV793">
        <v>150</v>
      </c>
      <c r="AW793">
        <f t="shared" si="5567"/>
        <v>143450.35776000004</v>
      </c>
      <c r="AX793">
        <f t="shared" si="5696"/>
        <v>810816000</v>
      </c>
      <c r="AY793">
        <f t="shared" si="5568"/>
        <v>13513.599999999999</v>
      </c>
      <c r="AZ793">
        <f t="shared" si="5569"/>
        <v>27027.199999999997</v>
      </c>
      <c r="BA793">
        <f t="shared" si="5570"/>
        <v>158208.00000000003</v>
      </c>
      <c r="BB793">
        <f t="shared" si="5571"/>
        <v>6756.7999999999993</v>
      </c>
      <c r="BC793">
        <f t="shared" si="5697"/>
        <v>810816000</v>
      </c>
      <c r="BD793">
        <f t="shared" si="5572"/>
        <v>0.29411764705882354</v>
      </c>
      <c r="BE793" s="27">
        <f t="shared" si="5698"/>
        <v>1955832192.9216001</v>
      </c>
      <c r="BF793" s="30">
        <f t="shared" si="5573"/>
        <v>0.51119999999999999</v>
      </c>
      <c r="BG793" s="27"/>
      <c r="BH793" s="27"/>
      <c r="BI793" s="27"/>
      <c r="CA793" s="20">
        <f t="shared" si="5574"/>
        <v>535</v>
      </c>
      <c r="CB793" s="20">
        <f t="shared" si="5575"/>
        <v>53500</v>
      </c>
    </row>
    <row r="794" spans="1:80" x14ac:dyDescent="0.15">
      <c r="A794">
        <v>8808</v>
      </c>
      <c r="B794" s="3" t="s">
        <v>128</v>
      </c>
      <c r="C794" s="4" t="s">
        <v>109</v>
      </c>
      <c r="D794" s="4" t="s">
        <v>110</v>
      </c>
      <c r="E794" s="5">
        <v>5</v>
      </c>
      <c r="F794" s="7" t="s">
        <v>129</v>
      </c>
      <c r="G794" s="5">
        <v>2</v>
      </c>
      <c r="H794" s="7" t="s">
        <v>130</v>
      </c>
      <c r="I794" s="5">
        <v>0</v>
      </c>
      <c r="J794" s="5">
        <v>0</v>
      </c>
      <c r="K794">
        <v>2</v>
      </c>
      <c r="L794">
        <v>1.5</v>
      </c>
      <c r="M794" s="5">
        <v>1.5</v>
      </c>
      <c r="N794" s="5">
        <v>10</v>
      </c>
      <c r="O794" s="5">
        <f t="shared" si="5555"/>
        <v>144843</v>
      </c>
      <c r="P794" s="5">
        <f t="shared" si="5556"/>
        <v>818688000</v>
      </c>
      <c r="Q794" s="5">
        <f t="shared" si="5557"/>
        <v>13644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70081</v>
      </c>
      <c r="X794" s="6" t="s">
        <v>186</v>
      </c>
      <c r="Y794" s="5">
        <v>300</v>
      </c>
      <c r="Z794" s="5">
        <v>1</v>
      </c>
      <c r="AA794" s="5">
        <v>421309809</v>
      </c>
      <c r="AB794" s="16" t="s">
        <v>111</v>
      </c>
      <c r="AC794" s="7" t="s">
        <v>112</v>
      </c>
      <c r="AD794" s="7" t="s">
        <v>112</v>
      </c>
      <c r="AE794" s="7" t="s">
        <v>112</v>
      </c>
      <c r="AF794" s="6" t="s">
        <v>113</v>
      </c>
      <c r="AG794" s="26" t="str">
        <f t="shared" ref="AG794" si="5720">CM$11</f>
        <v>4,28,6,28,6,4,28,6,28,6</v>
      </c>
      <c r="AH794" s="26" t="str">
        <f t="shared" ref="AH794" si="5721">CN$11</f>
        <v>0,0,1,0,1,0,0,1,0,1</v>
      </c>
      <c r="AI794" s="26" t="str">
        <f t="shared" ref="AI794" si="5722">CO$11</f>
        <v>0,0,1,0,1,0,0,1,0,1</v>
      </c>
      <c r="AJ794" s="26" t="str">
        <f t="shared" ref="AJ794" si="5723">CP$11</f>
        <v>0,0,5,0,5,0,0,5,0,5</v>
      </c>
      <c r="AK794" s="26" t="str">
        <f t="shared" ref="AK794" si="5724">CQ$11</f>
        <v>100,1000,5,1500,5,200,1000,5,1500,5</v>
      </c>
      <c r="AL794" s="26" t="str">
        <f t="shared" ref="AL794" si="5725">CR$11</f>
        <v>5,5,5,5,5,5,5,5,5,5</v>
      </c>
      <c r="AM794" s="7">
        <v>2001</v>
      </c>
      <c r="AO794">
        <f t="shared" ref="AO794" si="5726">AQ794*100+8</f>
        <v>8808</v>
      </c>
      <c r="AP794">
        <v>790</v>
      </c>
      <c r="AQ794">
        <f t="shared" si="5565"/>
        <v>88</v>
      </c>
      <c r="AR794">
        <v>13</v>
      </c>
      <c r="AS794" s="17">
        <f t="shared" si="5646"/>
        <v>510</v>
      </c>
      <c r="AT794">
        <v>12</v>
      </c>
      <c r="AU794">
        <f t="shared" si="5566"/>
        <v>36</v>
      </c>
      <c r="AV794">
        <v>150</v>
      </c>
      <c r="AW794">
        <f t="shared" si="5567"/>
        <v>144843.07968000002</v>
      </c>
      <c r="AX794">
        <f t="shared" si="5696"/>
        <v>818688000</v>
      </c>
      <c r="AY794">
        <f t="shared" si="5568"/>
        <v>13644.8</v>
      </c>
      <c r="AZ794">
        <f t="shared" si="5569"/>
        <v>27289.599999999999</v>
      </c>
      <c r="BA794">
        <f t="shared" si="5570"/>
        <v>159744.00000000003</v>
      </c>
      <c r="BB794">
        <f t="shared" si="5571"/>
        <v>6822.4</v>
      </c>
      <c r="BC794">
        <f t="shared" si="5697"/>
        <v>818688000</v>
      </c>
      <c r="BD794">
        <f t="shared" si="5572"/>
        <v>0.29411764705882359</v>
      </c>
      <c r="BE794" s="27">
        <f t="shared" si="5698"/>
        <v>1993993872.9984004</v>
      </c>
      <c r="BF794" s="30">
        <f t="shared" si="5573"/>
        <v>0.51119999999999999</v>
      </c>
      <c r="BG794" s="27"/>
      <c r="BH794" s="27"/>
      <c r="BI794" s="27"/>
      <c r="CA794" s="20">
        <f t="shared" si="5574"/>
        <v>535</v>
      </c>
      <c r="CB794" s="20">
        <f t="shared" si="5575"/>
        <v>53500</v>
      </c>
    </row>
    <row r="795" spans="1:80" x14ac:dyDescent="0.15">
      <c r="A795">
        <v>8809</v>
      </c>
      <c r="B795" s="3" t="s">
        <v>132</v>
      </c>
      <c r="C795" s="4" t="s">
        <v>109</v>
      </c>
      <c r="D795" s="4" t="s">
        <v>110</v>
      </c>
      <c r="E795" s="5">
        <v>5</v>
      </c>
      <c r="F795" s="7" t="s">
        <v>140</v>
      </c>
      <c r="G795" s="5">
        <v>3</v>
      </c>
      <c r="H795" s="7" t="s">
        <v>140</v>
      </c>
      <c r="I795" s="5">
        <v>0</v>
      </c>
      <c r="J795" s="7">
        <v>0</v>
      </c>
      <c r="K795">
        <v>6</v>
      </c>
      <c r="L795">
        <v>1.5</v>
      </c>
      <c r="M795" s="5">
        <v>1.5</v>
      </c>
      <c r="N795" s="5">
        <v>10</v>
      </c>
      <c r="O795" s="5">
        <f t="shared" si="5555"/>
        <v>146235</v>
      </c>
      <c r="P795" s="5">
        <f t="shared" si="5556"/>
        <v>826560000</v>
      </c>
      <c r="Q795" s="5">
        <f t="shared" si="5557"/>
        <v>13776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70091</v>
      </c>
      <c r="X795" s="6" t="s">
        <v>187</v>
      </c>
      <c r="Y795" s="5">
        <v>300</v>
      </c>
      <c r="Z795" s="5">
        <v>1</v>
      </c>
      <c r="AA795" s="5">
        <v>429951836</v>
      </c>
      <c r="AB795" s="16" t="s">
        <v>111</v>
      </c>
      <c r="AC795" s="7" t="s">
        <v>112</v>
      </c>
      <c r="AD795" s="7" t="s">
        <v>112</v>
      </c>
      <c r="AE795" s="7" t="s">
        <v>112</v>
      </c>
      <c r="AF795" s="6" t="s">
        <v>113</v>
      </c>
      <c r="AG795" s="26" t="str">
        <f t="shared" ref="AG795" si="5727">CM$12</f>
        <v>4,33,28,33,6,4,33,28,33,6</v>
      </c>
      <c r="AH795" s="26" t="str">
        <f t="shared" ref="AH795" si="5728">CN$12</f>
        <v>0,5,0,5,1,0,5,0,5,1</v>
      </c>
      <c r="AI795" s="26" t="str">
        <f t="shared" ref="AI795" si="5729">CO$12</f>
        <v>0,0,0,0,1,0,0,0,0,1</v>
      </c>
      <c r="AJ795" s="26" t="str">
        <f t="shared" ref="AJ795" si="5730">CP$12</f>
        <v>0,0,0,0,5,0,0,0,0,5</v>
      </c>
      <c r="AK795" s="26" t="str">
        <f t="shared" ref="AK795" si="5731">CQ$12</f>
        <v>100,1,1000,2,5,200,1,1000,2,5</v>
      </c>
      <c r="AL795" s="26" t="str">
        <f t="shared" ref="AL795" si="5732">CR$12</f>
        <v>5,5,5,5,5,5,5,5,5,5</v>
      </c>
      <c r="AM795" s="7">
        <v>2001</v>
      </c>
      <c r="AO795">
        <f t="shared" ref="AO795" si="5733">AQ795*100+9</f>
        <v>8809</v>
      </c>
      <c r="AP795">
        <v>791</v>
      </c>
      <c r="AQ795">
        <f t="shared" si="5565"/>
        <v>88</v>
      </c>
      <c r="AR795">
        <v>13</v>
      </c>
      <c r="AS795" s="17">
        <f t="shared" si="5646"/>
        <v>515</v>
      </c>
      <c r="AT795">
        <v>12</v>
      </c>
      <c r="AU795">
        <f t="shared" si="5566"/>
        <v>36</v>
      </c>
      <c r="AV795">
        <v>150</v>
      </c>
      <c r="AW795">
        <f t="shared" si="5567"/>
        <v>146235.80160000004</v>
      </c>
      <c r="AX795">
        <f t="shared" si="5696"/>
        <v>826559999.99999988</v>
      </c>
      <c r="AY795">
        <f t="shared" si="5568"/>
        <v>13775.999999999998</v>
      </c>
      <c r="AZ795">
        <f t="shared" si="5569"/>
        <v>27551.999999999996</v>
      </c>
      <c r="BA795">
        <f t="shared" si="5570"/>
        <v>161280.00000000003</v>
      </c>
      <c r="BB795">
        <f t="shared" si="5571"/>
        <v>6887.9999999999991</v>
      </c>
      <c r="BC795">
        <f t="shared" si="5697"/>
        <v>826559999.99999988</v>
      </c>
      <c r="BD795">
        <f t="shared" si="5572"/>
        <v>0.29411764705882354</v>
      </c>
      <c r="BE795" s="27">
        <f t="shared" si="5698"/>
        <v>2032524264.9599998</v>
      </c>
      <c r="BF795" s="30">
        <f t="shared" si="5573"/>
        <v>0.51119999999999999</v>
      </c>
      <c r="BG795" s="27"/>
      <c r="BH795" s="27"/>
      <c r="BI795" s="27"/>
      <c r="CA795" s="20">
        <f t="shared" si="5574"/>
        <v>535</v>
      </c>
      <c r="CB795" s="20">
        <f t="shared" si="5575"/>
        <v>53500</v>
      </c>
    </row>
    <row r="796" spans="1:80" x14ac:dyDescent="0.15">
      <c r="A796">
        <v>8901</v>
      </c>
      <c r="B796" s="3" t="s">
        <v>108</v>
      </c>
      <c r="C796" s="4" t="s">
        <v>109</v>
      </c>
      <c r="D796" s="4" t="s">
        <v>110</v>
      </c>
      <c r="E796" s="5">
        <v>3</v>
      </c>
      <c r="F796" s="7" t="s">
        <v>141</v>
      </c>
      <c r="G796" s="5">
        <v>2.5</v>
      </c>
      <c r="H796" s="7" t="s">
        <v>194</v>
      </c>
      <c r="I796" s="5">
        <v>0</v>
      </c>
      <c r="J796" s="5">
        <v>0</v>
      </c>
      <c r="K796">
        <v>2</v>
      </c>
      <c r="L796">
        <v>1.5</v>
      </c>
      <c r="M796" s="5">
        <v>1.5</v>
      </c>
      <c r="N796" s="5">
        <v>10</v>
      </c>
      <c r="O796" s="5">
        <f t="shared" si="5555"/>
        <v>136703</v>
      </c>
      <c r="P796" s="5">
        <f t="shared" si="5556"/>
        <v>771456000</v>
      </c>
      <c r="Q796" s="5">
        <f t="shared" si="5557"/>
        <v>12857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70011</v>
      </c>
      <c r="X796" s="6" t="s">
        <v>179</v>
      </c>
      <c r="Y796" s="5">
        <v>300</v>
      </c>
      <c r="Z796" s="5">
        <v>1</v>
      </c>
      <c r="AA796" s="5">
        <v>438681600</v>
      </c>
      <c r="AB796" s="16" t="s">
        <v>111</v>
      </c>
      <c r="AC796" s="7" t="s">
        <v>112</v>
      </c>
      <c r="AD796" s="7" t="s">
        <v>112</v>
      </c>
      <c r="AE796" s="7" t="s">
        <v>112</v>
      </c>
      <c r="AF796" s="6" t="s">
        <v>113</v>
      </c>
      <c r="AG796" s="26" t="str">
        <f t="shared" ref="AG796" si="5734">CM$4</f>
        <v>4,33,28,33,6,4,33,28,33,6</v>
      </c>
      <c r="AH796" s="26" t="str">
        <f t="shared" ref="AH796" si="5735">CN$4</f>
        <v>0,8,0,8,1,0,8,0,8,1</v>
      </c>
      <c r="AI796" s="26" t="str">
        <f t="shared" ref="AI796" si="5736">CO$4</f>
        <v>0,0,0,0,1,0,0,0,0,1</v>
      </c>
      <c r="AJ796" s="26" t="str">
        <f t="shared" ref="AJ796" si="5737">CP$4</f>
        <v>0,0,0,0,5,0,0,0,0,5</v>
      </c>
      <c r="AK796" s="26" t="str">
        <f t="shared" ref="AK796" si="5738">CQ$4</f>
        <v>100,1,1000,2,5,200,1,1000,2,5</v>
      </c>
      <c r="AL796" s="26" t="str">
        <f t="shared" ref="AL796" si="5739">CR$4</f>
        <v>5,5,5,5,5,5,5,5,5,5</v>
      </c>
      <c r="AM796" s="7">
        <v>2001</v>
      </c>
      <c r="AO796">
        <f t="shared" ref="AO796" si="5740">AQ796*100+1</f>
        <v>8901</v>
      </c>
      <c r="AP796">
        <v>792</v>
      </c>
      <c r="AQ796">
        <f t="shared" si="5565"/>
        <v>89</v>
      </c>
      <c r="AR796">
        <v>13</v>
      </c>
      <c r="AS796" s="17">
        <f t="shared" si="5646"/>
        <v>480</v>
      </c>
      <c r="AT796">
        <v>12</v>
      </c>
      <c r="AU796">
        <f t="shared" si="5566"/>
        <v>36</v>
      </c>
      <c r="AV796">
        <v>150</v>
      </c>
      <c r="AW796">
        <f t="shared" si="5567"/>
        <v>136703.50848000002</v>
      </c>
      <c r="AX796">
        <f t="shared" si="5696"/>
        <v>771456000</v>
      </c>
      <c r="AY796">
        <f t="shared" si="5568"/>
        <v>12857.599999999999</v>
      </c>
      <c r="AZ796">
        <f t="shared" si="5569"/>
        <v>25715.199999999997</v>
      </c>
      <c r="BA796">
        <f t="shared" si="5570"/>
        <v>150528.00000000003</v>
      </c>
      <c r="BB796">
        <f t="shared" si="5571"/>
        <v>6428.7999999999993</v>
      </c>
      <c r="BC796">
        <f t="shared" si="5697"/>
        <v>771456000</v>
      </c>
      <c r="BD796">
        <f t="shared" si="5572"/>
        <v>0.29411764705882354</v>
      </c>
      <c r="BE796" s="27">
        <f t="shared" si="5698"/>
        <v>1770554470.8096001</v>
      </c>
      <c r="BF796" s="30">
        <f t="shared" si="5573"/>
        <v>0.51359999999999995</v>
      </c>
      <c r="BG796" s="27"/>
      <c r="BH796" s="27"/>
      <c r="BI796" s="27"/>
      <c r="CA796" s="20">
        <f t="shared" si="5574"/>
        <v>540</v>
      </c>
      <c r="CB796" s="20">
        <f t="shared" si="5575"/>
        <v>54000</v>
      </c>
    </row>
    <row r="797" spans="1:80" x14ac:dyDescent="0.15">
      <c r="A797">
        <v>8902</v>
      </c>
      <c r="B797" s="3" t="s">
        <v>115</v>
      </c>
      <c r="C797" s="4" t="s">
        <v>109</v>
      </c>
      <c r="D797" s="6" t="s">
        <v>110</v>
      </c>
      <c r="E797" s="5">
        <v>3</v>
      </c>
      <c r="F797" s="7" t="s">
        <v>142</v>
      </c>
      <c r="G797" s="5">
        <v>3</v>
      </c>
      <c r="H797" s="7" t="s">
        <v>188</v>
      </c>
      <c r="I797" s="5">
        <v>0</v>
      </c>
      <c r="J797" s="5">
        <v>0</v>
      </c>
      <c r="K797">
        <v>2</v>
      </c>
      <c r="L797">
        <v>1.5</v>
      </c>
      <c r="M797" s="5">
        <v>1.5</v>
      </c>
      <c r="N797" s="5">
        <v>10</v>
      </c>
      <c r="O797" s="5">
        <f t="shared" si="5555"/>
        <v>138098</v>
      </c>
      <c r="P797" s="5">
        <f t="shared" si="5556"/>
        <v>779328000</v>
      </c>
      <c r="Q797" s="5">
        <f t="shared" si="5557"/>
        <v>12988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70021</v>
      </c>
      <c r="X797" s="6" t="s">
        <v>180</v>
      </c>
      <c r="Y797" s="5">
        <v>300</v>
      </c>
      <c r="Z797" s="5">
        <v>1</v>
      </c>
      <c r="AA797" s="5">
        <v>379415716</v>
      </c>
      <c r="AB797" s="16" t="s">
        <v>111</v>
      </c>
      <c r="AC797" s="7" t="s">
        <v>112</v>
      </c>
      <c r="AD797" s="7" t="s">
        <v>112</v>
      </c>
      <c r="AE797" s="7" t="s">
        <v>112</v>
      </c>
      <c r="AF797" s="6" t="s">
        <v>113</v>
      </c>
      <c r="AG797" s="26" t="str">
        <f t="shared" ref="AG797" si="5741">CM$5</f>
        <v>4,33,28,33,6,4,33,28,33,6</v>
      </c>
      <c r="AH797" s="26" t="str">
        <f t="shared" ref="AH797" si="5742">CN$5</f>
        <v>0,7,0,7,1,0,7,0,7,1</v>
      </c>
      <c r="AI797" s="26" t="str">
        <f t="shared" ref="AI797" si="5743">CO$5</f>
        <v>0,0,0,0,1,0,0,0,0,1</v>
      </c>
      <c r="AJ797" s="26" t="str">
        <f t="shared" ref="AJ797" si="5744">CP$5</f>
        <v>0,0,0,0,5,0,0,0,0,5</v>
      </c>
      <c r="AK797" s="26" t="str">
        <f t="shared" ref="AK797" si="5745">CQ$5</f>
        <v>100,1,1000,2,5,200,1,1000,2,5</v>
      </c>
      <c r="AL797" s="26" t="str">
        <f t="shared" ref="AL797" si="5746">CR$5</f>
        <v>5,5,5,5,5,5,5,5,5,5</v>
      </c>
      <c r="AM797" s="7">
        <v>2001</v>
      </c>
      <c r="AO797">
        <f t="shared" ref="AO797" si="5747">AQ797*100+2</f>
        <v>8902</v>
      </c>
      <c r="AP797">
        <v>793</v>
      </c>
      <c r="AQ797">
        <f t="shared" si="5565"/>
        <v>89</v>
      </c>
      <c r="AR797">
        <v>13</v>
      </c>
      <c r="AS797" s="17">
        <f t="shared" si="5646"/>
        <v>485</v>
      </c>
      <c r="AT797">
        <v>12</v>
      </c>
      <c r="AU797">
        <f t="shared" si="5566"/>
        <v>36</v>
      </c>
      <c r="AV797">
        <v>150</v>
      </c>
      <c r="AW797">
        <f t="shared" si="5567"/>
        <v>138098.44224</v>
      </c>
      <c r="AX797">
        <f t="shared" si="5696"/>
        <v>779328000</v>
      </c>
      <c r="AY797">
        <f t="shared" si="5568"/>
        <v>12988.8</v>
      </c>
      <c r="AZ797">
        <f t="shared" si="5569"/>
        <v>25977.599999999999</v>
      </c>
      <c r="BA797">
        <f t="shared" si="5570"/>
        <v>152064.00000000003</v>
      </c>
      <c r="BB797">
        <f t="shared" si="5571"/>
        <v>6494.4</v>
      </c>
      <c r="BC797">
        <f t="shared" si="5697"/>
        <v>779328000</v>
      </c>
      <c r="BD797">
        <f t="shared" si="5572"/>
        <v>0.29411764705882359</v>
      </c>
      <c r="BE797" s="27">
        <f t="shared" si="5698"/>
        <v>1806872591.4624004</v>
      </c>
      <c r="BF797" s="30">
        <f t="shared" si="5573"/>
        <v>0.51359999999999995</v>
      </c>
      <c r="BG797" s="27"/>
      <c r="BH797" s="27"/>
      <c r="BI797" s="27"/>
      <c r="CA797" s="20">
        <f t="shared" si="5574"/>
        <v>540</v>
      </c>
      <c r="CB797" s="20">
        <f t="shared" si="5575"/>
        <v>54000</v>
      </c>
    </row>
    <row r="798" spans="1:80" x14ac:dyDescent="0.15">
      <c r="A798">
        <v>8903</v>
      </c>
      <c r="B798" s="3" t="s">
        <v>117</v>
      </c>
      <c r="C798" s="4" t="s">
        <v>109</v>
      </c>
      <c r="D798" s="4" t="s">
        <v>110</v>
      </c>
      <c r="E798" s="5">
        <v>1</v>
      </c>
      <c r="F798" s="7" t="s">
        <v>144</v>
      </c>
      <c r="G798" s="5">
        <v>3</v>
      </c>
      <c r="H798" s="7" t="s">
        <v>189</v>
      </c>
      <c r="I798" s="5">
        <v>0</v>
      </c>
      <c r="J798" s="2">
        <v>0</v>
      </c>
      <c r="K798">
        <v>6</v>
      </c>
      <c r="L798">
        <v>1.5</v>
      </c>
      <c r="M798" s="5">
        <v>1.5</v>
      </c>
      <c r="N798" s="5">
        <v>10</v>
      </c>
      <c r="O798" s="5">
        <f t="shared" si="5555"/>
        <v>139493</v>
      </c>
      <c r="P798" s="5">
        <f t="shared" si="5556"/>
        <v>787200000</v>
      </c>
      <c r="Q798" s="5">
        <f t="shared" si="5557"/>
        <v>13120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70031</v>
      </c>
      <c r="X798" s="6" t="s">
        <v>181</v>
      </c>
      <c r="Y798" s="5">
        <v>300</v>
      </c>
      <c r="Z798" s="5">
        <v>1</v>
      </c>
      <c r="AA798" s="5">
        <v>387619062</v>
      </c>
      <c r="AB798" s="16" t="s">
        <v>111</v>
      </c>
      <c r="AC798" s="7" t="s">
        <v>112</v>
      </c>
      <c r="AD798" s="7" t="s">
        <v>112</v>
      </c>
      <c r="AE798" s="7" t="s">
        <v>112</v>
      </c>
      <c r="AF798" s="6" t="s">
        <v>113</v>
      </c>
      <c r="AG798" s="26" t="str">
        <f t="shared" ref="AG798" si="5748">CM$6</f>
        <v>4,28,6,28,6,4,28,6,28,6</v>
      </c>
      <c r="AH798" s="26" t="str">
        <f t="shared" ref="AH798" si="5749">CN$6</f>
        <v>0,0,1,0,1,0,0,1,0,1</v>
      </c>
      <c r="AI798" s="26" t="str">
        <f t="shared" ref="AI798" si="5750">CO$6</f>
        <v>0,0,0,0,1,0,0,0,0,1</v>
      </c>
      <c r="AJ798" s="26" t="str">
        <f t="shared" ref="AJ798" si="5751">CP$6</f>
        <v>0,0,5,0,5,0,0,5,0,5</v>
      </c>
      <c r="AK798" s="26" t="str">
        <f t="shared" ref="AK798" si="5752">CQ$6</f>
        <v>100,1000,5,1500,5,200,1000,5,1500,5</v>
      </c>
      <c r="AL798" s="26" t="str">
        <f t="shared" ref="AL798" si="5753">CR$6</f>
        <v>5,5,5,5,5,5,5,5,5,5</v>
      </c>
      <c r="AM798" s="7">
        <v>2001</v>
      </c>
      <c r="AO798">
        <f t="shared" ref="AO798" si="5754">AQ798*100+3</f>
        <v>8903</v>
      </c>
      <c r="AP798">
        <v>794</v>
      </c>
      <c r="AQ798">
        <f t="shared" si="5565"/>
        <v>89</v>
      </c>
      <c r="AR798">
        <v>13</v>
      </c>
      <c r="AS798" s="17">
        <f t="shared" si="5646"/>
        <v>490</v>
      </c>
      <c r="AT798">
        <v>12</v>
      </c>
      <c r="AU798">
        <f t="shared" si="5566"/>
        <v>36</v>
      </c>
      <c r="AV798">
        <v>150</v>
      </c>
      <c r="AW798">
        <f t="shared" si="5567"/>
        <v>139493.37600000002</v>
      </c>
      <c r="AX798">
        <f t="shared" si="5696"/>
        <v>787200000</v>
      </c>
      <c r="AY798">
        <f t="shared" si="5568"/>
        <v>13119.999999999998</v>
      </c>
      <c r="AZ798">
        <f t="shared" si="5569"/>
        <v>26239.999999999996</v>
      </c>
      <c r="BA798">
        <f t="shared" si="5570"/>
        <v>153600.00000000003</v>
      </c>
      <c r="BB798">
        <f t="shared" si="5571"/>
        <v>6559.9999999999991</v>
      </c>
      <c r="BC798">
        <f t="shared" si="5697"/>
        <v>787200000</v>
      </c>
      <c r="BD798">
        <f t="shared" si="5572"/>
        <v>0.29411764705882354</v>
      </c>
      <c r="BE798" s="27">
        <f t="shared" si="5698"/>
        <v>1843559424</v>
      </c>
      <c r="BF798" s="30">
        <f t="shared" si="5573"/>
        <v>0.51359999999999995</v>
      </c>
      <c r="BG798" s="27"/>
      <c r="BH798" s="27"/>
      <c r="BI798" s="27"/>
      <c r="CA798" s="20">
        <f t="shared" si="5574"/>
        <v>540</v>
      </c>
      <c r="CB798" s="20">
        <f t="shared" si="5575"/>
        <v>54000</v>
      </c>
    </row>
    <row r="799" spans="1:80" x14ac:dyDescent="0.15">
      <c r="A799">
        <v>8904</v>
      </c>
      <c r="B799" s="3" t="s">
        <v>119</v>
      </c>
      <c r="C799" s="4" t="s">
        <v>109</v>
      </c>
      <c r="D799" s="6" t="s">
        <v>120</v>
      </c>
      <c r="E799" s="5">
        <v>3</v>
      </c>
      <c r="F799" s="7" t="s">
        <v>145</v>
      </c>
      <c r="G799" s="5">
        <v>3</v>
      </c>
      <c r="H799" s="7" t="s">
        <v>190</v>
      </c>
      <c r="I799" s="5">
        <v>0</v>
      </c>
      <c r="J799" s="5">
        <v>0</v>
      </c>
      <c r="K799">
        <v>2</v>
      </c>
      <c r="L799">
        <v>1.5</v>
      </c>
      <c r="M799" s="5">
        <v>1.5</v>
      </c>
      <c r="N799" s="5">
        <v>10</v>
      </c>
      <c r="O799" s="5">
        <f t="shared" si="5555"/>
        <v>140888</v>
      </c>
      <c r="P799" s="5">
        <f t="shared" si="5556"/>
        <v>795072000</v>
      </c>
      <c r="Q799" s="5">
        <f t="shared" si="5557"/>
        <v>13251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70041</v>
      </c>
      <c r="X799" s="6" t="s">
        <v>182</v>
      </c>
      <c r="Y799" s="5">
        <v>300</v>
      </c>
      <c r="Z799" s="5">
        <v>1</v>
      </c>
      <c r="AA799" s="5">
        <v>395910144</v>
      </c>
      <c r="AB799" s="16" t="s">
        <v>111</v>
      </c>
      <c r="AC799" s="7" t="s">
        <v>112</v>
      </c>
      <c r="AD799" s="7" t="s">
        <v>112</v>
      </c>
      <c r="AE799" s="7" t="s">
        <v>112</v>
      </c>
      <c r="AF799" s="6" t="s">
        <v>113</v>
      </c>
      <c r="AG799" s="26" t="str">
        <f t="shared" ref="AG799" si="5755">CM$7</f>
        <v>4,14,28,14,6,4,14,28,14,6</v>
      </c>
      <c r="AH799" s="26" t="str">
        <f t="shared" ref="AH799" si="5756">CN$7</f>
        <v>0,0,0,0,1,0,0,0,0,1</v>
      </c>
      <c r="AI799" s="26" t="str">
        <f t="shared" ref="AI799" si="5757">CO$7</f>
        <v>0,0,0,0,1,0,0,0,0,1</v>
      </c>
      <c r="AJ799" s="26" t="str">
        <f t="shared" ref="AJ799" si="5758">CP$7</f>
        <v>0,0,0,0,5,0,0,0,0,5</v>
      </c>
      <c r="AK799" s="26" t="str">
        <f t="shared" ref="AK799" si="5759">CQ$7</f>
        <v>100,1,1000,2,5,200,1,1000,2,5</v>
      </c>
      <c r="AL799" s="26" t="str">
        <f t="shared" ref="AL799" si="5760">CR$7</f>
        <v>5,5,5,5,5,5,5,5,5,5</v>
      </c>
      <c r="AM799" s="7">
        <v>2001</v>
      </c>
      <c r="AO799">
        <f t="shared" ref="AO799" si="5761">AQ799*100+4</f>
        <v>8904</v>
      </c>
      <c r="AP799">
        <v>795</v>
      </c>
      <c r="AQ799">
        <f t="shared" si="5565"/>
        <v>89</v>
      </c>
      <c r="AR799">
        <v>13</v>
      </c>
      <c r="AS799" s="17">
        <f t="shared" si="5646"/>
        <v>495</v>
      </c>
      <c r="AT799">
        <v>12</v>
      </c>
      <c r="AU799">
        <f t="shared" si="5566"/>
        <v>36</v>
      </c>
      <c r="AV799">
        <v>150</v>
      </c>
      <c r="AW799">
        <f t="shared" si="5567"/>
        <v>140888.30976</v>
      </c>
      <c r="AX799">
        <f t="shared" si="5696"/>
        <v>795072000</v>
      </c>
      <c r="AY799">
        <f t="shared" si="5568"/>
        <v>13251.199999999999</v>
      </c>
      <c r="AZ799">
        <f t="shared" si="5569"/>
        <v>26502.399999999998</v>
      </c>
      <c r="BA799">
        <f t="shared" si="5570"/>
        <v>155136.00000000003</v>
      </c>
      <c r="BB799">
        <f t="shared" si="5571"/>
        <v>6625.5999999999995</v>
      </c>
      <c r="BC799">
        <f t="shared" si="5697"/>
        <v>795072000</v>
      </c>
      <c r="BD799">
        <f t="shared" si="5572"/>
        <v>0.29411764705882354</v>
      </c>
      <c r="BE799" s="27">
        <f t="shared" si="5698"/>
        <v>1880614968.4224002</v>
      </c>
      <c r="BF799" s="30">
        <f t="shared" si="5573"/>
        <v>0.51359999999999995</v>
      </c>
      <c r="BG799" s="27"/>
      <c r="BH799" s="27"/>
      <c r="BI799" s="27"/>
      <c r="CA799" s="20">
        <f t="shared" si="5574"/>
        <v>540</v>
      </c>
      <c r="CB799" s="20">
        <f t="shared" si="5575"/>
        <v>54000</v>
      </c>
    </row>
    <row r="800" spans="1:80" x14ac:dyDescent="0.15">
      <c r="A800">
        <v>8905</v>
      </c>
      <c r="B800" s="3" t="s">
        <v>122</v>
      </c>
      <c r="C800" s="4" t="s">
        <v>109</v>
      </c>
      <c r="D800" s="4" t="s">
        <v>110</v>
      </c>
      <c r="E800" s="5">
        <v>2</v>
      </c>
      <c r="F800" s="7" t="s">
        <v>146</v>
      </c>
      <c r="G800" s="5">
        <v>3</v>
      </c>
      <c r="H800" s="7" t="s">
        <v>191</v>
      </c>
      <c r="I800" s="5">
        <v>0</v>
      </c>
      <c r="J800" s="7" t="s">
        <v>148</v>
      </c>
      <c r="K800">
        <v>6</v>
      </c>
      <c r="L800">
        <v>1.5</v>
      </c>
      <c r="M800" s="5">
        <v>1.5</v>
      </c>
      <c r="N800" s="5">
        <v>10</v>
      </c>
      <c r="O800" s="5">
        <f t="shared" si="5555"/>
        <v>142283</v>
      </c>
      <c r="P800" s="5">
        <f t="shared" si="5556"/>
        <v>802944000</v>
      </c>
      <c r="Q800" s="5">
        <f t="shared" si="5557"/>
        <v>13382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70051</v>
      </c>
      <c r="X800" s="6" t="s">
        <v>183</v>
      </c>
      <c r="Y800" s="5">
        <v>300</v>
      </c>
      <c r="Z800" s="5">
        <v>1</v>
      </c>
      <c r="AA800" s="5">
        <v>404288963</v>
      </c>
      <c r="AB800" s="16" t="s">
        <v>111</v>
      </c>
      <c r="AC800" s="7" t="s">
        <v>112</v>
      </c>
      <c r="AD800" s="7" t="s">
        <v>112</v>
      </c>
      <c r="AE800" s="7" t="s">
        <v>112</v>
      </c>
      <c r="AF800" s="6" t="s">
        <v>113</v>
      </c>
      <c r="AG800" s="26" t="str">
        <f t="shared" ref="AG800" si="5762">CM$8</f>
        <v>4,19,28,19,6,4,19,28,19,6</v>
      </c>
      <c r="AH800" s="26" t="str">
        <f t="shared" ref="AH800" si="5763">CN$8</f>
        <v>0,0,0,0,1,0,0,0,0,1</v>
      </c>
      <c r="AI800" s="26" t="str">
        <f t="shared" ref="AI800" si="5764">CO$8</f>
        <v>0,0,0,0,1,0,0,0,0,1</v>
      </c>
      <c r="AJ800" s="26" t="str">
        <f t="shared" ref="AJ800" si="5765">CP$8</f>
        <v>0,0,0,0,5,0,0,0,0,5</v>
      </c>
      <c r="AK800" s="26" t="str">
        <f t="shared" ref="AK800" si="5766">CQ$8</f>
        <v>200,100,1000,200,5,200,100,1000,200,5</v>
      </c>
      <c r="AL800" s="26" t="str">
        <f t="shared" ref="AL800" si="5767">CR$8</f>
        <v>5,5,5,5,5,5,5,5,5,5</v>
      </c>
      <c r="AM800" s="7">
        <v>2001</v>
      </c>
      <c r="AO800">
        <f t="shared" ref="AO800" si="5768">AQ800*100+5</f>
        <v>8905</v>
      </c>
      <c r="AP800">
        <v>796</v>
      </c>
      <c r="AQ800">
        <f t="shared" si="5565"/>
        <v>89</v>
      </c>
      <c r="AR800">
        <v>13</v>
      </c>
      <c r="AS800" s="17">
        <f t="shared" si="5646"/>
        <v>500</v>
      </c>
      <c r="AT800">
        <v>12</v>
      </c>
      <c r="AU800">
        <f t="shared" si="5566"/>
        <v>36</v>
      </c>
      <c r="AV800">
        <v>150</v>
      </c>
      <c r="AW800">
        <f t="shared" si="5567"/>
        <v>142283.24351999999</v>
      </c>
      <c r="AX800">
        <f t="shared" si="5696"/>
        <v>802944000</v>
      </c>
      <c r="AY800">
        <f t="shared" si="5568"/>
        <v>13382.4</v>
      </c>
      <c r="AZ800">
        <f t="shared" si="5569"/>
        <v>26764.799999999999</v>
      </c>
      <c r="BA800">
        <f t="shared" si="5570"/>
        <v>156672.00000000003</v>
      </c>
      <c r="BB800">
        <f t="shared" si="5571"/>
        <v>6691.2</v>
      </c>
      <c r="BC800">
        <f t="shared" si="5697"/>
        <v>802944000</v>
      </c>
      <c r="BD800">
        <f t="shared" si="5572"/>
        <v>0.29411764705882354</v>
      </c>
      <c r="BE800" s="27">
        <f t="shared" si="5698"/>
        <v>1918039224.7296002</v>
      </c>
      <c r="BF800" s="30">
        <f t="shared" si="5573"/>
        <v>0.51359999999999995</v>
      </c>
      <c r="BG800" s="27"/>
      <c r="BH800" s="27"/>
      <c r="BI800" s="27"/>
      <c r="CA800" s="20">
        <f t="shared" si="5574"/>
        <v>540</v>
      </c>
      <c r="CB800" s="20">
        <f t="shared" si="5575"/>
        <v>54000</v>
      </c>
    </row>
    <row r="801" spans="1:80" x14ac:dyDescent="0.15">
      <c r="A801">
        <v>8906</v>
      </c>
      <c r="B801" s="3" t="s">
        <v>124</v>
      </c>
      <c r="C801" s="4" t="s">
        <v>109</v>
      </c>
      <c r="D801" s="6" t="s">
        <v>120</v>
      </c>
      <c r="E801" s="5">
        <v>1</v>
      </c>
      <c r="F801" s="7" t="s">
        <v>147</v>
      </c>
      <c r="G801" s="5">
        <v>3</v>
      </c>
      <c r="H801" s="7" t="s">
        <v>192</v>
      </c>
      <c r="I801" s="5">
        <v>0</v>
      </c>
      <c r="J801" s="7" t="s">
        <v>149</v>
      </c>
      <c r="K801">
        <v>6</v>
      </c>
      <c r="L801">
        <v>1.5</v>
      </c>
      <c r="M801" s="5">
        <v>1.5</v>
      </c>
      <c r="N801" s="5">
        <v>10</v>
      </c>
      <c r="O801" s="5">
        <f t="shared" si="5555"/>
        <v>143678</v>
      </c>
      <c r="P801" s="5">
        <f t="shared" si="5556"/>
        <v>810816000</v>
      </c>
      <c r="Q801" s="5">
        <f t="shared" si="5557"/>
        <v>13513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70061</v>
      </c>
      <c r="X801" s="6" t="s">
        <v>184</v>
      </c>
      <c r="Y801" s="5">
        <v>300</v>
      </c>
      <c r="Z801" s="5">
        <v>1</v>
      </c>
      <c r="AA801" s="5">
        <v>412755517</v>
      </c>
      <c r="AB801" s="16" t="s">
        <v>111</v>
      </c>
      <c r="AC801" s="7" t="s">
        <v>112</v>
      </c>
      <c r="AD801" s="7" t="s">
        <v>112</v>
      </c>
      <c r="AE801" s="7" t="s">
        <v>112</v>
      </c>
      <c r="AF801" s="6" t="s">
        <v>113</v>
      </c>
      <c r="AG801" s="26" t="str">
        <f t="shared" ref="AG801" si="5769">CM$9</f>
        <v>4,33,28,33,6,4,33,28,33,6</v>
      </c>
      <c r="AH801" s="26" t="str">
        <f t="shared" ref="AH801" si="5770">CN$9</f>
        <v>0,6,0,6,1,0,6,0,6,1</v>
      </c>
      <c r="AI801" s="26" t="str">
        <f t="shared" ref="AI801" si="5771">CO$9</f>
        <v>0,0,0,0,1,0,0,0,0,1</v>
      </c>
      <c r="AJ801" s="26" t="str">
        <f t="shared" ref="AJ801" si="5772">CP$9</f>
        <v>0,0,0,0,5,0,0,0,0,5</v>
      </c>
      <c r="AK801" s="26" t="str">
        <f t="shared" ref="AK801" si="5773">CQ$9</f>
        <v>200,1,1000,2,5,200,1,1000,2,5</v>
      </c>
      <c r="AL801" s="26" t="str">
        <f t="shared" ref="AL801" si="5774">CR$9</f>
        <v>5,5,5,5,5,5,5,5,5,5</v>
      </c>
      <c r="AM801" s="7">
        <v>2001</v>
      </c>
      <c r="AO801">
        <f t="shared" ref="AO801" si="5775">AQ801*100+6</f>
        <v>8906</v>
      </c>
      <c r="AP801">
        <v>797</v>
      </c>
      <c r="AQ801">
        <f t="shared" si="5565"/>
        <v>89</v>
      </c>
      <c r="AR801">
        <v>13</v>
      </c>
      <c r="AS801" s="17">
        <f t="shared" si="5646"/>
        <v>505</v>
      </c>
      <c r="AT801">
        <v>12</v>
      </c>
      <c r="AU801">
        <f t="shared" si="5566"/>
        <v>36</v>
      </c>
      <c r="AV801">
        <v>150</v>
      </c>
      <c r="AW801">
        <f t="shared" si="5567"/>
        <v>143678.17728</v>
      </c>
      <c r="AX801">
        <f t="shared" si="5696"/>
        <v>810816000</v>
      </c>
      <c r="AY801">
        <f t="shared" si="5568"/>
        <v>13513.599999999999</v>
      </c>
      <c r="AZ801">
        <f t="shared" si="5569"/>
        <v>27027.199999999997</v>
      </c>
      <c r="BA801">
        <f t="shared" si="5570"/>
        <v>158208.00000000003</v>
      </c>
      <c r="BB801">
        <f t="shared" si="5571"/>
        <v>6756.7999999999993</v>
      </c>
      <c r="BC801">
        <f t="shared" si="5697"/>
        <v>810816000</v>
      </c>
      <c r="BD801">
        <f t="shared" si="5572"/>
        <v>0.29411764705882354</v>
      </c>
      <c r="BE801" s="27">
        <f t="shared" si="5698"/>
        <v>1955832192.9216001</v>
      </c>
      <c r="BF801" s="30">
        <f t="shared" si="5573"/>
        <v>0.51359999999999995</v>
      </c>
      <c r="BG801" s="27"/>
      <c r="BH801" s="27"/>
      <c r="BI801" s="27"/>
      <c r="CA801" s="20">
        <f t="shared" si="5574"/>
        <v>540</v>
      </c>
      <c r="CB801" s="20">
        <f t="shared" si="5575"/>
        <v>54000</v>
      </c>
    </row>
    <row r="802" spans="1:80" x14ac:dyDescent="0.15">
      <c r="A802">
        <v>8907</v>
      </c>
      <c r="B802" s="3" t="s">
        <v>126</v>
      </c>
      <c r="C802" s="4" t="s">
        <v>109</v>
      </c>
      <c r="D802" s="4" t="s">
        <v>110</v>
      </c>
      <c r="E802" s="5">
        <v>2</v>
      </c>
      <c r="F802" s="7" t="s">
        <v>143</v>
      </c>
      <c r="G802" s="5">
        <v>3</v>
      </c>
      <c r="H802" s="7" t="s">
        <v>193</v>
      </c>
      <c r="I802" s="5">
        <v>0</v>
      </c>
      <c r="J802" s="5">
        <v>0</v>
      </c>
      <c r="K802">
        <v>2</v>
      </c>
      <c r="L802">
        <v>1.5</v>
      </c>
      <c r="M802" s="5">
        <v>1.5</v>
      </c>
      <c r="N802" s="5">
        <v>10</v>
      </c>
      <c r="O802" s="5">
        <f t="shared" si="5555"/>
        <v>145073</v>
      </c>
      <c r="P802" s="5">
        <f t="shared" si="5556"/>
        <v>818688000</v>
      </c>
      <c r="Q802" s="5">
        <f t="shared" si="5557"/>
        <v>13644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70071</v>
      </c>
      <c r="X802" s="6" t="s">
        <v>185</v>
      </c>
      <c r="Y802" s="5">
        <v>300</v>
      </c>
      <c r="Z802" s="5">
        <v>1</v>
      </c>
      <c r="AA802" s="5">
        <v>421309809</v>
      </c>
      <c r="AB802" s="16" t="s">
        <v>111</v>
      </c>
      <c r="AC802" s="7" t="s">
        <v>112</v>
      </c>
      <c r="AD802" s="7" t="s">
        <v>112</v>
      </c>
      <c r="AE802" s="7" t="s">
        <v>112</v>
      </c>
      <c r="AF802" s="6" t="s">
        <v>113</v>
      </c>
      <c r="AG802" s="26" t="str">
        <f t="shared" ref="AG802" si="5776">CM$10</f>
        <v>4,14,28,14,6,4,14,28,14,6</v>
      </c>
      <c r="AH802" s="26" t="str">
        <f t="shared" ref="AH802" si="5777">CN$10</f>
        <v>0,0,0,0,1,0,0,0,0,1</v>
      </c>
      <c r="AI802" s="26" t="str">
        <f t="shared" ref="AI802" si="5778">CO$10</f>
        <v>0,0,0,0,1,0,0,0,0,1</v>
      </c>
      <c r="AJ802" s="26" t="str">
        <f t="shared" ref="AJ802" si="5779">CP$10</f>
        <v>0,0,0,0,5,0,0,0,0,5</v>
      </c>
      <c r="AK802" s="26" t="str">
        <f t="shared" ref="AK802" si="5780">CQ$10</f>
        <v>200,1,1000,2,5,200,1,1000,2,5</v>
      </c>
      <c r="AL802" s="26" t="str">
        <f t="shared" ref="AL802" si="5781">CR$10</f>
        <v>5,5,5,5,5,5,5,5,5,5</v>
      </c>
      <c r="AM802" s="7">
        <v>2001</v>
      </c>
      <c r="AO802">
        <f t="shared" ref="AO802" si="5782">AQ802*100+7</f>
        <v>8907</v>
      </c>
      <c r="AP802">
        <v>798</v>
      </c>
      <c r="AQ802">
        <f t="shared" si="5565"/>
        <v>89</v>
      </c>
      <c r="AR802">
        <v>13</v>
      </c>
      <c r="AS802" s="17">
        <f t="shared" si="5646"/>
        <v>510</v>
      </c>
      <c r="AT802">
        <v>12</v>
      </c>
      <c r="AU802">
        <f t="shared" si="5566"/>
        <v>36</v>
      </c>
      <c r="AV802">
        <v>150</v>
      </c>
      <c r="AW802">
        <f t="shared" si="5567"/>
        <v>145073.11103999999</v>
      </c>
      <c r="AX802">
        <f t="shared" si="5696"/>
        <v>818688000</v>
      </c>
      <c r="AY802">
        <f t="shared" si="5568"/>
        <v>13644.8</v>
      </c>
      <c r="AZ802">
        <f t="shared" si="5569"/>
        <v>27289.599999999999</v>
      </c>
      <c r="BA802">
        <f t="shared" si="5570"/>
        <v>159744.00000000003</v>
      </c>
      <c r="BB802">
        <f t="shared" si="5571"/>
        <v>6822.4</v>
      </c>
      <c r="BC802">
        <f t="shared" si="5697"/>
        <v>818688000</v>
      </c>
      <c r="BD802">
        <f t="shared" si="5572"/>
        <v>0.29411764705882359</v>
      </c>
      <c r="BE802" s="27">
        <f t="shared" si="5698"/>
        <v>1993993872.9984004</v>
      </c>
      <c r="BF802" s="30">
        <f t="shared" si="5573"/>
        <v>0.51359999999999995</v>
      </c>
      <c r="BG802" s="27"/>
      <c r="BH802" s="27"/>
      <c r="BI802" s="27"/>
      <c r="CA802" s="20">
        <f t="shared" si="5574"/>
        <v>540</v>
      </c>
      <c r="CB802" s="20">
        <f t="shared" si="5575"/>
        <v>54000</v>
      </c>
    </row>
    <row r="803" spans="1:80" x14ac:dyDescent="0.15">
      <c r="A803">
        <v>8908</v>
      </c>
      <c r="B803" s="3" t="s">
        <v>128</v>
      </c>
      <c r="C803" s="4" t="s">
        <v>109</v>
      </c>
      <c r="D803" s="4" t="s">
        <v>110</v>
      </c>
      <c r="E803" s="5">
        <v>5</v>
      </c>
      <c r="F803" s="7" t="s">
        <v>129</v>
      </c>
      <c r="G803" s="5">
        <v>2</v>
      </c>
      <c r="H803" s="7" t="s">
        <v>130</v>
      </c>
      <c r="I803" s="5">
        <v>0</v>
      </c>
      <c r="J803" s="5">
        <v>0</v>
      </c>
      <c r="K803">
        <v>2</v>
      </c>
      <c r="L803">
        <v>1.5</v>
      </c>
      <c r="M803" s="5">
        <v>1.5</v>
      </c>
      <c r="N803" s="5">
        <v>10</v>
      </c>
      <c r="O803" s="5">
        <f t="shared" si="5555"/>
        <v>146468</v>
      </c>
      <c r="P803" s="5">
        <f t="shared" si="5556"/>
        <v>826560000</v>
      </c>
      <c r="Q803" s="5">
        <f t="shared" si="5557"/>
        <v>13776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70081</v>
      </c>
      <c r="X803" s="6" t="s">
        <v>186</v>
      </c>
      <c r="Y803" s="5">
        <v>300</v>
      </c>
      <c r="Z803" s="5">
        <v>1</v>
      </c>
      <c r="AA803" s="5">
        <v>429951836</v>
      </c>
      <c r="AB803" s="16" t="s">
        <v>111</v>
      </c>
      <c r="AC803" s="7" t="s">
        <v>112</v>
      </c>
      <c r="AD803" s="7" t="s">
        <v>112</v>
      </c>
      <c r="AE803" s="7" t="s">
        <v>112</v>
      </c>
      <c r="AF803" s="6" t="s">
        <v>113</v>
      </c>
      <c r="AG803" s="26" t="str">
        <f t="shared" ref="AG803" si="5783">CM$11</f>
        <v>4,28,6,28,6,4,28,6,28,6</v>
      </c>
      <c r="AH803" s="26" t="str">
        <f t="shared" ref="AH803" si="5784">CN$11</f>
        <v>0,0,1,0,1,0,0,1,0,1</v>
      </c>
      <c r="AI803" s="26" t="str">
        <f t="shared" ref="AI803" si="5785">CO$11</f>
        <v>0,0,1,0,1,0,0,1,0,1</v>
      </c>
      <c r="AJ803" s="26" t="str">
        <f t="shared" ref="AJ803" si="5786">CP$11</f>
        <v>0,0,5,0,5,0,0,5,0,5</v>
      </c>
      <c r="AK803" s="26" t="str">
        <f t="shared" ref="AK803" si="5787">CQ$11</f>
        <v>100,1000,5,1500,5,200,1000,5,1500,5</v>
      </c>
      <c r="AL803" s="26" t="str">
        <f t="shared" ref="AL803" si="5788">CR$11</f>
        <v>5,5,5,5,5,5,5,5,5,5</v>
      </c>
      <c r="AM803" s="7">
        <v>2001</v>
      </c>
      <c r="AO803">
        <f t="shared" ref="AO803" si="5789">AQ803*100+8</f>
        <v>8908</v>
      </c>
      <c r="AP803">
        <v>799</v>
      </c>
      <c r="AQ803">
        <f t="shared" si="5565"/>
        <v>89</v>
      </c>
      <c r="AR803">
        <v>13</v>
      </c>
      <c r="AS803" s="17">
        <f t="shared" si="5646"/>
        <v>515</v>
      </c>
      <c r="AT803">
        <v>12</v>
      </c>
      <c r="AU803">
        <f t="shared" si="5566"/>
        <v>36</v>
      </c>
      <c r="AV803">
        <v>150</v>
      </c>
      <c r="AW803">
        <f t="shared" si="5567"/>
        <v>146468.0448</v>
      </c>
      <c r="AX803">
        <f t="shared" si="5696"/>
        <v>826559999.99999988</v>
      </c>
      <c r="AY803">
        <f t="shared" si="5568"/>
        <v>13775.999999999998</v>
      </c>
      <c r="AZ803">
        <f t="shared" si="5569"/>
        <v>27551.999999999996</v>
      </c>
      <c r="BA803">
        <f t="shared" si="5570"/>
        <v>161280.00000000003</v>
      </c>
      <c r="BB803">
        <f t="shared" si="5571"/>
        <v>6887.9999999999991</v>
      </c>
      <c r="BC803">
        <f t="shared" si="5697"/>
        <v>826559999.99999988</v>
      </c>
      <c r="BD803">
        <f t="shared" si="5572"/>
        <v>0.29411764705882354</v>
      </c>
      <c r="BE803" s="27">
        <f t="shared" si="5698"/>
        <v>2032524264.9599998</v>
      </c>
      <c r="BF803" s="30">
        <f t="shared" si="5573"/>
        <v>0.51359999999999995</v>
      </c>
      <c r="BG803" s="27"/>
      <c r="BH803" s="27"/>
      <c r="BI803" s="27"/>
      <c r="CA803" s="20">
        <f t="shared" si="5574"/>
        <v>540</v>
      </c>
      <c r="CB803" s="20">
        <f t="shared" si="5575"/>
        <v>54000</v>
      </c>
    </row>
    <row r="804" spans="1:80" x14ac:dyDescent="0.15">
      <c r="A804">
        <v>8909</v>
      </c>
      <c r="B804" s="3" t="s">
        <v>132</v>
      </c>
      <c r="C804" s="4" t="s">
        <v>109</v>
      </c>
      <c r="D804" s="4" t="s">
        <v>110</v>
      </c>
      <c r="E804" s="5">
        <v>5</v>
      </c>
      <c r="F804" s="7" t="s">
        <v>140</v>
      </c>
      <c r="G804" s="5">
        <v>3</v>
      </c>
      <c r="H804" s="7" t="s">
        <v>140</v>
      </c>
      <c r="I804" s="5">
        <v>0</v>
      </c>
      <c r="J804" s="7">
        <v>0</v>
      </c>
      <c r="K804">
        <v>6</v>
      </c>
      <c r="L804">
        <v>1.5</v>
      </c>
      <c r="M804" s="5">
        <v>1.5</v>
      </c>
      <c r="N804" s="5">
        <v>10</v>
      </c>
      <c r="O804" s="5">
        <f t="shared" si="5555"/>
        <v>147862</v>
      </c>
      <c r="P804" s="5">
        <f t="shared" si="5556"/>
        <v>834432000</v>
      </c>
      <c r="Q804" s="5">
        <f t="shared" si="5557"/>
        <v>13907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70091</v>
      </c>
      <c r="X804" s="6" t="s">
        <v>187</v>
      </c>
      <c r="Y804" s="5">
        <v>300</v>
      </c>
      <c r="Z804" s="5">
        <v>1</v>
      </c>
      <c r="AA804" s="5">
        <v>438681600</v>
      </c>
      <c r="AB804" s="16" t="s">
        <v>111</v>
      </c>
      <c r="AC804" s="7" t="s">
        <v>112</v>
      </c>
      <c r="AD804" s="7" t="s">
        <v>112</v>
      </c>
      <c r="AE804" s="7" t="s">
        <v>112</v>
      </c>
      <c r="AF804" s="6" t="s">
        <v>113</v>
      </c>
      <c r="AG804" s="26" t="str">
        <f t="shared" ref="AG804" si="5790">CM$12</f>
        <v>4,33,28,33,6,4,33,28,33,6</v>
      </c>
      <c r="AH804" s="26" t="str">
        <f t="shared" ref="AH804" si="5791">CN$12</f>
        <v>0,5,0,5,1,0,5,0,5,1</v>
      </c>
      <c r="AI804" s="26" t="str">
        <f t="shared" ref="AI804" si="5792">CO$12</f>
        <v>0,0,0,0,1,0,0,0,0,1</v>
      </c>
      <c r="AJ804" s="26" t="str">
        <f t="shared" ref="AJ804" si="5793">CP$12</f>
        <v>0,0,0,0,5,0,0,0,0,5</v>
      </c>
      <c r="AK804" s="26" t="str">
        <f t="shared" ref="AK804" si="5794">CQ$12</f>
        <v>100,1,1000,2,5,200,1,1000,2,5</v>
      </c>
      <c r="AL804" s="26" t="str">
        <f t="shared" ref="AL804" si="5795">CR$12</f>
        <v>5,5,5,5,5,5,5,5,5,5</v>
      </c>
      <c r="AM804" s="7">
        <v>2001</v>
      </c>
      <c r="AO804">
        <f t="shared" ref="AO804" si="5796">AQ804*100+9</f>
        <v>8909</v>
      </c>
      <c r="AP804">
        <v>800</v>
      </c>
      <c r="AQ804">
        <f t="shared" si="5565"/>
        <v>89</v>
      </c>
      <c r="AR804">
        <v>13</v>
      </c>
      <c r="AS804" s="17">
        <f t="shared" si="5646"/>
        <v>520</v>
      </c>
      <c r="AT804">
        <v>12</v>
      </c>
      <c r="AU804">
        <f t="shared" si="5566"/>
        <v>36</v>
      </c>
      <c r="AV804">
        <v>150</v>
      </c>
      <c r="AW804">
        <f t="shared" si="5567"/>
        <v>147862.97856000002</v>
      </c>
      <c r="AX804">
        <f t="shared" si="5696"/>
        <v>834432000</v>
      </c>
      <c r="AY804">
        <f t="shared" si="5568"/>
        <v>13907.199999999999</v>
      </c>
      <c r="AZ804">
        <f t="shared" si="5569"/>
        <v>27814.399999999998</v>
      </c>
      <c r="BA804">
        <f t="shared" si="5570"/>
        <v>162816.00000000003</v>
      </c>
      <c r="BB804">
        <f t="shared" si="5571"/>
        <v>6953.5999999999995</v>
      </c>
      <c r="BC804">
        <f t="shared" si="5697"/>
        <v>834432000</v>
      </c>
      <c r="BD804">
        <f t="shared" si="5572"/>
        <v>0.29411764705882354</v>
      </c>
      <c r="BE804" s="27">
        <f t="shared" si="5698"/>
        <v>2071423368.8064003</v>
      </c>
      <c r="BF804" s="30">
        <f t="shared" si="5573"/>
        <v>0.51359999999999995</v>
      </c>
      <c r="BG804" s="27"/>
      <c r="BH804" s="27"/>
      <c r="BI804" s="27"/>
      <c r="CA804" s="20">
        <f t="shared" si="5574"/>
        <v>540</v>
      </c>
      <c r="CB804" s="20">
        <f t="shared" si="5575"/>
        <v>54000</v>
      </c>
    </row>
    <row r="805" spans="1:80" x14ac:dyDescent="0.15">
      <c r="A805">
        <v>9001</v>
      </c>
      <c r="B805" s="3" t="s">
        <v>108</v>
      </c>
      <c r="C805" s="4" t="s">
        <v>109</v>
      </c>
      <c r="D805" s="4" t="s">
        <v>110</v>
      </c>
      <c r="E805" s="5">
        <v>3</v>
      </c>
      <c r="F805" s="7" t="s">
        <v>141</v>
      </c>
      <c r="G805" s="5">
        <v>2.5</v>
      </c>
      <c r="H805" s="7" t="s">
        <v>194</v>
      </c>
      <c r="I805" s="5">
        <v>0</v>
      </c>
      <c r="J805" s="5">
        <v>0</v>
      </c>
      <c r="K805">
        <v>2</v>
      </c>
      <c r="L805">
        <v>1.5</v>
      </c>
      <c r="M805" s="5">
        <v>1.5</v>
      </c>
      <c r="N805" s="5">
        <v>10</v>
      </c>
      <c r="O805" s="5">
        <f t="shared" si="5555"/>
        <v>138317</v>
      </c>
      <c r="P805" s="5">
        <f t="shared" si="5556"/>
        <v>779328000</v>
      </c>
      <c r="Q805" s="5">
        <f t="shared" si="5557"/>
        <v>12988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70011</v>
      </c>
      <c r="X805" s="6" t="s">
        <v>179</v>
      </c>
      <c r="Y805" s="5">
        <v>300</v>
      </c>
      <c r="Z805" s="5">
        <v>1</v>
      </c>
      <c r="AA805" s="5">
        <v>447499100</v>
      </c>
      <c r="AB805" s="16" t="s">
        <v>111</v>
      </c>
      <c r="AC805" s="7" t="s">
        <v>112</v>
      </c>
      <c r="AD805" s="7" t="s">
        <v>112</v>
      </c>
      <c r="AE805" s="7" t="s">
        <v>112</v>
      </c>
      <c r="AF805" s="6" t="s">
        <v>113</v>
      </c>
      <c r="AG805" s="26" t="str">
        <f t="shared" ref="AG805" si="5797">CM$4</f>
        <v>4,33,28,33,6,4,33,28,33,6</v>
      </c>
      <c r="AH805" s="26" t="str">
        <f t="shared" ref="AH805" si="5798">CN$4</f>
        <v>0,8,0,8,1,0,8,0,8,1</v>
      </c>
      <c r="AI805" s="26" t="str">
        <f t="shared" ref="AI805" si="5799">CO$4</f>
        <v>0,0,0,0,1,0,0,0,0,1</v>
      </c>
      <c r="AJ805" s="26" t="str">
        <f t="shared" ref="AJ805" si="5800">CP$4</f>
        <v>0,0,0,0,5,0,0,0,0,5</v>
      </c>
      <c r="AK805" s="26" t="str">
        <f t="shared" ref="AK805" si="5801">CQ$4</f>
        <v>100,1,1000,2,5,200,1,1000,2,5</v>
      </c>
      <c r="AL805" s="26" t="str">
        <f t="shared" ref="AL805" si="5802">CR$4</f>
        <v>5,5,5,5,5,5,5,5,5,5</v>
      </c>
      <c r="AM805" s="7">
        <v>2001</v>
      </c>
      <c r="AO805">
        <f t="shared" ref="AO805" si="5803">AQ805*100+1</f>
        <v>9001</v>
      </c>
      <c r="AP805">
        <v>801</v>
      </c>
      <c r="AQ805">
        <f t="shared" si="5565"/>
        <v>90</v>
      </c>
      <c r="AR805">
        <v>13</v>
      </c>
      <c r="AS805" s="17">
        <f t="shared" si="5646"/>
        <v>485</v>
      </c>
      <c r="AT805">
        <v>12</v>
      </c>
      <c r="AU805">
        <f t="shared" si="5566"/>
        <v>38</v>
      </c>
      <c r="AV805">
        <v>150</v>
      </c>
      <c r="AW805">
        <f t="shared" si="5567"/>
        <v>138317.41440000001</v>
      </c>
      <c r="AX805">
        <f t="shared" si="5696"/>
        <v>779328000</v>
      </c>
      <c r="AY805">
        <f t="shared" si="5568"/>
        <v>12988.8</v>
      </c>
      <c r="AZ805">
        <f t="shared" si="5569"/>
        <v>25977.599999999999</v>
      </c>
      <c r="BA805">
        <f t="shared" si="5570"/>
        <v>152064.00000000003</v>
      </c>
      <c r="BB805">
        <f t="shared" si="5571"/>
        <v>6494.4</v>
      </c>
      <c r="BC805">
        <f t="shared" si="5697"/>
        <v>779328000</v>
      </c>
      <c r="BD805">
        <f t="shared" si="5572"/>
        <v>0.29411764705882359</v>
      </c>
      <c r="BE805" s="27">
        <f t="shared" si="5698"/>
        <v>1806872591.4624004</v>
      </c>
      <c r="BF805" s="30">
        <f t="shared" si="5573"/>
        <v>0.51600000000000001</v>
      </c>
      <c r="BG805" s="27"/>
      <c r="BH805" s="27"/>
      <c r="BI805" s="27"/>
      <c r="CA805" s="20">
        <f t="shared" si="5574"/>
        <v>545</v>
      </c>
      <c r="CB805" s="20">
        <f t="shared" si="5575"/>
        <v>54500</v>
      </c>
    </row>
    <row r="806" spans="1:80" x14ac:dyDescent="0.15">
      <c r="A806">
        <v>9002</v>
      </c>
      <c r="B806" s="3" t="s">
        <v>115</v>
      </c>
      <c r="C806" s="4" t="s">
        <v>109</v>
      </c>
      <c r="D806" s="6" t="s">
        <v>110</v>
      </c>
      <c r="E806" s="5">
        <v>3</v>
      </c>
      <c r="F806" s="7" t="s">
        <v>142</v>
      </c>
      <c r="G806" s="5">
        <v>3</v>
      </c>
      <c r="H806" s="7" t="s">
        <v>188</v>
      </c>
      <c r="I806" s="5">
        <v>0</v>
      </c>
      <c r="J806" s="5">
        <v>0</v>
      </c>
      <c r="K806">
        <v>2</v>
      </c>
      <c r="L806">
        <v>1.5</v>
      </c>
      <c r="M806" s="5">
        <v>1.5</v>
      </c>
      <c r="N806" s="5">
        <v>10</v>
      </c>
      <c r="O806" s="5">
        <f t="shared" si="5555"/>
        <v>139714</v>
      </c>
      <c r="P806" s="5">
        <f t="shared" si="5556"/>
        <v>787200000</v>
      </c>
      <c r="Q806" s="5">
        <f t="shared" si="5557"/>
        <v>13120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70021</v>
      </c>
      <c r="X806" s="6" t="s">
        <v>180</v>
      </c>
      <c r="Y806" s="5">
        <v>300</v>
      </c>
      <c r="Z806" s="5">
        <v>1</v>
      </c>
      <c r="AA806" s="5">
        <v>387619062</v>
      </c>
      <c r="AB806" s="16" t="s">
        <v>111</v>
      </c>
      <c r="AC806" s="7" t="s">
        <v>112</v>
      </c>
      <c r="AD806" s="7" t="s">
        <v>112</v>
      </c>
      <c r="AE806" s="7" t="s">
        <v>112</v>
      </c>
      <c r="AF806" s="6" t="s">
        <v>113</v>
      </c>
      <c r="AG806" s="26" t="str">
        <f t="shared" ref="AG806" si="5804">CM$5</f>
        <v>4,33,28,33,6,4,33,28,33,6</v>
      </c>
      <c r="AH806" s="26" t="str">
        <f t="shared" ref="AH806" si="5805">CN$5</f>
        <v>0,7,0,7,1,0,7,0,7,1</v>
      </c>
      <c r="AI806" s="26" t="str">
        <f t="shared" ref="AI806" si="5806">CO$5</f>
        <v>0,0,0,0,1,0,0,0,0,1</v>
      </c>
      <c r="AJ806" s="26" t="str">
        <f t="shared" ref="AJ806" si="5807">CP$5</f>
        <v>0,0,0,0,5,0,0,0,0,5</v>
      </c>
      <c r="AK806" s="26" t="str">
        <f t="shared" ref="AK806" si="5808">CQ$5</f>
        <v>100,1,1000,2,5,200,1,1000,2,5</v>
      </c>
      <c r="AL806" s="26" t="str">
        <f t="shared" ref="AL806" si="5809">CR$5</f>
        <v>5,5,5,5,5,5,5,5,5,5</v>
      </c>
      <c r="AM806" s="7">
        <v>2001</v>
      </c>
      <c r="AO806">
        <f t="shared" ref="AO806" si="5810">AQ806*100+2</f>
        <v>9002</v>
      </c>
      <c r="AP806">
        <v>802</v>
      </c>
      <c r="AQ806">
        <f t="shared" si="5565"/>
        <v>90</v>
      </c>
      <c r="AR806">
        <v>13</v>
      </c>
      <c r="AS806" s="17">
        <f t="shared" si="5646"/>
        <v>490</v>
      </c>
      <c r="AT806">
        <v>12</v>
      </c>
      <c r="AU806">
        <f t="shared" si="5566"/>
        <v>38</v>
      </c>
      <c r="AV806">
        <v>150</v>
      </c>
      <c r="AW806">
        <f t="shared" si="5567"/>
        <v>139714.56000000003</v>
      </c>
      <c r="AX806">
        <f t="shared" si="5696"/>
        <v>787200000</v>
      </c>
      <c r="AY806">
        <f t="shared" si="5568"/>
        <v>13119.999999999998</v>
      </c>
      <c r="AZ806">
        <f t="shared" si="5569"/>
        <v>26239.999999999996</v>
      </c>
      <c r="BA806">
        <f t="shared" si="5570"/>
        <v>153600.00000000003</v>
      </c>
      <c r="BB806">
        <f t="shared" si="5571"/>
        <v>6559.9999999999991</v>
      </c>
      <c r="BC806">
        <f t="shared" si="5697"/>
        <v>787200000</v>
      </c>
      <c r="BD806">
        <f t="shared" si="5572"/>
        <v>0.29411764705882354</v>
      </c>
      <c r="BE806" s="27">
        <f t="shared" si="5698"/>
        <v>1843559424</v>
      </c>
      <c r="BF806" s="30">
        <f t="shared" si="5573"/>
        <v>0.51600000000000001</v>
      </c>
      <c r="BG806" s="27"/>
      <c r="BH806" s="27"/>
      <c r="BI806" s="27"/>
      <c r="CA806" s="20">
        <f t="shared" si="5574"/>
        <v>545</v>
      </c>
      <c r="CB806" s="20">
        <f t="shared" si="5575"/>
        <v>54500</v>
      </c>
    </row>
    <row r="807" spans="1:80" x14ac:dyDescent="0.15">
      <c r="A807">
        <v>9003</v>
      </c>
      <c r="B807" s="3" t="s">
        <v>117</v>
      </c>
      <c r="C807" s="4" t="s">
        <v>109</v>
      </c>
      <c r="D807" s="4" t="s">
        <v>110</v>
      </c>
      <c r="E807" s="5">
        <v>1</v>
      </c>
      <c r="F807" s="7" t="s">
        <v>144</v>
      </c>
      <c r="G807" s="5">
        <v>3</v>
      </c>
      <c r="H807" s="7" t="s">
        <v>189</v>
      </c>
      <c r="I807" s="5">
        <v>0</v>
      </c>
      <c r="J807" s="2">
        <v>0</v>
      </c>
      <c r="K807">
        <v>6</v>
      </c>
      <c r="L807">
        <v>1.5</v>
      </c>
      <c r="M807" s="5">
        <v>1.5</v>
      </c>
      <c r="N807" s="5">
        <v>10</v>
      </c>
      <c r="O807" s="5">
        <f t="shared" si="5555"/>
        <v>141111</v>
      </c>
      <c r="P807" s="5">
        <f t="shared" si="5556"/>
        <v>795072000</v>
      </c>
      <c r="Q807" s="5">
        <f t="shared" si="5557"/>
        <v>13251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70031</v>
      </c>
      <c r="X807" s="6" t="s">
        <v>181</v>
      </c>
      <c r="Y807" s="5">
        <v>300</v>
      </c>
      <c r="Z807" s="5">
        <v>1</v>
      </c>
      <c r="AA807" s="5">
        <v>395910144</v>
      </c>
      <c r="AB807" s="16" t="s">
        <v>111</v>
      </c>
      <c r="AC807" s="7" t="s">
        <v>112</v>
      </c>
      <c r="AD807" s="7" t="s">
        <v>112</v>
      </c>
      <c r="AE807" s="7" t="s">
        <v>112</v>
      </c>
      <c r="AF807" s="6" t="s">
        <v>113</v>
      </c>
      <c r="AG807" s="26" t="str">
        <f t="shared" ref="AG807" si="5811">CM$6</f>
        <v>4,28,6,28,6,4,28,6,28,6</v>
      </c>
      <c r="AH807" s="26" t="str">
        <f t="shared" ref="AH807" si="5812">CN$6</f>
        <v>0,0,1,0,1,0,0,1,0,1</v>
      </c>
      <c r="AI807" s="26" t="str">
        <f t="shared" ref="AI807" si="5813">CO$6</f>
        <v>0,0,0,0,1,0,0,0,0,1</v>
      </c>
      <c r="AJ807" s="26" t="str">
        <f t="shared" ref="AJ807" si="5814">CP$6</f>
        <v>0,0,5,0,5,0,0,5,0,5</v>
      </c>
      <c r="AK807" s="26" t="str">
        <f t="shared" ref="AK807" si="5815">CQ$6</f>
        <v>100,1000,5,1500,5,200,1000,5,1500,5</v>
      </c>
      <c r="AL807" s="26" t="str">
        <f t="shared" ref="AL807" si="5816">CR$6</f>
        <v>5,5,5,5,5,5,5,5,5,5</v>
      </c>
      <c r="AM807" s="7">
        <v>2001</v>
      </c>
      <c r="AO807">
        <f t="shared" ref="AO807" si="5817">AQ807*100+3</f>
        <v>9003</v>
      </c>
      <c r="AP807">
        <v>803</v>
      </c>
      <c r="AQ807">
        <f t="shared" si="5565"/>
        <v>90</v>
      </c>
      <c r="AR807">
        <v>13</v>
      </c>
      <c r="AS807" s="17">
        <f t="shared" si="5646"/>
        <v>495</v>
      </c>
      <c r="AT807">
        <v>12</v>
      </c>
      <c r="AU807">
        <f t="shared" si="5566"/>
        <v>38</v>
      </c>
      <c r="AV807">
        <v>150</v>
      </c>
      <c r="AW807">
        <f t="shared" si="5567"/>
        <v>141111.70560000004</v>
      </c>
      <c r="AX807">
        <f t="shared" si="5696"/>
        <v>795072000</v>
      </c>
      <c r="AY807">
        <f t="shared" si="5568"/>
        <v>13251.199999999999</v>
      </c>
      <c r="AZ807">
        <f t="shared" si="5569"/>
        <v>26502.399999999998</v>
      </c>
      <c r="BA807">
        <f t="shared" si="5570"/>
        <v>155136.00000000003</v>
      </c>
      <c r="BB807">
        <f t="shared" si="5571"/>
        <v>6625.5999999999995</v>
      </c>
      <c r="BC807">
        <f t="shared" si="5697"/>
        <v>795072000</v>
      </c>
      <c r="BD807">
        <f t="shared" si="5572"/>
        <v>0.29411764705882354</v>
      </c>
      <c r="BE807" s="27">
        <f t="shared" si="5698"/>
        <v>1880614968.4224002</v>
      </c>
      <c r="BF807" s="30">
        <f t="shared" si="5573"/>
        <v>0.51600000000000001</v>
      </c>
      <c r="BG807" s="27"/>
      <c r="BH807" s="27"/>
      <c r="BI807" s="27"/>
      <c r="CA807" s="20">
        <f t="shared" si="5574"/>
        <v>545</v>
      </c>
      <c r="CB807" s="20">
        <f t="shared" si="5575"/>
        <v>54500</v>
      </c>
    </row>
    <row r="808" spans="1:80" x14ac:dyDescent="0.15">
      <c r="A808">
        <v>9004</v>
      </c>
      <c r="B808" s="3" t="s">
        <v>119</v>
      </c>
      <c r="C808" s="4" t="s">
        <v>109</v>
      </c>
      <c r="D808" s="6" t="s">
        <v>120</v>
      </c>
      <c r="E808" s="5">
        <v>3</v>
      </c>
      <c r="F808" s="7" t="s">
        <v>145</v>
      </c>
      <c r="G808" s="5">
        <v>3</v>
      </c>
      <c r="H808" s="7" t="s">
        <v>190</v>
      </c>
      <c r="I808" s="5">
        <v>0</v>
      </c>
      <c r="J808" s="5">
        <v>0</v>
      </c>
      <c r="K808">
        <v>2</v>
      </c>
      <c r="L808">
        <v>1.5</v>
      </c>
      <c r="M808" s="5">
        <v>1.5</v>
      </c>
      <c r="N808" s="5">
        <v>10</v>
      </c>
      <c r="O808" s="5">
        <f t="shared" si="5555"/>
        <v>142508</v>
      </c>
      <c r="P808" s="5">
        <f t="shared" si="5556"/>
        <v>802944000</v>
      </c>
      <c r="Q808" s="5">
        <f t="shared" si="5557"/>
        <v>13382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70041</v>
      </c>
      <c r="X808" s="6" t="s">
        <v>182</v>
      </c>
      <c r="Y808" s="5">
        <v>300</v>
      </c>
      <c r="Z808" s="5">
        <v>1</v>
      </c>
      <c r="AA808" s="5">
        <v>404288963</v>
      </c>
      <c r="AB808" s="16" t="s">
        <v>111</v>
      </c>
      <c r="AC808" s="7" t="s">
        <v>112</v>
      </c>
      <c r="AD808" s="7" t="s">
        <v>112</v>
      </c>
      <c r="AE808" s="7" t="s">
        <v>112</v>
      </c>
      <c r="AF808" s="6" t="s">
        <v>113</v>
      </c>
      <c r="AG808" s="26" t="str">
        <f t="shared" ref="AG808" si="5818">CM$7</f>
        <v>4,14,28,14,6,4,14,28,14,6</v>
      </c>
      <c r="AH808" s="26" t="str">
        <f t="shared" ref="AH808" si="5819">CN$7</f>
        <v>0,0,0,0,1,0,0,0,0,1</v>
      </c>
      <c r="AI808" s="26" t="str">
        <f t="shared" ref="AI808" si="5820">CO$7</f>
        <v>0,0,0,0,1,0,0,0,0,1</v>
      </c>
      <c r="AJ808" s="26" t="str">
        <f t="shared" ref="AJ808" si="5821">CP$7</f>
        <v>0,0,0,0,5,0,0,0,0,5</v>
      </c>
      <c r="AK808" s="26" t="str">
        <f t="shared" ref="AK808" si="5822">CQ$7</f>
        <v>100,1,1000,2,5,200,1,1000,2,5</v>
      </c>
      <c r="AL808" s="26" t="str">
        <f t="shared" ref="AL808" si="5823">CR$7</f>
        <v>5,5,5,5,5,5,5,5,5,5</v>
      </c>
      <c r="AM808" s="7">
        <v>2001</v>
      </c>
      <c r="AO808">
        <f t="shared" ref="AO808" si="5824">AQ808*100+4</f>
        <v>9004</v>
      </c>
      <c r="AP808">
        <v>804</v>
      </c>
      <c r="AQ808">
        <f t="shared" si="5565"/>
        <v>90</v>
      </c>
      <c r="AR808">
        <v>13</v>
      </c>
      <c r="AS808" s="17">
        <f t="shared" si="5646"/>
        <v>500</v>
      </c>
      <c r="AT808">
        <v>12</v>
      </c>
      <c r="AU808">
        <f t="shared" si="5566"/>
        <v>38</v>
      </c>
      <c r="AV808">
        <v>150</v>
      </c>
      <c r="AW808">
        <f t="shared" si="5567"/>
        <v>142508.8512</v>
      </c>
      <c r="AX808">
        <f t="shared" si="5696"/>
        <v>802944000</v>
      </c>
      <c r="AY808">
        <f t="shared" si="5568"/>
        <v>13382.4</v>
      </c>
      <c r="AZ808">
        <f t="shared" si="5569"/>
        <v>26764.799999999999</v>
      </c>
      <c r="BA808">
        <f t="shared" si="5570"/>
        <v>156672.00000000003</v>
      </c>
      <c r="BB808">
        <f t="shared" si="5571"/>
        <v>6691.2</v>
      </c>
      <c r="BC808">
        <f t="shared" si="5697"/>
        <v>802944000</v>
      </c>
      <c r="BD808">
        <f t="shared" si="5572"/>
        <v>0.29411764705882354</v>
      </c>
      <c r="BE808" s="27">
        <f t="shared" si="5698"/>
        <v>1918039224.7296002</v>
      </c>
      <c r="BF808" s="30">
        <f t="shared" si="5573"/>
        <v>0.51600000000000001</v>
      </c>
      <c r="BG808" s="27"/>
      <c r="BH808" s="27"/>
      <c r="BI808" s="27"/>
      <c r="CA808" s="20">
        <f t="shared" si="5574"/>
        <v>545</v>
      </c>
      <c r="CB808" s="20">
        <f t="shared" si="5575"/>
        <v>54500</v>
      </c>
    </row>
    <row r="809" spans="1:80" x14ac:dyDescent="0.15">
      <c r="A809">
        <v>9005</v>
      </c>
      <c r="B809" s="3" t="s">
        <v>122</v>
      </c>
      <c r="C809" s="4" t="s">
        <v>109</v>
      </c>
      <c r="D809" s="4" t="s">
        <v>110</v>
      </c>
      <c r="E809" s="5">
        <v>2</v>
      </c>
      <c r="F809" s="7" t="s">
        <v>146</v>
      </c>
      <c r="G809" s="5">
        <v>3</v>
      </c>
      <c r="H809" s="7" t="s">
        <v>191</v>
      </c>
      <c r="I809" s="5">
        <v>0</v>
      </c>
      <c r="J809" s="7" t="s">
        <v>148</v>
      </c>
      <c r="K809">
        <v>6</v>
      </c>
      <c r="L809">
        <v>1.5</v>
      </c>
      <c r="M809" s="5">
        <v>1.5</v>
      </c>
      <c r="N809" s="5">
        <v>10</v>
      </c>
      <c r="O809" s="5">
        <f t="shared" si="5555"/>
        <v>143905</v>
      </c>
      <c r="P809" s="5">
        <f t="shared" si="5556"/>
        <v>810816000</v>
      </c>
      <c r="Q809" s="5">
        <f t="shared" si="5557"/>
        <v>13513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70051</v>
      </c>
      <c r="X809" s="6" t="s">
        <v>183</v>
      </c>
      <c r="Y809" s="5">
        <v>300</v>
      </c>
      <c r="Z809" s="5">
        <v>1</v>
      </c>
      <c r="AA809" s="5">
        <v>412755517</v>
      </c>
      <c r="AB809" s="16" t="s">
        <v>111</v>
      </c>
      <c r="AC809" s="7" t="s">
        <v>112</v>
      </c>
      <c r="AD809" s="7" t="s">
        <v>112</v>
      </c>
      <c r="AE809" s="7" t="s">
        <v>112</v>
      </c>
      <c r="AF809" s="6" t="s">
        <v>113</v>
      </c>
      <c r="AG809" s="26" t="str">
        <f t="shared" ref="AG809" si="5825">CM$8</f>
        <v>4,19,28,19,6,4,19,28,19,6</v>
      </c>
      <c r="AH809" s="26" t="str">
        <f t="shared" ref="AH809" si="5826">CN$8</f>
        <v>0,0,0,0,1,0,0,0,0,1</v>
      </c>
      <c r="AI809" s="26" t="str">
        <f t="shared" ref="AI809" si="5827">CO$8</f>
        <v>0,0,0,0,1,0,0,0,0,1</v>
      </c>
      <c r="AJ809" s="26" t="str">
        <f t="shared" ref="AJ809" si="5828">CP$8</f>
        <v>0,0,0,0,5,0,0,0,0,5</v>
      </c>
      <c r="AK809" s="26" t="str">
        <f t="shared" ref="AK809" si="5829">CQ$8</f>
        <v>200,100,1000,200,5,200,100,1000,200,5</v>
      </c>
      <c r="AL809" s="26" t="str">
        <f t="shared" ref="AL809" si="5830">CR$8</f>
        <v>5,5,5,5,5,5,5,5,5,5</v>
      </c>
      <c r="AM809" s="7">
        <v>2001</v>
      </c>
      <c r="AO809">
        <f t="shared" ref="AO809" si="5831">AQ809*100+5</f>
        <v>9005</v>
      </c>
      <c r="AP809">
        <v>805</v>
      </c>
      <c r="AQ809">
        <f t="shared" si="5565"/>
        <v>90</v>
      </c>
      <c r="AR809">
        <v>13</v>
      </c>
      <c r="AS809" s="17">
        <f t="shared" si="5646"/>
        <v>505</v>
      </c>
      <c r="AT809">
        <v>12</v>
      </c>
      <c r="AU809">
        <f t="shared" si="5566"/>
        <v>38</v>
      </c>
      <c r="AV809">
        <v>150</v>
      </c>
      <c r="AW809">
        <f t="shared" si="5567"/>
        <v>143905.99680000002</v>
      </c>
      <c r="AX809">
        <f t="shared" si="5696"/>
        <v>810816000</v>
      </c>
      <c r="AY809">
        <f t="shared" si="5568"/>
        <v>13513.599999999999</v>
      </c>
      <c r="AZ809">
        <f t="shared" si="5569"/>
        <v>27027.199999999997</v>
      </c>
      <c r="BA809">
        <f t="shared" si="5570"/>
        <v>158208.00000000003</v>
      </c>
      <c r="BB809">
        <f t="shared" si="5571"/>
        <v>6756.7999999999993</v>
      </c>
      <c r="BC809">
        <f t="shared" si="5697"/>
        <v>810816000</v>
      </c>
      <c r="BD809">
        <f t="shared" si="5572"/>
        <v>0.29411764705882354</v>
      </c>
      <c r="BE809" s="27">
        <f t="shared" si="5698"/>
        <v>1955832192.9216001</v>
      </c>
      <c r="BF809" s="30">
        <f t="shared" si="5573"/>
        <v>0.51600000000000001</v>
      </c>
      <c r="BG809" s="27"/>
      <c r="BH809" s="27"/>
      <c r="BI809" s="27"/>
      <c r="CA809" s="20">
        <f t="shared" si="5574"/>
        <v>545</v>
      </c>
      <c r="CB809" s="20">
        <f t="shared" si="5575"/>
        <v>54500</v>
      </c>
    </row>
    <row r="810" spans="1:80" x14ac:dyDescent="0.15">
      <c r="A810">
        <v>9006</v>
      </c>
      <c r="B810" s="3" t="s">
        <v>124</v>
      </c>
      <c r="C810" s="4" t="s">
        <v>109</v>
      </c>
      <c r="D810" s="6" t="s">
        <v>120</v>
      </c>
      <c r="E810" s="5">
        <v>1</v>
      </c>
      <c r="F810" s="7" t="s">
        <v>147</v>
      </c>
      <c r="G810" s="5">
        <v>3</v>
      </c>
      <c r="H810" s="7" t="s">
        <v>192</v>
      </c>
      <c r="I810" s="5">
        <v>0</v>
      </c>
      <c r="J810" s="7" t="s">
        <v>149</v>
      </c>
      <c r="K810">
        <v>6</v>
      </c>
      <c r="L810">
        <v>1.5</v>
      </c>
      <c r="M810" s="5">
        <v>1.5</v>
      </c>
      <c r="N810" s="5">
        <v>10</v>
      </c>
      <c r="O810" s="5">
        <f t="shared" si="5555"/>
        <v>145303</v>
      </c>
      <c r="P810" s="5">
        <f t="shared" si="5556"/>
        <v>818688000</v>
      </c>
      <c r="Q810" s="5">
        <f t="shared" si="5557"/>
        <v>13644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70061</v>
      </c>
      <c r="X810" s="6" t="s">
        <v>184</v>
      </c>
      <c r="Y810" s="5">
        <v>300</v>
      </c>
      <c r="Z810" s="5">
        <v>1</v>
      </c>
      <c r="AA810" s="5">
        <v>421309809</v>
      </c>
      <c r="AB810" s="16" t="s">
        <v>111</v>
      </c>
      <c r="AC810" s="7" t="s">
        <v>112</v>
      </c>
      <c r="AD810" s="7" t="s">
        <v>112</v>
      </c>
      <c r="AE810" s="7" t="s">
        <v>112</v>
      </c>
      <c r="AF810" s="6" t="s">
        <v>113</v>
      </c>
      <c r="AG810" s="26" t="str">
        <f t="shared" ref="AG810" si="5832">CM$9</f>
        <v>4,33,28,33,6,4,33,28,33,6</v>
      </c>
      <c r="AH810" s="26" t="str">
        <f t="shared" ref="AH810" si="5833">CN$9</f>
        <v>0,6,0,6,1,0,6,0,6,1</v>
      </c>
      <c r="AI810" s="26" t="str">
        <f t="shared" ref="AI810" si="5834">CO$9</f>
        <v>0,0,0,0,1,0,0,0,0,1</v>
      </c>
      <c r="AJ810" s="26" t="str">
        <f t="shared" ref="AJ810" si="5835">CP$9</f>
        <v>0,0,0,0,5,0,0,0,0,5</v>
      </c>
      <c r="AK810" s="26" t="str">
        <f t="shared" ref="AK810" si="5836">CQ$9</f>
        <v>200,1,1000,2,5,200,1,1000,2,5</v>
      </c>
      <c r="AL810" s="26" t="str">
        <f t="shared" ref="AL810" si="5837">CR$9</f>
        <v>5,5,5,5,5,5,5,5,5,5</v>
      </c>
      <c r="AM810" s="7">
        <v>2001</v>
      </c>
      <c r="AO810">
        <f t="shared" ref="AO810" si="5838">AQ810*100+6</f>
        <v>9006</v>
      </c>
      <c r="AP810">
        <v>806</v>
      </c>
      <c r="AQ810">
        <f t="shared" si="5565"/>
        <v>90</v>
      </c>
      <c r="AR810">
        <v>13</v>
      </c>
      <c r="AS810" s="17">
        <f t="shared" si="5646"/>
        <v>510</v>
      </c>
      <c r="AT810">
        <v>12</v>
      </c>
      <c r="AU810">
        <f t="shared" si="5566"/>
        <v>38</v>
      </c>
      <c r="AV810">
        <v>150</v>
      </c>
      <c r="AW810">
        <f t="shared" si="5567"/>
        <v>145303.14240000001</v>
      </c>
      <c r="AX810">
        <f t="shared" si="5696"/>
        <v>818688000</v>
      </c>
      <c r="AY810">
        <f t="shared" si="5568"/>
        <v>13644.8</v>
      </c>
      <c r="AZ810">
        <f t="shared" si="5569"/>
        <v>27289.599999999999</v>
      </c>
      <c r="BA810">
        <f t="shared" si="5570"/>
        <v>159744.00000000003</v>
      </c>
      <c r="BB810">
        <f t="shared" si="5571"/>
        <v>6822.4</v>
      </c>
      <c r="BC810">
        <f t="shared" si="5697"/>
        <v>818688000</v>
      </c>
      <c r="BD810">
        <f t="shared" si="5572"/>
        <v>0.29411764705882359</v>
      </c>
      <c r="BE810" s="27">
        <f t="shared" si="5698"/>
        <v>1993993872.9984004</v>
      </c>
      <c r="BF810" s="30">
        <f t="shared" si="5573"/>
        <v>0.51600000000000001</v>
      </c>
      <c r="BG810" s="27"/>
      <c r="BH810" s="27"/>
      <c r="BI810" s="27"/>
      <c r="CA810" s="20">
        <f t="shared" si="5574"/>
        <v>545</v>
      </c>
      <c r="CB810" s="20">
        <f t="shared" si="5575"/>
        <v>54500</v>
      </c>
    </row>
    <row r="811" spans="1:80" x14ac:dyDescent="0.15">
      <c r="A811">
        <v>9007</v>
      </c>
      <c r="B811" s="3" t="s">
        <v>126</v>
      </c>
      <c r="C811" s="4" t="s">
        <v>109</v>
      </c>
      <c r="D811" s="4" t="s">
        <v>110</v>
      </c>
      <c r="E811" s="5">
        <v>2</v>
      </c>
      <c r="F811" s="7" t="s">
        <v>143</v>
      </c>
      <c r="G811" s="5">
        <v>3</v>
      </c>
      <c r="H811" s="7" t="s">
        <v>193</v>
      </c>
      <c r="I811" s="5">
        <v>0</v>
      </c>
      <c r="J811" s="5">
        <v>0</v>
      </c>
      <c r="K811">
        <v>2</v>
      </c>
      <c r="L811">
        <v>1.5</v>
      </c>
      <c r="M811" s="5">
        <v>1.5</v>
      </c>
      <c r="N811" s="5">
        <v>10</v>
      </c>
      <c r="O811" s="5">
        <f t="shared" si="5555"/>
        <v>146700</v>
      </c>
      <c r="P811" s="5">
        <f t="shared" si="5556"/>
        <v>826560000</v>
      </c>
      <c r="Q811" s="5">
        <f t="shared" si="5557"/>
        <v>13776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70071</v>
      </c>
      <c r="X811" s="6" t="s">
        <v>185</v>
      </c>
      <c r="Y811" s="5">
        <v>300</v>
      </c>
      <c r="Z811" s="5">
        <v>1</v>
      </c>
      <c r="AA811" s="5">
        <v>429951836</v>
      </c>
      <c r="AB811" s="16" t="s">
        <v>111</v>
      </c>
      <c r="AC811" s="7" t="s">
        <v>112</v>
      </c>
      <c r="AD811" s="7" t="s">
        <v>112</v>
      </c>
      <c r="AE811" s="7" t="s">
        <v>112</v>
      </c>
      <c r="AF811" s="6" t="s">
        <v>113</v>
      </c>
      <c r="AG811" s="26" t="str">
        <f t="shared" ref="AG811" si="5839">CM$10</f>
        <v>4,14,28,14,6,4,14,28,14,6</v>
      </c>
      <c r="AH811" s="26" t="str">
        <f t="shared" ref="AH811" si="5840">CN$10</f>
        <v>0,0,0,0,1,0,0,0,0,1</v>
      </c>
      <c r="AI811" s="26" t="str">
        <f t="shared" ref="AI811" si="5841">CO$10</f>
        <v>0,0,0,0,1,0,0,0,0,1</v>
      </c>
      <c r="AJ811" s="26" t="str">
        <f t="shared" ref="AJ811" si="5842">CP$10</f>
        <v>0,0,0,0,5,0,0,0,0,5</v>
      </c>
      <c r="AK811" s="26" t="str">
        <f t="shared" ref="AK811" si="5843">CQ$10</f>
        <v>200,1,1000,2,5,200,1,1000,2,5</v>
      </c>
      <c r="AL811" s="26" t="str">
        <f t="shared" ref="AL811" si="5844">CR$10</f>
        <v>5,5,5,5,5,5,5,5,5,5</v>
      </c>
      <c r="AM811" s="7">
        <v>2001</v>
      </c>
      <c r="AO811">
        <f t="shared" ref="AO811" si="5845">AQ811*100+7</f>
        <v>9007</v>
      </c>
      <c r="AP811">
        <v>807</v>
      </c>
      <c r="AQ811">
        <f t="shared" si="5565"/>
        <v>90</v>
      </c>
      <c r="AR811">
        <v>13</v>
      </c>
      <c r="AS811" s="17">
        <f t="shared" si="5646"/>
        <v>515</v>
      </c>
      <c r="AT811">
        <v>12</v>
      </c>
      <c r="AU811">
        <f t="shared" si="5566"/>
        <v>38</v>
      </c>
      <c r="AV811">
        <v>150</v>
      </c>
      <c r="AW811">
        <f t="shared" si="5567"/>
        <v>146700.28800000003</v>
      </c>
      <c r="AX811">
        <f t="shared" si="5696"/>
        <v>826559999.99999988</v>
      </c>
      <c r="AY811">
        <f t="shared" si="5568"/>
        <v>13775.999999999998</v>
      </c>
      <c r="AZ811">
        <f t="shared" si="5569"/>
        <v>27551.999999999996</v>
      </c>
      <c r="BA811">
        <f t="shared" si="5570"/>
        <v>161280.00000000003</v>
      </c>
      <c r="BB811">
        <f t="shared" si="5571"/>
        <v>6887.9999999999991</v>
      </c>
      <c r="BC811">
        <f t="shared" si="5697"/>
        <v>826559999.99999988</v>
      </c>
      <c r="BD811">
        <f t="shared" si="5572"/>
        <v>0.29411764705882354</v>
      </c>
      <c r="BE811" s="27">
        <f t="shared" si="5698"/>
        <v>2032524264.9599998</v>
      </c>
      <c r="BF811" s="30">
        <f t="shared" si="5573"/>
        <v>0.51600000000000001</v>
      </c>
      <c r="BG811" s="27"/>
      <c r="BH811" s="27"/>
      <c r="BI811" s="27"/>
      <c r="CA811" s="20">
        <f t="shared" si="5574"/>
        <v>545</v>
      </c>
      <c r="CB811" s="20">
        <f t="shared" si="5575"/>
        <v>54500</v>
      </c>
    </row>
    <row r="812" spans="1:80" x14ac:dyDescent="0.15">
      <c r="A812">
        <v>9008</v>
      </c>
      <c r="B812" s="3" t="s">
        <v>128</v>
      </c>
      <c r="C812" s="4" t="s">
        <v>109</v>
      </c>
      <c r="D812" s="4" t="s">
        <v>110</v>
      </c>
      <c r="E812" s="5">
        <v>5</v>
      </c>
      <c r="F812" s="7" t="s">
        <v>129</v>
      </c>
      <c r="G812" s="5">
        <v>2</v>
      </c>
      <c r="H812" s="7" t="s">
        <v>130</v>
      </c>
      <c r="I812" s="5">
        <v>0</v>
      </c>
      <c r="J812" s="5">
        <v>0</v>
      </c>
      <c r="K812">
        <v>2</v>
      </c>
      <c r="L812">
        <v>1.5</v>
      </c>
      <c r="M812" s="5">
        <v>1.5</v>
      </c>
      <c r="N812" s="5">
        <v>10</v>
      </c>
      <c r="O812" s="5">
        <f t="shared" si="5555"/>
        <v>148097</v>
      </c>
      <c r="P812" s="5">
        <f t="shared" si="5556"/>
        <v>834432000</v>
      </c>
      <c r="Q812" s="5">
        <f t="shared" si="5557"/>
        <v>13907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70081</v>
      </c>
      <c r="X812" s="6" t="s">
        <v>186</v>
      </c>
      <c r="Y812" s="5">
        <v>300</v>
      </c>
      <c r="Z812" s="5">
        <v>1</v>
      </c>
      <c r="AA812" s="5">
        <v>438681600</v>
      </c>
      <c r="AB812" s="16" t="s">
        <v>111</v>
      </c>
      <c r="AC812" s="7" t="s">
        <v>112</v>
      </c>
      <c r="AD812" s="7" t="s">
        <v>112</v>
      </c>
      <c r="AE812" s="7" t="s">
        <v>112</v>
      </c>
      <c r="AF812" s="6" t="s">
        <v>113</v>
      </c>
      <c r="AG812" s="26" t="str">
        <f t="shared" ref="AG812" si="5846">CM$11</f>
        <v>4,28,6,28,6,4,28,6,28,6</v>
      </c>
      <c r="AH812" s="26" t="str">
        <f t="shared" ref="AH812" si="5847">CN$11</f>
        <v>0,0,1,0,1,0,0,1,0,1</v>
      </c>
      <c r="AI812" s="26" t="str">
        <f t="shared" ref="AI812" si="5848">CO$11</f>
        <v>0,0,1,0,1,0,0,1,0,1</v>
      </c>
      <c r="AJ812" s="26" t="str">
        <f t="shared" ref="AJ812" si="5849">CP$11</f>
        <v>0,0,5,0,5,0,0,5,0,5</v>
      </c>
      <c r="AK812" s="26" t="str">
        <f t="shared" ref="AK812" si="5850">CQ$11</f>
        <v>100,1000,5,1500,5,200,1000,5,1500,5</v>
      </c>
      <c r="AL812" s="26" t="str">
        <f t="shared" ref="AL812" si="5851">CR$11</f>
        <v>5,5,5,5,5,5,5,5,5,5</v>
      </c>
      <c r="AM812" s="7">
        <v>2001</v>
      </c>
      <c r="AO812">
        <f t="shared" ref="AO812" si="5852">AQ812*100+8</f>
        <v>9008</v>
      </c>
      <c r="AP812">
        <v>808</v>
      </c>
      <c r="AQ812">
        <f t="shared" si="5565"/>
        <v>90</v>
      </c>
      <c r="AR812">
        <v>13</v>
      </c>
      <c r="AS812" s="17">
        <f t="shared" si="5646"/>
        <v>520</v>
      </c>
      <c r="AT812">
        <v>12</v>
      </c>
      <c r="AU812">
        <f t="shared" si="5566"/>
        <v>38</v>
      </c>
      <c r="AV812">
        <v>150</v>
      </c>
      <c r="AW812">
        <f t="shared" si="5567"/>
        <v>148097.43360000002</v>
      </c>
      <c r="AX812">
        <f t="shared" si="5696"/>
        <v>834432000</v>
      </c>
      <c r="AY812">
        <f t="shared" si="5568"/>
        <v>13907.199999999999</v>
      </c>
      <c r="AZ812">
        <f t="shared" si="5569"/>
        <v>27814.399999999998</v>
      </c>
      <c r="BA812">
        <f t="shared" si="5570"/>
        <v>162816.00000000003</v>
      </c>
      <c r="BB812">
        <f t="shared" si="5571"/>
        <v>6953.5999999999995</v>
      </c>
      <c r="BC812">
        <f t="shared" si="5697"/>
        <v>834432000</v>
      </c>
      <c r="BD812">
        <f t="shared" si="5572"/>
        <v>0.29411764705882354</v>
      </c>
      <c r="BE812" s="27">
        <f t="shared" si="5698"/>
        <v>2071423368.8064003</v>
      </c>
      <c r="BF812" s="30">
        <f t="shared" si="5573"/>
        <v>0.51600000000000001</v>
      </c>
      <c r="BG812" s="27"/>
      <c r="BH812" s="27"/>
      <c r="BI812" s="27"/>
      <c r="CA812" s="20">
        <f t="shared" si="5574"/>
        <v>545</v>
      </c>
      <c r="CB812" s="20">
        <f t="shared" si="5575"/>
        <v>54500</v>
      </c>
    </row>
    <row r="813" spans="1:80" x14ac:dyDescent="0.15">
      <c r="A813">
        <v>9009</v>
      </c>
      <c r="B813" s="3" t="s">
        <v>132</v>
      </c>
      <c r="C813" s="4" t="s">
        <v>109</v>
      </c>
      <c r="D813" s="4" t="s">
        <v>110</v>
      </c>
      <c r="E813" s="5">
        <v>5</v>
      </c>
      <c r="F813" s="7" t="s">
        <v>140</v>
      </c>
      <c r="G813" s="5">
        <v>3</v>
      </c>
      <c r="H813" s="7" t="s">
        <v>140</v>
      </c>
      <c r="I813" s="5">
        <v>0</v>
      </c>
      <c r="J813" s="7">
        <v>0</v>
      </c>
      <c r="K813">
        <v>6</v>
      </c>
      <c r="L813">
        <v>1.5</v>
      </c>
      <c r="M813" s="5">
        <v>1.5</v>
      </c>
      <c r="N813" s="5">
        <v>10</v>
      </c>
      <c r="O813" s="5">
        <f t="shared" si="5555"/>
        <v>149494</v>
      </c>
      <c r="P813" s="5">
        <f t="shared" si="5556"/>
        <v>842304000</v>
      </c>
      <c r="Q813" s="5">
        <f t="shared" si="5557"/>
        <v>14038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70091</v>
      </c>
      <c r="X813" s="6" t="s">
        <v>187</v>
      </c>
      <c r="Y813" s="5">
        <v>300</v>
      </c>
      <c r="Z813" s="5">
        <v>1</v>
      </c>
      <c r="AA813" s="5">
        <v>447499100</v>
      </c>
      <c r="AB813" s="16" t="s">
        <v>111</v>
      </c>
      <c r="AC813" s="7" t="s">
        <v>112</v>
      </c>
      <c r="AD813" s="7" t="s">
        <v>112</v>
      </c>
      <c r="AE813" s="7" t="s">
        <v>112</v>
      </c>
      <c r="AF813" s="6" t="s">
        <v>113</v>
      </c>
      <c r="AG813" s="26" t="str">
        <f t="shared" ref="AG813" si="5853">CM$12</f>
        <v>4,33,28,33,6,4,33,28,33,6</v>
      </c>
      <c r="AH813" s="26" t="str">
        <f t="shared" ref="AH813" si="5854">CN$12</f>
        <v>0,5,0,5,1,0,5,0,5,1</v>
      </c>
      <c r="AI813" s="26" t="str">
        <f t="shared" ref="AI813" si="5855">CO$12</f>
        <v>0,0,0,0,1,0,0,0,0,1</v>
      </c>
      <c r="AJ813" s="26" t="str">
        <f t="shared" ref="AJ813" si="5856">CP$12</f>
        <v>0,0,0,0,5,0,0,0,0,5</v>
      </c>
      <c r="AK813" s="26" t="str">
        <f t="shared" ref="AK813" si="5857">CQ$12</f>
        <v>100,1,1000,2,5,200,1,1000,2,5</v>
      </c>
      <c r="AL813" s="26" t="str">
        <f t="shared" ref="AL813" si="5858">CR$12</f>
        <v>5,5,5,5,5,5,5,5,5,5</v>
      </c>
      <c r="AM813" s="7">
        <v>2001</v>
      </c>
      <c r="AO813">
        <f t="shared" ref="AO813" si="5859">AQ813*100+9</f>
        <v>9009</v>
      </c>
      <c r="AP813">
        <v>809</v>
      </c>
      <c r="AQ813">
        <f t="shared" si="5565"/>
        <v>90</v>
      </c>
      <c r="AR813">
        <v>13</v>
      </c>
      <c r="AS813" s="17">
        <f t="shared" si="5646"/>
        <v>525</v>
      </c>
      <c r="AT813">
        <v>12</v>
      </c>
      <c r="AU813">
        <f t="shared" si="5566"/>
        <v>38</v>
      </c>
      <c r="AV813">
        <v>150</v>
      </c>
      <c r="AW813">
        <f t="shared" si="5567"/>
        <v>149494.57920000001</v>
      </c>
      <c r="AX813">
        <f t="shared" si="5696"/>
        <v>842304000</v>
      </c>
      <c r="AY813">
        <f t="shared" si="5568"/>
        <v>14038.4</v>
      </c>
      <c r="AZ813">
        <f t="shared" si="5569"/>
        <v>28076.799999999999</v>
      </c>
      <c r="BA813">
        <f t="shared" si="5570"/>
        <v>164352.00000000003</v>
      </c>
      <c r="BB813">
        <f t="shared" si="5571"/>
        <v>7019.2</v>
      </c>
      <c r="BC813">
        <f t="shared" si="5697"/>
        <v>842304000</v>
      </c>
      <c r="BD813">
        <f t="shared" si="5572"/>
        <v>0.29411764705882354</v>
      </c>
      <c r="BE813" s="27">
        <f t="shared" si="5698"/>
        <v>2110691184.5376</v>
      </c>
      <c r="BF813" s="30">
        <f t="shared" si="5573"/>
        <v>0.51600000000000001</v>
      </c>
      <c r="BG813" s="27"/>
      <c r="BH813" s="27"/>
      <c r="BI813" s="27"/>
      <c r="CA813" s="20">
        <f t="shared" si="5574"/>
        <v>545</v>
      </c>
      <c r="CB813" s="20">
        <f t="shared" si="5575"/>
        <v>54500</v>
      </c>
    </row>
    <row r="814" spans="1:80" x14ac:dyDescent="0.15">
      <c r="A814">
        <v>9101</v>
      </c>
      <c r="B814" s="3" t="s">
        <v>108</v>
      </c>
      <c r="C814" s="4" t="s">
        <v>109</v>
      </c>
      <c r="D814" s="4" t="s">
        <v>110</v>
      </c>
      <c r="E814" s="5">
        <v>3</v>
      </c>
      <c r="F814" s="7" t="s">
        <v>141</v>
      </c>
      <c r="G814" s="5">
        <v>2.5</v>
      </c>
      <c r="H814" s="7" t="s">
        <v>194</v>
      </c>
      <c r="I814" s="5">
        <v>0</v>
      </c>
      <c r="J814" s="5">
        <v>0</v>
      </c>
      <c r="K814">
        <v>2</v>
      </c>
      <c r="L814">
        <v>1.5</v>
      </c>
      <c r="M814" s="5">
        <v>1.5</v>
      </c>
      <c r="N814" s="5">
        <v>10</v>
      </c>
      <c r="O814" s="5">
        <f t="shared" si="5555"/>
        <v>148681</v>
      </c>
      <c r="P814" s="5">
        <f t="shared" si="5556"/>
        <v>856800000</v>
      </c>
      <c r="Q814" s="5">
        <f t="shared" si="5557"/>
        <v>14280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70011</v>
      </c>
      <c r="X814" s="6" t="s">
        <v>179</v>
      </c>
      <c r="Y814" s="5">
        <v>300</v>
      </c>
      <c r="Z814" s="5">
        <v>1</v>
      </c>
      <c r="AA814" s="5">
        <v>515237708</v>
      </c>
      <c r="AB814" s="16" t="s">
        <v>111</v>
      </c>
      <c r="AC814" s="7" t="s">
        <v>112</v>
      </c>
      <c r="AD814" s="7" t="s">
        <v>112</v>
      </c>
      <c r="AE814" s="7" t="s">
        <v>112</v>
      </c>
      <c r="AF814" s="6" t="s">
        <v>113</v>
      </c>
      <c r="AG814" s="26" t="str">
        <f t="shared" ref="AG814" si="5860">CM$4</f>
        <v>4,33,28,33,6,4,33,28,33,6</v>
      </c>
      <c r="AH814" s="26" t="str">
        <f t="shared" ref="AH814" si="5861">CN$4</f>
        <v>0,8,0,8,1,0,8,0,8,1</v>
      </c>
      <c r="AI814" s="26" t="str">
        <f t="shared" ref="AI814" si="5862">CO$4</f>
        <v>0,0,0,0,1,0,0,0,0,1</v>
      </c>
      <c r="AJ814" s="26" t="str">
        <f t="shared" ref="AJ814" si="5863">CP$4</f>
        <v>0,0,0,0,5,0,0,0,0,5</v>
      </c>
      <c r="AK814" s="26" t="str">
        <f t="shared" ref="AK814" si="5864">CQ$4</f>
        <v>100,1,1000,2,5,200,1,1000,2,5</v>
      </c>
      <c r="AL814" s="26" t="str">
        <f t="shared" ref="AL814" si="5865">CR$4</f>
        <v>5,5,5,5,5,5,5,5,5,5</v>
      </c>
      <c r="AM814" s="7">
        <v>2001</v>
      </c>
      <c r="AO814">
        <f t="shared" ref="AO814" si="5866">AQ814*100+1</f>
        <v>9101</v>
      </c>
      <c r="AP814">
        <v>810</v>
      </c>
      <c r="AQ814">
        <f t="shared" si="5565"/>
        <v>91</v>
      </c>
      <c r="AR814">
        <v>14</v>
      </c>
      <c r="AS814" s="17">
        <f t="shared" si="5646"/>
        <v>490</v>
      </c>
      <c r="AT814">
        <v>13</v>
      </c>
      <c r="AU814">
        <f t="shared" si="5566"/>
        <v>38</v>
      </c>
      <c r="AV814">
        <v>150</v>
      </c>
      <c r="AW814">
        <f t="shared" si="5567"/>
        <v>148681.728</v>
      </c>
      <c r="AX814">
        <f t="shared" si="5696"/>
        <v>856800000</v>
      </c>
      <c r="AY814">
        <f t="shared" si="5568"/>
        <v>14280</v>
      </c>
      <c r="AZ814">
        <f t="shared" si="5569"/>
        <v>28560</v>
      </c>
      <c r="BA814">
        <f t="shared" si="5570"/>
        <v>163200</v>
      </c>
      <c r="BB814">
        <f t="shared" si="5571"/>
        <v>7140</v>
      </c>
      <c r="BC814">
        <f t="shared" si="5697"/>
        <v>856800000</v>
      </c>
      <c r="BD814">
        <f t="shared" si="5572"/>
        <v>0.29411764705882354</v>
      </c>
      <c r="BE814" s="27">
        <f t="shared" si="5698"/>
        <v>2183966064.0000005</v>
      </c>
      <c r="BF814" s="30">
        <f t="shared" si="5573"/>
        <v>0.51839999999999997</v>
      </c>
      <c r="BG814" s="27"/>
      <c r="BH814" s="27"/>
      <c r="BI814" s="27"/>
      <c r="CA814" s="20">
        <f t="shared" si="5574"/>
        <v>550</v>
      </c>
      <c r="CB814" s="20">
        <f t="shared" si="5575"/>
        <v>55000</v>
      </c>
    </row>
    <row r="815" spans="1:80" x14ac:dyDescent="0.15">
      <c r="A815">
        <v>9102</v>
      </c>
      <c r="B815" s="3" t="s">
        <v>115</v>
      </c>
      <c r="C815" s="4" t="s">
        <v>109</v>
      </c>
      <c r="D815" s="6" t="s">
        <v>110</v>
      </c>
      <c r="E815" s="5">
        <v>3</v>
      </c>
      <c r="F815" s="7" t="s">
        <v>142</v>
      </c>
      <c r="G815" s="5">
        <v>3</v>
      </c>
      <c r="H815" s="7" t="s">
        <v>188</v>
      </c>
      <c r="I815" s="5">
        <v>0</v>
      </c>
      <c r="J815" s="5">
        <v>0</v>
      </c>
      <c r="K815">
        <v>2</v>
      </c>
      <c r="L815">
        <v>1.5</v>
      </c>
      <c r="M815" s="5">
        <v>1.5</v>
      </c>
      <c r="N815" s="5">
        <v>10</v>
      </c>
      <c r="O815" s="5">
        <f t="shared" si="5555"/>
        <v>150168</v>
      </c>
      <c r="P815" s="5">
        <f t="shared" si="5556"/>
        <v>865368000</v>
      </c>
      <c r="Q815" s="5">
        <f t="shared" si="5557"/>
        <v>14422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70021</v>
      </c>
      <c r="X815" s="6" t="s">
        <v>180</v>
      </c>
      <c r="Y815" s="5">
        <v>300</v>
      </c>
      <c r="Z815" s="5">
        <v>1</v>
      </c>
      <c r="AA815" s="5">
        <v>446945436</v>
      </c>
      <c r="AB815" s="16" t="s">
        <v>111</v>
      </c>
      <c r="AC815" s="7" t="s">
        <v>112</v>
      </c>
      <c r="AD815" s="7" t="s">
        <v>112</v>
      </c>
      <c r="AE815" s="7" t="s">
        <v>112</v>
      </c>
      <c r="AF815" s="6" t="s">
        <v>113</v>
      </c>
      <c r="AG815" s="26" t="str">
        <f t="shared" ref="AG815" si="5867">CM$5</f>
        <v>4,33,28,33,6,4,33,28,33,6</v>
      </c>
      <c r="AH815" s="26" t="str">
        <f t="shared" ref="AH815" si="5868">CN$5</f>
        <v>0,7,0,7,1,0,7,0,7,1</v>
      </c>
      <c r="AI815" s="26" t="str">
        <f t="shared" ref="AI815" si="5869">CO$5</f>
        <v>0,0,0,0,1,0,0,0,0,1</v>
      </c>
      <c r="AJ815" s="26" t="str">
        <f t="shared" ref="AJ815" si="5870">CP$5</f>
        <v>0,0,0,0,5,0,0,0,0,5</v>
      </c>
      <c r="AK815" s="26" t="str">
        <f t="shared" ref="AK815" si="5871">CQ$5</f>
        <v>100,1,1000,2,5,200,1,1000,2,5</v>
      </c>
      <c r="AL815" s="26" t="str">
        <f t="shared" ref="AL815" si="5872">CR$5</f>
        <v>5,5,5,5,5,5,5,5,5,5</v>
      </c>
      <c r="AM815" s="7">
        <v>2001</v>
      </c>
      <c r="AO815">
        <f t="shared" ref="AO815" si="5873">AQ815*100+2</f>
        <v>9102</v>
      </c>
      <c r="AP815">
        <v>811</v>
      </c>
      <c r="AQ815">
        <f t="shared" si="5565"/>
        <v>91</v>
      </c>
      <c r="AR815">
        <v>14</v>
      </c>
      <c r="AS815" s="17">
        <f t="shared" si="5646"/>
        <v>495</v>
      </c>
      <c r="AT815">
        <v>13</v>
      </c>
      <c r="AU815">
        <f t="shared" si="5566"/>
        <v>38</v>
      </c>
      <c r="AV815">
        <v>150</v>
      </c>
      <c r="AW815">
        <f t="shared" si="5567"/>
        <v>150168.54527999999</v>
      </c>
      <c r="AX815">
        <f t="shared" si="5696"/>
        <v>865368000.00000012</v>
      </c>
      <c r="AY815">
        <f t="shared" si="5568"/>
        <v>14422.800000000001</v>
      </c>
      <c r="AZ815">
        <f t="shared" si="5569"/>
        <v>28845.600000000002</v>
      </c>
      <c r="BA815">
        <f t="shared" si="5570"/>
        <v>164832</v>
      </c>
      <c r="BB815">
        <f t="shared" si="5571"/>
        <v>7211.4000000000005</v>
      </c>
      <c r="BC815">
        <f t="shared" si="5697"/>
        <v>865368000.00000012</v>
      </c>
      <c r="BD815">
        <f t="shared" si="5572"/>
        <v>0.29411764705882354</v>
      </c>
      <c r="BE815" s="27">
        <f t="shared" si="5698"/>
        <v>2227863781.8864012</v>
      </c>
      <c r="BF815" s="30">
        <f t="shared" si="5573"/>
        <v>0.51839999999999997</v>
      </c>
      <c r="BG815" s="27"/>
      <c r="BH815" s="27"/>
      <c r="BI815" s="27"/>
      <c r="CA815" s="20">
        <f t="shared" si="5574"/>
        <v>550</v>
      </c>
      <c r="CB815" s="20">
        <f t="shared" si="5575"/>
        <v>55000</v>
      </c>
    </row>
    <row r="816" spans="1:80" x14ac:dyDescent="0.15">
      <c r="A816">
        <v>9103</v>
      </c>
      <c r="B816" s="3" t="s">
        <v>117</v>
      </c>
      <c r="C816" s="4" t="s">
        <v>109</v>
      </c>
      <c r="D816" s="4" t="s">
        <v>110</v>
      </c>
      <c r="E816" s="5">
        <v>1</v>
      </c>
      <c r="F816" s="7" t="s">
        <v>144</v>
      </c>
      <c r="G816" s="5">
        <v>3</v>
      </c>
      <c r="H816" s="7" t="s">
        <v>189</v>
      </c>
      <c r="I816" s="5">
        <v>0</v>
      </c>
      <c r="J816" s="2">
        <v>0</v>
      </c>
      <c r="K816">
        <v>6</v>
      </c>
      <c r="L816">
        <v>1.5</v>
      </c>
      <c r="M816" s="5">
        <v>1.5</v>
      </c>
      <c r="N816" s="5">
        <v>10</v>
      </c>
      <c r="O816" s="5">
        <f t="shared" si="5555"/>
        <v>151655</v>
      </c>
      <c r="P816" s="5">
        <f t="shared" si="5556"/>
        <v>873936000</v>
      </c>
      <c r="Q816" s="5">
        <f t="shared" si="5557"/>
        <v>14565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70031</v>
      </c>
      <c r="X816" s="6" t="s">
        <v>181</v>
      </c>
      <c r="Y816" s="5">
        <v>300</v>
      </c>
      <c r="Z816" s="5">
        <v>1</v>
      </c>
      <c r="AA816" s="5">
        <v>456404337</v>
      </c>
      <c r="AB816" s="16" t="s">
        <v>111</v>
      </c>
      <c r="AC816" s="7" t="s">
        <v>112</v>
      </c>
      <c r="AD816" s="7" t="s">
        <v>112</v>
      </c>
      <c r="AE816" s="7" t="s">
        <v>112</v>
      </c>
      <c r="AF816" s="6" t="s">
        <v>113</v>
      </c>
      <c r="AG816" s="26" t="str">
        <f t="shared" ref="AG816" si="5874">CM$6</f>
        <v>4,28,6,28,6,4,28,6,28,6</v>
      </c>
      <c r="AH816" s="26" t="str">
        <f t="shared" ref="AH816" si="5875">CN$6</f>
        <v>0,0,1,0,1,0,0,1,0,1</v>
      </c>
      <c r="AI816" s="26" t="str">
        <f t="shared" ref="AI816" si="5876">CO$6</f>
        <v>0,0,0,0,1,0,0,0,0,1</v>
      </c>
      <c r="AJ816" s="26" t="str">
        <f t="shared" ref="AJ816" si="5877">CP$6</f>
        <v>0,0,5,0,5,0,0,5,0,5</v>
      </c>
      <c r="AK816" s="26" t="str">
        <f t="shared" ref="AK816" si="5878">CQ$6</f>
        <v>100,1000,5,1500,5,200,1000,5,1500,5</v>
      </c>
      <c r="AL816" s="26" t="str">
        <f t="shared" ref="AL816" si="5879">CR$6</f>
        <v>5,5,5,5,5,5,5,5,5,5</v>
      </c>
      <c r="AM816" s="7">
        <v>2001</v>
      </c>
      <c r="AO816">
        <f t="shared" ref="AO816" si="5880">AQ816*100+3</f>
        <v>9103</v>
      </c>
      <c r="AP816">
        <v>812</v>
      </c>
      <c r="AQ816">
        <f t="shared" si="5565"/>
        <v>91</v>
      </c>
      <c r="AR816">
        <v>14</v>
      </c>
      <c r="AS816" s="17">
        <f t="shared" si="5646"/>
        <v>500</v>
      </c>
      <c r="AT816">
        <v>13</v>
      </c>
      <c r="AU816">
        <f t="shared" si="5566"/>
        <v>38</v>
      </c>
      <c r="AV816">
        <v>150</v>
      </c>
      <c r="AW816">
        <f t="shared" si="5567"/>
        <v>151655.36255999998</v>
      </c>
      <c r="AX816">
        <f t="shared" si="5696"/>
        <v>873936000</v>
      </c>
      <c r="AY816">
        <f t="shared" si="5568"/>
        <v>14565.6</v>
      </c>
      <c r="AZ816">
        <f t="shared" si="5569"/>
        <v>29131.200000000001</v>
      </c>
      <c r="BA816">
        <f t="shared" si="5570"/>
        <v>166464</v>
      </c>
      <c r="BB816">
        <f t="shared" si="5571"/>
        <v>7282.8</v>
      </c>
      <c r="BC816">
        <f t="shared" si="5697"/>
        <v>873936000</v>
      </c>
      <c r="BD816">
        <f t="shared" si="5572"/>
        <v>0.29411764705882348</v>
      </c>
      <c r="BE816" s="27">
        <f t="shared" si="5698"/>
        <v>2272198292.9856005</v>
      </c>
      <c r="BF816" s="30">
        <f t="shared" si="5573"/>
        <v>0.51839999999999997</v>
      </c>
      <c r="BG816" s="27"/>
      <c r="BH816" s="27"/>
      <c r="BI816" s="27"/>
      <c r="CA816" s="20">
        <f t="shared" si="5574"/>
        <v>550</v>
      </c>
      <c r="CB816" s="20">
        <f t="shared" si="5575"/>
        <v>55000</v>
      </c>
    </row>
    <row r="817" spans="1:80" x14ac:dyDescent="0.15">
      <c r="A817">
        <v>9104</v>
      </c>
      <c r="B817" s="3" t="s">
        <v>119</v>
      </c>
      <c r="C817" s="4" t="s">
        <v>109</v>
      </c>
      <c r="D817" s="6" t="s">
        <v>120</v>
      </c>
      <c r="E817" s="5">
        <v>3</v>
      </c>
      <c r="F817" s="7" t="s">
        <v>145</v>
      </c>
      <c r="G817" s="5">
        <v>3</v>
      </c>
      <c r="H817" s="7" t="s">
        <v>190</v>
      </c>
      <c r="I817" s="5">
        <v>0</v>
      </c>
      <c r="J817" s="5">
        <v>0</v>
      </c>
      <c r="K817">
        <v>2</v>
      </c>
      <c r="L817">
        <v>1.5</v>
      </c>
      <c r="M817" s="5">
        <v>1.5</v>
      </c>
      <c r="N817" s="5">
        <v>10</v>
      </c>
      <c r="O817" s="5">
        <f t="shared" si="5555"/>
        <v>153142</v>
      </c>
      <c r="P817" s="5">
        <f t="shared" si="5556"/>
        <v>882504000</v>
      </c>
      <c r="Q817" s="5">
        <f t="shared" si="5557"/>
        <v>14708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70041</v>
      </c>
      <c r="X817" s="6" t="s">
        <v>182</v>
      </c>
      <c r="Y817" s="5">
        <v>300</v>
      </c>
      <c r="Z817" s="5">
        <v>1</v>
      </c>
      <c r="AA817" s="5">
        <v>465962283</v>
      </c>
      <c r="AB817" s="16" t="s">
        <v>111</v>
      </c>
      <c r="AC817" s="7" t="s">
        <v>112</v>
      </c>
      <c r="AD817" s="7" t="s">
        <v>112</v>
      </c>
      <c r="AE817" s="7" t="s">
        <v>112</v>
      </c>
      <c r="AF817" s="6" t="s">
        <v>113</v>
      </c>
      <c r="AG817" s="26" t="str">
        <f t="shared" ref="AG817" si="5881">CM$7</f>
        <v>4,14,28,14,6,4,14,28,14,6</v>
      </c>
      <c r="AH817" s="26" t="str">
        <f t="shared" ref="AH817" si="5882">CN$7</f>
        <v>0,0,0,0,1,0,0,0,0,1</v>
      </c>
      <c r="AI817" s="26" t="str">
        <f t="shared" ref="AI817" si="5883">CO$7</f>
        <v>0,0,0,0,1,0,0,0,0,1</v>
      </c>
      <c r="AJ817" s="26" t="str">
        <f t="shared" ref="AJ817" si="5884">CP$7</f>
        <v>0,0,0,0,5,0,0,0,0,5</v>
      </c>
      <c r="AK817" s="26" t="str">
        <f t="shared" ref="AK817" si="5885">CQ$7</f>
        <v>100,1,1000,2,5,200,1,1000,2,5</v>
      </c>
      <c r="AL817" s="26" t="str">
        <f t="shared" ref="AL817" si="5886">CR$7</f>
        <v>5,5,5,5,5,5,5,5,5,5</v>
      </c>
      <c r="AM817" s="7">
        <v>2001</v>
      </c>
      <c r="AO817">
        <f t="shared" ref="AO817" si="5887">AQ817*100+4</f>
        <v>9104</v>
      </c>
      <c r="AP817">
        <v>813</v>
      </c>
      <c r="AQ817">
        <f t="shared" si="5565"/>
        <v>91</v>
      </c>
      <c r="AR817">
        <v>14</v>
      </c>
      <c r="AS817" s="17">
        <f t="shared" si="5646"/>
        <v>505</v>
      </c>
      <c r="AT817">
        <v>13</v>
      </c>
      <c r="AU817">
        <f t="shared" si="5566"/>
        <v>38</v>
      </c>
      <c r="AV817">
        <v>150</v>
      </c>
      <c r="AW817">
        <f t="shared" si="5567"/>
        <v>153142.17984</v>
      </c>
      <c r="AX817">
        <f t="shared" si="5696"/>
        <v>882504000.00000012</v>
      </c>
      <c r="AY817">
        <f t="shared" si="5568"/>
        <v>14708.400000000001</v>
      </c>
      <c r="AZ817">
        <f t="shared" si="5569"/>
        <v>29416.800000000003</v>
      </c>
      <c r="BA817">
        <f t="shared" si="5570"/>
        <v>168096</v>
      </c>
      <c r="BB817">
        <f t="shared" si="5571"/>
        <v>7354.2000000000007</v>
      </c>
      <c r="BC817">
        <f t="shared" si="5697"/>
        <v>882504000.00000012</v>
      </c>
      <c r="BD817">
        <f t="shared" si="5572"/>
        <v>0.29411764705882348</v>
      </c>
      <c r="BE817" s="27">
        <f t="shared" si="5698"/>
        <v>2316969597.2976007</v>
      </c>
      <c r="BF817" s="30">
        <f t="shared" si="5573"/>
        <v>0.51839999999999997</v>
      </c>
      <c r="BG817" s="27"/>
      <c r="BH817" s="27"/>
      <c r="BI817" s="27"/>
      <c r="CA817" s="20">
        <f t="shared" si="5574"/>
        <v>550</v>
      </c>
      <c r="CB817" s="20">
        <f t="shared" si="5575"/>
        <v>55000</v>
      </c>
    </row>
    <row r="818" spans="1:80" x14ac:dyDescent="0.15">
      <c r="A818">
        <v>9105</v>
      </c>
      <c r="B818" s="3" t="s">
        <v>122</v>
      </c>
      <c r="C818" s="4" t="s">
        <v>109</v>
      </c>
      <c r="D818" s="4" t="s">
        <v>110</v>
      </c>
      <c r="E818" s="5">
        <v>2</v>
      </c>
      <c r="F818" s="7" t="s">
        <v>146</v>
      </c>
      <c r="G818" s="5">
        <v>3</v>
      </c>
      <c r="H818" s="7" t="s">
        <v>191</v>
      </c>
      <c r="I818" s="5">
        <v>0</v>
      </c>
      <c r="J818" s="7" t="s">
        <v>148</v>
      </c>
      <c r="K818">
        <v>6</v>
      </c>
      <c r="L818">
        <v>1.5</v>
      </c>
      <c r="M818" s="5">
        <v>1.5</v>
      </c>
      <c r="N818" s="5">
        <v>10</v>
      </c>
      <c r="O818" s="5">
        <f t="shared" si="5555"/>
        <v>154628</v>
      </c>
      <c r="P818" s="5">
        <f t="shared" si="5556"/>
        <v>891072000</v>
      </c>
      <c r="Q818" s="5">
        <f t="shared" si="5557"/>
        <v>14851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70051</v>
      </c>
      <c r="X818" s="6" t="s">
        <v>183</v>
      </c>
      <c r="Y818" s="5">
        <v>300</v>
      </c>
      <c r="Z818" s="5">
        <v>1</v>
      </c>
      <c r="AA818" s="5">
        <v>475619276</v>
      </c>
      <c r="AB818" s="16" t="s">
        <v>111</v>
      </c>
      <c r="AC818" s="7" t="s">
        <v>112</v>
      </c>
      <c r="AD818" s="7" t="s">
        <v>112</v>
      </c>
      <c r="AE818" s="7" t="s">
        <v>112</v>
      </c>
      <c r="AF818" s="6" t="s">
        <v>113</v>
      </c>
      <c r="AG818" s="26" t="str">
        <f t="shared" ref="AG818" si="5888">CM$8</f>
        <v>4,19,28,19,6,4,19,28,19,6</v>
      </c>
      <c r="AH818" s="26" t="str">
        <f t="shared" ref="AH818" si="5889">CN$8</f>
        <v>0,0,0,0,1,0,0,0,0,1</v>
      </c>
      <c r="AI818" s="26" t="str">
        <f t="shared" ref="AI818" si="5890">CO$8</f>
        <v>0,0,0,0,1,0,0,0,0,1</v>
      </c>
      <c r="AJ818" s="26" t="str">
        <f t="shared" ref="AJ818" si="5891">CP$8</f>
        <v>0,0,0,0,5,0,0,0,0,5</v>
      </c>
      <c r="AK818" s="26" t="str">
        <f t="shared" ref="AK818" si="5892">CQ$8</f>
        <v>200,100,1000,200,5,200,100,1000,200,5</v>
      </c>
      <c r="AL818" s="26" t="str">
        <f t="shared" ref="AL818" si="5893">CR$8</f>
        <v>5,5,5,5,5,5,5,5,5,5</v>
      </c>
      <c r="AM818" s="7">
        <v>2001</v>
      </c>
      <c r="AO818">
        <f t="shared" ref="AO818" si="5894">AQ818*100+5</f>
        <v>9105</v>
      </c>
      <c r="AP818">
        <v>814</v>
      </c>
      <c r="AQ818">
        <f t="shared" si="5565"/>
        <v>91</v>
      </c>
      <c r="AR818">
        <v>14</v>
      </c>
      <c r="AS818" s="17">
        <f t="shared" si="5646"/>
        <v>510</v>
      </c>
      <c r="AT818">
        <v>13</v>
      </c>
      <c r="AU818">
        <f t="shared" si="5566"/>
        <v>38</v>
      </c>
      <c r="AV818">
        <v>150</v>
      </c>
      <c r="AW818">
        <f t="shared" si="5567"/>
        <v>154628.99712000001</v>
      </c>
      <c r="AX818">
        <f t="shared" si="5696"/>
        <v>891072000</v>
      </c>
      <c r="AY818">
        <f t="shared" si="5568"/>
        <v>14851.2</v>
      </c>
      <c r="AZ818">
        <f t="shared" si="5569"/>
        <v>29702.400000000001</v>
      </c>
      <c r="BA818">
        <f t="shared" si="5570"/>
        <v>169728</v>
      </c>
      <c r="BB818">
        <f t="shared" si="5571"/>
        <v>7425.6</v>
      </c>
      <c r="BC818">
        <f t="shared" si="5697"/>
        <v>891072000</v>
      </c>
      <c r="BD818">
        <f t="shared" si="5572"/>
        <v>0.29411764705882348</v>
      </c>
      <c r="BE818" s="27">
        <f t="shared" si="5698"/>
        <v>2362177694.8223996</v>
      </c>
      <c r="BF818" s="30">
        <f t="shared" si="5573"/>
        <v>0.51839999999999997</v>
      </c>
      <c r="BG818" s="27"/>
      <c r="BH818" s="27"/>
      <c r="BI818" s="27"/>
      <c r="CA818" s="20">
        <f t="shared" si="5574"/>
        <v>550</v>
      </c>
      <c r="CB818" s="20">
        <f t="shared" si="5575"/>
        <v>55000</v>
      </c>
    </row>
    <row r="819" spans="1:80" x14ac:dyDescent="0.15">
      <c r="A819">
        <v>9106</v>
      </c>
      <c r="B819" s="3" t="s">
        <v>124</v>
      </c>
      <c r="C819" s="4" t="s">
        <v>109</v>
      </c>
      <c r="D819" s="6" t="s">
        <v>120</v>
      </c>
      <c r="E819" s="5">
        <v>1</v>
      </c>
      <c r="F819" s="7" t="s">
        <v>147</v>
      </c>
      <c r="G819" s="5">
        <v>3</v>
      </c>
      <c r="H819" s="7" t="s">
        <v>192</v>
      </c>
      <c r="I819" s="5">
        <v>0</v>
      </c>
      <c r="J819" s="7" t="s">
        <v>149</v>
      </c>
      <c r="K819">
        <v>6</v>
      </c>
      <c r="L819">
        <v>1.5</v>
      </c>
      <c r="M819" s="5">
        <v>1.5</v>
      </c>
      <c r="N819" s="5">
        <v>10</v>
      </c>
      <c r="O819" s="5">
        <f t="shared" si="5555"/>
        <v>156115</v>
      </c>
      <c r="P819" s="5">
        <f t="shared" si="5556"/>
        <v>899640000</v>
      </c>
      <c r="Q819" s="5">
        <f t="shared" si="5557"/>
        <v>14994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70061</v>
      </c>
      <c r="X819" s="6" t="s">
        <v>184</v>
      </c>
      <c r="Y819" s="5">
        <v>300</v>
      </c>
      <c r="Z819" s="5">
        <v>1</v>
      </c>
      <c r="AA819" s="5">
        <v>485375315</v>
      </c>
      <c r="AB819" s="16" t="s">
        <v>111</v>
      </c>
      <c r="AC819" s="7" t="s">
        <v>112</v>
      </c>
      <c r="AD819" s="7" t="s">
        <v>112</v>
      </c>
      <c r="AE819" s="7" t="s">
        <v>112</v>
      </c>
      <c r="AF819" s="6" t="s">
        <v>113</v>
      </c>
      <c r="AG819" s="26" t="str">
        <f t="shared" ref="AG819" si="5895">CM$9</f>
        <v>4,33,28,33,6,4,33,28,33,6</v>
      </c>
      <c r="AH819" s="26" t="str">
        <f t="shared" ref="AH819" si="5896">CN$9</f>
        <v>0,6,0,6,1,0,6,0,6,1</v>
      </c>
      <c r="AI819" s="26" t="str">
        <f t="shared" ref="AI819" si="5897">CO$9</f>
        <v>0,0,0,0,1,0,0,0,0,1</v>
      </c>
      <c r="AJ819" s="26" t="str">
        <f t="shared" ref="AJ819" si="5898">CP$9</f>
        <v>0,0,0,0,5,0,0,0,0,5</v>
      </c>
      <c r="AK819" s="26" t="str">
        <f t="shared" ref="AK819" si="5899">CQ$9</f>
        <v>200,1,1000,2,5,200,1,1000,2,5</v>
      </c>
      <c r="AL819" s="26" t="str">
        <f t="shared" ref="AL819" si="5900">CR$9</f>
        <v>5,5,5,5,5,5,5,5,5,5</v>
      </c>
      <c r="AM819" s="7">
        <v>2001</v>
      </c>
      <c r="AO819">
        <f t="shared" ref="AO819" si="5901">AQ819*100+6</f>
        <v>9106</v>
      </c>
      <c r="AP819">
        <v>815</v>
      </c>
      <c r="AQ819">
        <f t="shared" si="5565"/>
        <v>91</v>
      </c>
      <c r="AR819">
        <v>14</v>
      </c>
      <c r="AS819" s="17">
        <f t="shared" si="5646"/>
        <v>515</v>
      </c>
      <c r="AT819">
        <v>13</v>
      </c>
      <c r="AU819">
        <f t="shared" si="5566"/>
        <v>38</v>
      </c>
      <c r="AV819">
        <v>150</v>
      </c>
      <c r="AW819">
        <f t="shared" si="5567"/>
        <v>156115.8144</v>
      </c>
      <c r="AX819">
        <f t="shared" si="5696"/>
        <v>899640000</v>
      </c>
      <c r="AY819">
        <f t="shared" si="5568"/>
        <v>14994</v>
      </c>
      <c r="AZ819">
        <f t="shared" si="5569"/>
        <v>29988</v>
      </c>
      <c r="BA819">
        <f t="shared" si="5570"/>
        <v>171360</v>
      </c>
      <c r="BB819">
        <f t="shared" si="5571"/>
        <v>7497</v>
      </c>
      <c r="BC819">
        <f t="shared" si="5697"/>
        <v>899640000</v>
      </c>
      <c r="BD819">
        <f t="shared" si="5572"/>
        <v>0.29411764705882354</v>
      </c>
      <c r="BE819" s="27">
        <f t="shared" si="5698"/>
        <v>2407822585.5600004</v>
      </c>
      <c r="BF819" s="30">
        <f t="shared" si="5573"/>
        <v>0.51839999999999997</v>
      </c>
      <c r="BG819" s="27"/>
      <c r="BH819" s="27"/>
      <c r="BI819" s="27"/>
      <c r="CA819" s="20">
        <f t="shared" si="5574"/>
        <v>550</v>
      </c>
      <c r="CB819" s="20">
        <f t="shared" si="5575"/>
        <v>55000</v>
      </c>
    </row>
    <row r="820" spans="1:80" x14ac:dyDescent="0.15">
      <c r="A820">
        <v>9107</v>
      </c>
      <c r="B820" s="3" t="s">
        <v>126</v>
      </c>
      <c r="C820" s="4" t="s">
        <v>109</v>
      </c>
      <c r="D820" s="4" t="s">
        <v>110</v>
      </c>
      <c r="E820" s="5">
        <v>2</v>
      </c>
      <c r="F820" s="7" t="s">
        <v>143</v>
      </c>
      <c r="G820" s="5">
        <v>3</v>
      </c>
      <c r="H820" s="7" t="s">
        <v>193</v>
      </c>
      <c r="I820" s="5">
        <v>0</v>
      </c>
      <c r="J820" s="5">
        <v>0</v>
      </c>
      <c r="K820">
        <v>2</v>
      </c>
      <c r="L820">
        <v>1.5</v>
      </c>
      <c r="M820" s="5">
        <v>1.5</v>
      </c>
      <c r="N820" s="5">
        <v>10</v>
      </c>
      <c r="O820" s="5">
        <f t="shared" si="5555"/>
        <v>157602</v>
      </c>
      <c r="P820" s="5">
        <f t="shared" si="5556"/>
        <v>908208000</v>
      </c>
      <c r="Q820" s="5">
        <f t="shared" si="5557"/>
        <v>15136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70071</v>
      </c>
      <c r="X820" s="6" t="s">
        <v>185</v>
      </c>
      <c r="Y820" s="5">
        <v>300</v>
      </c>
      <c r="Z820" s="5">
        <v>1</v>
      </c>
      <c r="AA820" s="5">
        <v>495230400</v>
      </c>
      <c r="AB820" s="16" t="s">
        <v>111</v>
      </c>
      <c r="AC820" s="7" t="s">
        <v>112</v>
      </c>
      <c r="AD820" s="7" t="s">
        <v>112</v>
      </c>
      <c r="AE820" s="7" t="s">
        <v>112</v>
      </c>
      <c r="AF820" s="6" t="s">
        <v>113</v>
      </c>
      <c r="AG820" s="26" t="str">
        <f t="shared" ref="AG820" si="5902">CM$10</f>
        <v>4,14,28,14,6,4,14,28,14,6</v>
      </c>
      <c r="AH820" s="26" t="str">
        <f t="shared" ref="AH820" si="5903">CN$10</f>
        <v>0,0,0,0,1,0,0,0,0,1</v>
      </c>
      <c r="AI820" s="26" t="str">
        <f t="shared" ref="AI820" si="5904">CO$10</f>
        <v>0,0,0,0,1,0,0,0,0,1</v>
      </c>
      <c r="AJ820" s="26" t="str">
        <f t="shared" ref="AJ820" si="5905">CP$10</f>
        <v>0,0,0,0,5,0,0,0,0,5</v>
      </c>
      <c r="AK820" s="26" t="str">
        <f t="shared" ref="AK820" si="5906">CQ$10</f>
        <v>200,1,1000,2,5,200,1,1000,2,5</v>
      </c>
      <c r="AL820" s="26" t="str">
        <f t="shared" ref="AL820" si="5907">CR$10</f>
        <v>5,5,5,5,5,5,5,5,5,5</v>
      </c>
      <c r="AM820" s="7">
        <v>2001</v>
      </c>
      <c r="AO820">
        <f t="shared" ref="AO820" si="5908">AQ820*100+7</f>
        <v>9107</v>
      </c>
      <c r="AP820">
        <v>816</v>
      </c>
      <c r="AQ820">
        <f t="shared" si="5565"/>
        <v>91</v>
      </c>
      <c r="AR820">
        <v>14</v>
      </c>
      <c r="AS820" s="17">
        <f t="shared" si="5646"/>
        <v>520</v>
      </c>
      <c r="AT820">
        <v>13</v>
      </c>
      <c r="AU820">
        <f t="shared" si="5566"/>
        <v>38</v>
      </c>
      <c r="AV820">
        <v>150</v>
      </c>
      <c r="AW820">
        <f t="shared" si="5567"/>
        <v>157602.63167999999</v>
      </c>
      <c r="AX820">
        <f t="shared" si="5696"/>
        <v>908208000.00000012</v>
      </c>
      <c r="AY820">
        <f t="shared" si="5568"/>
        <v>15136.800000000001</v>
      </c>
      <c r="AZ820">
        <f t="shared" si="5569"/>
        <v>30273.600000000002</v>
      </c>
      <c r="BA820">
        <f t="shared" si="5570"/>
        <v>172992</v>
      </c>
      <c r="BB820">
        <f t="shared" si="5571"/>
        <v>7568.4000000000005</v>
      </c>
      <c r="BC820">
        <f t="shared" si="5697"/>
        <v>908208000.00000012</v>
      </c>
      <c r="BD820">
        <f t="shared" si="5572"/>
        <v>0.29411764705882354</v>
      </c>
      <c r="BE820" s="27">
        <f t="shared" si="5698"/>
        <v>2453904269.5104008</v>
      </c>
      <c r="BF820" s="30">
        <f t="shared" si="5573"/>
        <v>0.51839999999999997</v>
      </c>
      <c r="BG820" s="27"/>
      <c r="BH820" s="27"/>
      <c r="BI820" s="27"/>
      <c r="CA820" s="20">
        <f t="shared" si="5574"/>
        <v>550</v>
      </c>
      <c r="CB820" s="20">
        <f t="shared" si="5575"/>
        <v>55000</v>
      </c>
    </row>
    <row r="821" spans="1:80" x14ac:dyDescent="0.15">
      <c r="A821">
        <v>9108</v>
      </c>
      <c r="B821" s="3" t="s">
        <v>128</v>
      </c>
      <c r="C821" s="4" t="s">
        <v>109</v>
      </c>
      <c r="D821" s="4" t="s">
        <v>110</v>
      </c>
      <c r="E821" s="5">
        <v>5</v>
      </c>
      <c r="F821" s="7" t="s">
        <v>129</v>
      </c>
      <c r="G821" s="5">
        <v>2</v>
      </c>
      <c r="H821" s="7" t="s">
        <v>130</v>
      </c>
      <c r="I821" s="5">
        <v>0</v>
      </c>
      <c r="J821" s="5">
        <v>0</v>
      </c>
      <c r="K821">
        <v>2</v>
      </c>
      <c r="L821">
        <v>1.5</v>
      </c>
      <c r="M821" s="5">
        <v>1.5</v>
      </c>
      <c r="N821" s="5">
        <v>10</v>
      </c>
      <c r="O821" s="5">
        <f t="shared" si="5555"/>
        <v>159089</v>
      </c>
      <c r="P821" s="5">
        <f t="shared" si="5556"/>
        <v>916776000</v>
      </c>
      <c r="Q821" s="5">
        <f t="shared" si="5557"/>
        <v>15279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70081</v>
      </c>
      <c r="X821" s="6" t="s">
        <v>186</v>
      </c>
      <c r="Y821" s="5">
        <v>300</v>
      </c>
      <c r="Z821" s="5">
        <v>1</v>
      </c>
      <c r="AA821" s="5">
        <v>505184531</v>
      </c>
      <c r="AB821" s="16" t="s">
        <v>111</v>
      </c>
      <c r="AC821" s="7" t="s">
        <v>112</v>
      </c>
      <c r="AD821" s="7" t="s">
        <v>112</v>
      </c>
      <c r="AE821" s="7" t="s">
        <v>112</v>
      </c>
      <c r="AF821" s="6" t="s">
        <v>113</v>
      </c>
      <c r="AG821" s="26" t="str">
        <f t="shared" ref="AG821" si="5909">CM$11</f>
        <v>4,28,6,28,6,4,28,6,28,6</v>
      </c>
      <c r="AH821" s="26" t="str">
        <f t="shared" ref="AH821" si="5910">CN$11</f>
        <v>0,0,1,0,1,0,0,1,0,1</v>
      </c>
      <c r="AI821" s="26" t="str">
        <f t="shared" ref="AI821" si="5911">CO$11</f>
        <v>0,0,1,0,1,0,0,1,0,1</v>
      </c>
      <c r="AJ821" s="26" t="str">
        <f t="shared" ref="AJ821" si="5912">CP$11</f>
        <v>0,0,5,0,5,0,0,5,0,5</v>
      </c>
      <c r="AK821" s="26" t="str">
        <f t="shared" ref="AK821" si="5913">CQ$11</f>
        <v>100,1000,5,1500,5,200,1000,5,1500,5</v>
      </c>
      <c r="AL821" s="26" t="str">
        <f t="shared" ref="AL821" si="5914">CR$11</f>
        <v>5,5,5,5,5,5,5,5,5,5</v>
      </c>
      <c r="AM821" s="7">
        <v>2001</v>
      </c>
      <c r="AO821">
        <f t="shared" ref="AO821" si="5915">AQ821*100+8</f>
        <v>9108</v>
      </c>
      <c r="AP821">
        <v>817</v>
      </c>
      <c r="AQ821">
        <f t="shared" si="5565"/>
        <v>91</v>
      </c>
      <c r="AR821">
        <v>14</v>
      </c>
      <c r="AS821" s="17">
        <f t="shared" si="5646"/>
        <v>525</v>
      </c>
      <c r="AT821">
        <v>13</v>
      </c>
      <c r="AU821">
        <f t="shared" si="5566"/>
        <v>38</v>
      </c>
      <c r="AV821">
        <v>150</v>
      </c>
      <c r="AW821">
        <f t="shared" si="5567"/>
        <v>159089.44895999998</v>
      </c>
      <c r="AX821">
        <f t="shared" si="5696"/>
        <v>916776000</v>
      </c>
      <c r="AY821">
        <f t="shared" si="5568"/>
        <v>15279.6</v>
      </c>
      <c r="AZ821">
        <f t="shared" si="5569"/>
        <v>30559.200000000001</v>
      </c>
      <c r="BA821">
        <f t="shared" si="5570"/>
        <v>174624</v>
      </c>
      <c r="BB821">
        <f t="shared" si="5571"/>
        <v>7639.8</v>
      </c>
      <c r="BC821">
        <f t="shared" si="5697"/>
        <v>916776000</v>
      </c>
      <c r="BD821">
        <f t="shared" si="5572"/>
        <v>0.29411764705882348</v>
      </c>
      <c r="BE821" s="27">
        <f t="shared" si="5698"/>
        <v>2500422746.6736002</v>
      </c>
      <c r="BF821" s="30">
        <f t="shared" si="5573"/>
        <v>0.51839999999999997</v>
      </c>
      <c r="BG821" s="27"/>
      <c r="BH821" s="27"/>
      <c r="BI821" s="27"/>
      <c r="CA821" s="20">
        <f t="shared" si="5574"/>
        <v>550</v>
      </c>
      <c r="CB821" s="20">
        <f t="shared" si="5575"/>
        <v>55000</v>
      </c>
    </row>
    <row r="822" spans="1:80" x14ac:dyDescent="0.15">
      <c r="A822">
        <v>9109</v>
      </c>
      <c r="B822" s="3" t="s">
        <v>132</v>
      </c>
      <c r="C822" s="4" t="s">
        <v>109</v>
      </c>
      <c r="D822" s="4" t="s">
        <v>110</v>
      </c>
      <c r="E822" s="5">
        <v>5</v>
      </c>
      <c r="F822" s="7" t="s">
        <v>140</v>
      </c>
      <c r="G822" s="5">
        <v>3</v>
      </c>
      <c r="H822" s="7" t="s">
        <v>140</v>
      </c>
      <c r="I822" s="5">
        <v>0</v>
      </c>
      <c r="J822" s="7">
        <v>0</v>
      </c>
      <c r="K822">
        <v>6</v>
      </c>
      <c r="L822">
        <v>1.5</v>
      </c>
      <c r="M822" s="5">
        <v>1.5</v>
      </c>
      <c r="N822" s="5">
        <v>10</v>
      </c>
      <c r="O822" s="5">
        <f t="shared" si="5555"/>
        <v>160576</v>
      </c>
      <c r="P822" s="5">
        <f t="shared" si="5556"/>
        <v>925344000</v>
      </c>
      <c r="Q822" s="5">
        <f t="shared" si="5557"/>
        <v>15422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70091</v>
      </c>
      <c r="X822" s="6" t="s">
        <v>187</v>
      </c>
      <c r="Y822" s="5">
        <v>300</v>
      </c>
      <c r="Z822" s="5">
        <v>1</v>
      </c>
      <c r="AA822" s="5">
        <v>515237708</v>
      </c>
      <c r="AB822" s="16" t="s">
        <v>111</v>
      </c>
      <c r="AC822" s="7" t="s">
        <v>112</v>
      </c>
      <c r="AD822" s="7" t="s">
        <v>112</v>
      </c>
      <c r="AE822" s="7" t="s">
        <v>112</v>
      </c>
      <c r="AF822" s="6" t="s">
        <v>113</v>
      </c>
      <c r="AG822" s="26" t="str">
        <f t="shared" ref="AG822" si="5916">CM$12</f>
        <v>4,33,28,33,6,4,33,28,33,6</v>
      </c>
      <c r="AH822" s="26" t="str">
        <f t="shared" ref="AH822" si="5917">CN$12</f>
        <v>0,5,0,5,1,0,5,0,5,1</v>
      </c>
      <c r="AI822" s="26" t="str">
        <f t="shared" ref="AI822" si="5918">CO$12</f>
        <v>0,0,0,0,1,0,0,0,0,1</v>
      </c>
      <c r="AJ822" s="26" t="str">
        <f t="shared" ref="AJ822" si="5919">CP$12</f>
        <v>0,0,0,0,5,0,0,0,0,5</v>
      </c>
      <c r="AK822" s="26" t="str">
        <f t="shared" ref="AK822" si="5920">CQ$12</f>
        <v>100,1,1000,2,5,200,1,1000,2,5</v>
      </c>
      <c r="AL822" s="26" t="str">
        <f t="shared" ref="AL822" si="5921">CR$12</f>
        <v>5,5,5,5,5,5,5,5,5,5</v>
      </c>
      <c r="AM822" s="7">
        <v>2001</v>
      </c>
      <c r="AO822">
        <f t="shared" ref="AO822" si="5922">AQ822*100+9</f>
        <v>9109</v>
      </c>
      <c r="AP822">
        <v>818</v>
      </c>
      <c r="AQ822">
        <f t="shared" si="5565"/>
        <v>91</v>
      </c>
      <c r="AR822">
        <v>14</v>
      </c>
      <c r="AS822" s="17">
        <f t="shared" si="5646"/>
        <v>530</v>
      </c>
      <c r="AT822">
        <v>13</v>
      </c>
      <c r="AU822">
        <f t="shared" si="5566"/>
        <v>38</v>
      </c>
      <c r="AV822">
        <v>150</v>
      </c>
      <c r="AW822">
        <f t="shared" si="5567"/>
        <v>160576.26624</v>
      </c>
      <c r="AX822">
        <f t="shared" si="5696"/>
        <v>925344000.00000024</v>
      </c>
      <c r="AY822">
        <f t="shared" si="5568"/>
        <v>15422.400000000001</v>
      </c>
      <c r="AZ822">
        <f t="shared" si="5569"/>
        <v>30844.800000000003</v>
      </c>
      <c r="BA822">
        <f t="shared" si="5570"/>
        <v>176256</v>
      </c>
      <c r="BB822">
        <f t="shared" si="5571"/>
        <v>7711.2000000000007</v>
      </c>
      <c r="BC822">
        <f t="shared" si="5697"/>
        <v>925344000.00000024</v>
      </c>
      <c r="BD822">
        <f t="shared" si="5572"/>
        <v>0.29411764705882348</v>
      </c>
      <c r="BE822" s="27">
        <f t="shared" si="5698"/>
        <v>2547378017.0496006</v>
      </c>
      <c r="BF822" s="30">
        <f t="shared" si="5573"/>
        <v>0.51839999999999997</v>
      </c>
      <c r="BG822" s="27"/>
      <c r="BH822" s="27"/>
      <c r="BI822" s="27"/>
      <c r="CA822" s="20">
        <f t="shared" si="5574"/>
        <v>550</v>
      </c>
      <c r="CB822" s="20">
        <f t="shared" si="5575"/>
        <v>55000</v>
      </c>
    </row>
    <row r="823" spans="1:80" x14ac:dyDescent="0.15">
      <c r="A823">
        <v>9201</v>
      </c>
      <c r="B823" s="3" t="s">
        <v>108</v>
      </c>
      <c r="C823" s="4" t="s">
        <v>109</v>
      </c>
      <c r="D823" s="4" t="s">
        <v>110</v>
      </c>
      <c r="E823" s="5">
        <v>3</v>
      </c>
      <c r="F823" s="7" t="s">
        <v>141</v>
      </c>
      <c r="G823" s="5">
        <v>2.5</v>
      </c>
      <c r="H823" s="7" t="s">
        <v>194</v>
      </c>
      <c r="I823" s="5">
        <v>0</v>
      </c>
      <c r="J823" s="5">
        <v>0</v>
      </c>
      <c r="K823">
        <v>2</v>
      </c>
      <c r="L823">
        <v>1.5</v>
      </c>
      <c r="M823" s="5">
        <v>1.5</v>
      </c>
      <c r="N823" s="5">
        <v>10</v>
      </c>
      <c r="O823" s="5">
        <f t="shared" si="5555"/>
        <v>150405</v>
      </c>
      <c r="P823" s="5">
        <f t="shared" si="5556"/>
        <v>865368000</v>
      </c>
      <c r="Q823" s="5">
        <f t="shared" si="5557"/>
        <v>14422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70011</v>
      </c>
      <c r="X823" s="6" t="s">
        <v>179</v>
      </c>
      <c r="Y823" s="5">
        <v>300</v>
      </c>
      <c r="Z823" s="5">
        <v>1</v>
      </c>
      <c r="AA823" s="5">
        <v>525389931</v>
      </c>
      <c r="AB823" s="16" t="s">
        <v>111</v>
      </c>
      <c r="AC823" s="7" t="s">
        <v>112</v>
      </c>
      <c r="AD823" s="7" t="s">
        <v>112</v>
      </c>
      <c r="AE823" s="7" t="s">
        <v>112</v>
      </c>
      <c r="AF823" s="6" t="s">
        <v>113</v>
      </c>
      <c r="AG823" s="26" t="str">
        <f t="shared" ref="AG823" si="5923">CM$4</f>
        <v>4,33,28,33,6,4,33,28,33,6</v>
      </c>
      <c r="AH823" s="26" t="str">
        <f t="shared" ref="AH823" si="5924">CN$4</f>
        <v>0,8,0,8,1,0,8,0,8,1</v>
      </c>
      <c r="AI823" s="26" t="str">
        <f t="shared" ref="AI823" si="5925">CO$4</f>
        <v>0,0,0,0,1,0,0,0,0,1</v>
      </c>
      <c r="AJ823" s="26" t="str">
        <f t="shared" ref="AJ823" si="5926">CP$4</f>
        <v>0,0,0,0,5,0,0,0,0,5</v>
      </c>
      <c r="AK823" s="26" t="str">
        <f t="shared" ref="AK823" si="5927">CQ$4</f>
        <v>100,1,1000,2,5,200,1,1000,2,5</v>
      </c>
      <c r="AL823" s="26" t="str">
        <f t="shared" ref="AL823" si="5928">CR$4</f>
        <v>5,5,5,5,5,5,5,5,5,5</v>
      </c>
      <c r="AM823" s="7">
        <v>2001</v>
      </c>
      <c r="AO823">
        <f t="shared" ref="AO823" si="5929">AQ823*100+1</f>
        <v>9201</v>
      </c>
      <c r="AP823">
        <v>819</v>
      </c>
      <c r="AQ823">
        <f t="shared" si="5565"/>
        <v>92</v>
      </c>
      <c r="AR823">
        <v>14</v>
      </c>
      <c r="AS823" s="17">
        <f t="shared" si="5646"/>
        <v>495</v>
      </c>
      <c r="AT823">
        <v>13</v>
      </c>
      <c r="AU823">
        <f t="shared" si="5566"/>
        <v>38</v>
      </c>
      <c r="AV823">
        <v>150</v>
      </c>
      <c r="AW823">
        <f t="shared" si="5567"/>
        <v>150405.90336</v>
      </c>
      <c r="AX823">
        <f t="shared" si="5696"/>
        <v>865368000.00000012</v>
      </c>
      <c r="AY823">
        <f t="shared" si="5568"/>
        <v>14422.800000000001</v>
      </c>
      <c r="AZ823">
        <f t="shared" si="5569"/>
        <v>28845.600000000002</v>
      </c>
      <c r="BA823">
        <f t="shared" si="5570"/>
        <v>164832</v>
      </c>
      <c r="BB823">
        <f t="shared" si="5571"/>
        <v>7211.4000000000005</v>
      </c>
      <c r="BC823">
        <f t="shared" si="5697"/>
        <v>865368000.00000012</v>
      </c>
      <c r="BD823">
        <f t="shared" si="5572"/>
        <v>0.29411764705882354</v>
      </c>
      <c r="BE823" s="27">
        <f t="shared" si="5698"/>
        <v>2227863781.8864012</v>
      </c>
      <c r="BF823" s="30">
        <f t="shared" si="5573"/>
        <v>0.52079999999999993</v>
      </c>
      <c r="BG823" s="27"/>
      <c r="BH823" s="27"/>
      <c r="BI823" s="27"/>
      <c r="CA823" s="20">
        <f t="shared" si="5574"/>
        <v>555</v>
      </c>
      <c r="CB823" s="20">
        <f t="shared" si="5575"/>
        <v>55500</v>
      </c>
    </row>
    <row r="824" spans="1:80" x14ac:dyDescent="0.15">
      <c r="A824">
        <v>9202</v>
      </c>
      <c r="B824" s="3" t="s">
        <v>115</v>
      </c>
      <c r="C824" s="4" t="s">
        <v>109</v>
      </c>
      <c r="D824" s="6" t="s">
        <v>110</v>
      </c>
      <c r="E824" s="5">
        <v>3</v>
      </c>
      <c r="F824" s="7" t="s">
        <v>142</v>
      </c>
      <c r="G824" s="5">
        <v>3</v>
      </c>
      <c r="H824" s="7" t="s">
        <v>188</v>
      </c>
      <c r="I824" s="5">
        <v>0</v>
      </c>
      <c r="J824" s="5">
        <v>0</v>
      </c>
      <c r="K824">
        <v>2</v>
      </c>
      <c r="L824">
        <v>1.5</v>
      </c>
      <c r="M824" s="5">
        <v>1.5</v>
      </c>
      <c r="N824" s="5">
        <v>10</v>
      </c>
      <c r="O824" s="5">
        <f t="shared" si="5555"/>
        <v>151895</v>
      </c>
      <c r="P824" s="5">
        <f t="shared" si="5556"/>
        <v>873936000</v>
      </c>
      <c r="Q824" s="5">
        <f t="shared" si="5557"/>
        <v>14565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70021</v>
      </c>
      <c r="X824" s="6" t="s">
        <v>180</v>
      </c>
      <c r="Y824" s="5">
        <v>300</v>
      </c>
      <c r="Z824" s="5">
        <v>1</v>
      </c>
      <c r="AA824" s="5">
        <v>456404337</v>
      </c>
      <c r="AB824" s="16" t="s">
        <v>111</v>
      </c>
      <c r="AC824" s="7" t="s">
        <v>112</v>
      </c>
      <c r="AD824" s="7" t="s">
        <v>112</v>
      </c>
      <c r="AE824" s="7" t="s">
        <v>112</v>
      </c>
      <c r="AF824" s="6" t="s">
        <v>113</v>
      </c>
      <c r="AG824" s="26" t="str">
        <f t="shared" ref="AG824" si="5930">CM$5</f>
        <v>4,33,28,33,6,4,33,28,33,6</v>
      </c>
      <c r="AH824" s="26" t="str">
        <f t="shared" ref="AH824" si="5931">CN$5</f>
        <v>0,7,0,7,1,0,7,0,7,1</v>
      </c>
      <c r="AI824" s="26" t="str">
        <f t="shared" ref="AI824" si="5932">CO$5</f>
        <v>0,0,0,0,1,0,0,0,0,1</v>
      </c>
      <c r="AJ824" s="26" t="str">
        <f t="shared" ref="AJ824" si="5933">CP$5</f>
        <v>0,0,0,0,5,0,0,0,0,5</v>
      </c>
      <c r="AK824" s="26" t="str">
        <f t="shared" ref="AK824" si="5934">CQ$5</f>
        <v>100,1,1000,2,5,200,1,1000,2,5</v>
      </c>
      <c r="AL824" s="26" t="str">
        <f t="shared" ref="AL824" si="5935">CR$5</f>
        <v>5,5,5,5,5,5,5,5,5,5</v>
      </c>
      <c r="AM824" s="7">
        <v>2001</v>
      </c>
      <c r="AO824">
        <f t="shared" ref="AO824" si="5936">AQ824*100+2</f>
        <v>9202</v>
      </c>
      <c r="AP824">
        <v>820</v>
      </c>
      <c r="AQ824">
        <f t="shared" si="5565"/>
        <v>92</v>
      </c>
      <c r="AR824">
        <v>14</v>
      </c>
      <c r="AS824" s="17">
        <f t="shared" si="5646"/>
        <v>500</v>
      </c>
      <c r="AT824">
        <v>13</v>
      </c>
      <c r="AU824">
        <f t="shared" si="5566"/>
        <v>38</v>
      </c>
      <c r="AV824">
        <v>150</v>
      </c>
      <c r="AW824">
        <f t="shared" si="5567"/>
        <v>151895.07071999999</v>
      </c>
      <c r="AX824">
        <f t="shared" si="5696"/>
        <v>873936000</v>
      </c>
      <c r="AY824">
        <f t="shared" si="5568"/>
        <v>14565.6</v>
      </c>
      <c r="AZ824">
        <f t="shared" si="5569"/>
        <v>29131.200000000001</v>
      </c>
      <c r="BA824">
        <f t="shared" si="5570"/>
        <v>166464</v>
      </c>
      <c r="BB824">
        <f t="shared" si="5571"/>
        <v>7282.8</v>
      </c>
      <c r="BC824">
        <f t="shared" si="5697"/>
        <v>873936000</v>
      </c>
      <c r="BD824">
        <f t="shared" si="5572"/>
        <v>0.29411764705882348</v>
      </c>
      <c r="BE824" s="27">
        <f t="shared" si="5698"/>
        <v>2272198292.9856005</v>
      </c>
      <c r="BF824" s="30">
        <f t="shared" si="5573"/>
        <v>0.52079999999999993</v>
      </c>
      <c r="BG824" s="27"/>
      <c r="BH824" s="27"/>
      <c r="BI824" s="27"/>
      <c r="CA824" s="20">
        <f t="shared" si="5574"/>
        <v>555</v>
      </c>
      <c r="CB824" s="20">
        <f t="shared" si="5575"/>
        <v>55500</v>
      </c>
    </row>
    <row r="825" spans="1:80" x14ac:dyDescent="0.15">
      <c r="A825">
        <v>9203</v>
      </c>
      <c r="B825" s="3" t="s">
        <v>117</v>
      </c>
      <c r="C825" s="4" t="s">
        <v>109</v>
      </c>
      <c r="D825" s="4" t="s">
        <v>110</v>
      </c>
      <c r="E825" s="5">
        <v>1</v>
      </c>
      <c r="F825" s="7" t="s">
        <v>144</v>
      </c>
      <c r="G825" s="5">
        <v>3</v>
      </c>
      <c r="H825" s="7" t="s">
        <v>189</v>
      </c>
      <c r="I825" s="5">
        <v>0</v>
      </c>
      <c r="J825" s="2">
        <v>0</v>
      </c>
      <c r="K825">
        <v>6</v>
      </c>
      <c r="L825">
        <v>1.5</v>
      </c>
      <c r="M825" s="5">
        <v>1.5</v>
      </c>
      <c r="N825" s="5">
        <v>10</v>
      </c>
      <c r="O825" s="5">
        <f t="shared" si="5555"/>
        <v>153384</v>
      </c>
      <c r="P825" s="5">
        <f t="shared" si="5556"/>
        <v>882504000</v>
      </c>
      <c r="Q825" s="5">
        <f t="shared" si="5557"/>
        <v>14708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70031</v>
      </c>
      <c r="X825" s="6" t="s">
        <v>181</v>
      </c>
      <c r="Y825" s="5">
        <v>300</v>
      </c>
      <c r="Z825" s="5">
        <v>1</v>
      </c>
      <c r="AA825" s="5">
        <v>465962283</v>
      </c>
      <c r="AB825" s="16" t="s">
        <v>111</v>
      </c>
      <c r="AC825" s="7" t="s">
        <v>112</v>
      </c>
      <c r="AD825" s="7" t="s">
        <v>112</v>
      </c>
      <c r="AE825" s="7" t="s">
        <v>112</v>
      </c>
      <c r="AF825" s="6" t="s">
        <v>113</v>
      </c>
      <c r="AG825" s="26" t="str">
        <f t="shared" ref="AG825" si="5937">CM$6</f>
        <v>4,28,6,28,6,4,28,6,28,6</v>
      </c>
      <c r="AH825" s="26" t="str">
        <f t="shared" ref="AH825" si="5938">CN$6</f>
        <v>0,0,1,0,1,0,0,1,0,1</v>
      </c>
      <c r="AI825" s="26" t="str">
        <f t="shared" ref="AI825" si="5939">CO$6</f>
        <v>0,0,0,0,1,0,0,0,0,1</v>
      </c>
      <c r="AJ825" s="26" t="str">
        <f t="shared" ref="AJ825" si="5940">CP$6</f>
        <v>0,0,5,0,5,0,0,5,0,5</v>
      </c>
      <c r="AK825" s="26" t="str">
        <f t="shared" ref="AK825" si="5941">CQ$6</f>
        <v>100,1000,5,1500,5,200,1000,5,1500,5</v>
      </c>
      <c r="AL825" s="26" t="str">
        <f t="shared" ref="AL825" si="5942">CR$6</f>
        <v>5,5,5,5,5,5,5,5,5,5</v>
      </c>
      <c r="AM825" s="7">
        <v>2001</v>
      </c>
      <c r="AO825">
        <f t="shared" ref="AO825" si="5943">AQ825*100+3</f>
        <v>9203</v>
      </c>
      <c r="AP825">
        <v>821</v>
      </c>
      <c r="AQ825">
        <f t="shared" si="5565"/>
        <v>92</v>
      </c>
      <c r="AR825">
        <v>14</v>
      </c>
      <c r="AS825" s="17">
        <f t="shared" si="5646"/>
        <v>505</v>
      </c>
      <c r="AT825">
        <v>13</v>
      </c>
      <c r="AU825">
        <f t="shared" si="5566"/>
        <v>38</v>
      </c>
      <c r="AV825">
        <v>150</v>
      </c>
      <c r="AW825">
        <f t="shared" si="5567"/>
        <v>153384.23807999998</v>
      </c>
      <c r="AX825">
        <f t="shared" si="5696"/>
        <v>882504000.00000012</v>
      </c>
      <c r="AY825">
        <f t="shared" si="5568"/>
        <v>14708.400000000001</v>
      </c>
      <c r="AZ825">
        <f t="shared" si="5569"/>
        <v>29416.800000000003</v>
      </c>
      <c r="BA825">
        <f t="shared" si="5570"/>
        <v>168096</v>
      </c>
      <c r="BB825">
        <f t="shared" si="5571"/>
        <v>7354.2000000000007</v>
      </c>
      <c r="BC825">
        <f t="shared" si="5697"/>
        <v>882504000.00000012</v>
      </c>
      <c r="BD825">
        <f t="shared" si="5572"/>
        <v>0.29411764705882348</v>
      </c>
      <c r="BE825" s="27">
        <f t="shared" si="5698"/>
        <v>2316969597.2976007</v>
      </c>
      <c r="BF825" s="30">
        <f t="shared" si="5573"/>
        <v>0.52079999999999993</v>
      </c>
      <c r="BG825" s="27"/>
      <c r="BH825" s="27"/>
      <c r="BI825" s="27"/>
      <c r="CA825" s="20">
        <f t="shared" si="5574"/>
        <v>555</v>
      </c>
      <c r="CB825" s="20">
        <f t="shared" si="5575"/>
        <v>55500</v>
      </c>
    </row>
    <row r="826" spans="1:80" x14ac:dyDescent="0.15">
      <c r="A826">
        <v>9204</v>
      </c>
      <c r="B826" s="3" t="s">
        <v>119</v>
      </c>
      <c r="C826" s="4" t="s">
        <v>109</v>
      </c>
      <c r="D826" s="6" t="s">
        <v>120</v>
      </c>
      <c r="E826" s="5">
        <v>3</v>
      </c>
      <c r="F826" s="7" t="s">
        <v>145</v>
      </c>
      <c r="G826" s="5">
        <v>3</v>
      </c>
      <c r="H826" s="7" t="s">
        <v>190</v>
      </c>
      <c r="I826" s="5">
        <v>0</v>
      </c>
      <c r="J826" s="5">
        <v>0</v>
      </c>
      <c r="K826">
        <v>2</v>
      </c>
      <c r="L826">
        <v>1.5</v>
      </c>
      <c r="M826" s="5">
        <v>1.5</v>
      </c>
      <c r="N826" s="5">
        <v>10</v>
      </c>
      <c r="O826" s="5">
        <f t="shared" si="5555"/>
        <v>154873</v>
      </c>
      <c r="P826" s="5">
        <f t="shared" si="5556"/>
        <v>891072000</v>
      </c>
      <c r="Q826" s="5">
        <f t="shared" si="5557"/>
        <v>14851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70041</v>
      </c>
      <c r="X826" s="6" t="s">
        <v>182</v>
      </c>
      <c r="Y826" s="5">
        <v>300</v>
      </c>
      <c r="Z826" s="5">
        <v>1</v>
      </c>
      <c r="AA826" s="5">
        <v>475619276</v>
      </c>
      <c r="AB826" s="16" t="s">
        <v>111</v>
      </c>
      <c r="AC826" s="7" t="s">
        <v>112</v>
      </c>
      <c r="AD826" s="7" t="s">
        <v>112</v>
      </c>
      <c r="AE826" s="7" t="s">
        <v>112</v>
      </c>
      <c r="AF826" s="6" t="s">
        <v>113</v>
      </c>
      <c r="AG826" s="26" t="str">
        <f t="shared" ref="AG826" si="5944">CM$7</f>
        <v>4,14,28,14,6,4,14,28,14,6</v>
      </c>
      <c r="AH826" s="26" t="str">
        <f t="shared" ref="AH826" si="5945">CN$7</f>
        <v>0,0,0,0,1,0,0,0,0,1</v>
      </c>
      <c r="AI826" s="26" t="str">
        <f t="shared" ref="AI826" si="5946">CO$7</f>
        <v>0,0,0,0,1,0,0,0,0,1</v>
      </c>
      <c r="AJ826" s="26" t="str">
        <f t="shared" ref="AJ826" si="5947">CP$7</f>
        <v>0,0,0,0,5,0,0,0,0,5</v>
      </c>
      <c r="AK826" s="26" t="str">
        <f t="shared" ref="AK826" si="5948">CQ$7</f>
        <v>100,1,1000,2,5,200,1,1000,2,5</v>
      </c>
      <c r="AL826" s="26" t="str">
        <f t="shared" ref="AL826" si="5949">CR$7</f>
        <v>5,5,5,5,5,5,5,5,5,5</v>
      </c>
      <c r="AM826" s="7">
        <v>2001</v>
      </c>
      <c r="AO826">
        <f t="shared" ref="AO826" si="5950">AQ826*100+4</f>
        <v>9204</v>
      </c>
      <c r="AP826">
        <v>822</v>
      </c>
      <c r="AQ826">
        <f t="shared" si="5565"/>
        <v>92</v>
      </c>
      <c r="AR826">
        <v>14</v>
      </c>
      <c r="AS826" s="17">
        <f t="shared" si="5646"/>
        <v>510</v>
      </c>
      <c r="AT826">
        <v>13</v>
      </c>
      <c r="AU826">
        <f t="shared" si="5566"/>
        <v>38</v>
      </c>
      <c r="AV826">
        <v>150</v>
      </c>
      <c r="AW826">
        <f t="shared" si="5567"/>
        <v>154873.40544</v>
      </c>
      <c r="AX826">
        <f t="shared" si="5696"/>
        <v>891072000</v>
      </c>
      <c r="AY826">
        <f t="shared" si="5568"/>
        <v>14851.2</v>
      </c>
      <c r="AZ826">
        <f t="shared" si="5569"/>
        <v>29702.400000000001</v>
      </c>
      <c r="BA826">
        <f t="shared" si="5570"/>
        <v>169728</v>
      </c>
      <c r="BB826">
        <f t="shared" si="5571"/>
        <v>7425.6</v>
      </c>
      <c r="BC826">
        <f t="shared" si="5697"/>
        <v>891072000</v>
      </c>
      <c r="BD826">
        <f t="shared" si="5572"/>
        <v>0.29411764705882348</v>
      </c>
      <c r="BE826" s="27">
        <f t="shared" si="5698"/>
        <v>2362177694.8223996</v>
      </c>
      <c r="BF826" s="30">
        <f t="shared" si="5573"/>
        <v>0.52079999999999993</v>
      </c>
      <c r="BG826" s="27"/>
      <c r="BH826" s="27"/>
      <c r="BI826" s="27"/>
      <c r="CA826" s="20">
        <f t="shared" si="5574"/>
        <v>555</v>
      </c>
      <c r="CB826" s="20">
        <f t="shared" si="5575"/>
        <v>55500</v>
      </c>
    </row>
    <row r="827" spans="1:80" x14ac:dyDescent="0.15">
      <c r="A827">
        <v>9205</v>
      </c>
      <c r="B827" s="3" t="s">
        <v>122</v>
      </c>
      <c r="C827" s="4" t="s">
        <v>109</v>
      </c>
      <c r="D827" s="4" t="s">
        <v>110</v>
      </c>
      <c r="E827" s="5">
        <v>2</v>
      </c>
      <c r="F827" s="7" t="s">
        <v>146</v>
      </c>
      <c r="G827" s="5">
        <v>3</v>
      </c>
      <c r="H827" s="7" t="s">
        <v>191</v>
      </c>
      <c r="I827" s="5">
        <v>0</v>
      </c>
      <c r="J827" s="7" t="s">
        <v>148</v>
      </c>
      <c r="K827">
        <v>6</v>
      </c>
      <c r="L827">
        <v>1.5</v>
      </c>
      <c r="M827" s="5">
        <v>1.5</v>
      </c>
      <c r="N827" s="5">
        <v>10</v>
      </c>
      <c r="O827" s="5">
        <f t="shared" si="5555"/>
        <v>156362</v>
      </c>
      <c r="P827" s="5">
        <f t="shared" si="5556"/>
        <v>899640000</v>
      </c>
      <c r="Q827" s="5">
        <f t="shared" si="5557"/>
        <v>14994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70051</v>
      </c>
      <c r="X827" s="6" t="s">
        <v>183</v>
      </c>
      <c r="Y827" s="5">
        <v>300</v>
      </c>
      <c r="Z827" s="5">
        <v>1</v>
      </c>
      <c r="AA827" s="5">
        <v>485375315</v>
      </c>
      <c r="AB827" s="16" t="s">
        <v>111</v>
      </c>
      <c r="AC827" s="7" t="s">
        <v>112</v>
      </c>
      <c r="AD827" s="7" t="s">
        <v>112</v>
      </c>
      <c r="AE827" s="7" t="s">
        <v>112</v>
      </c>
      <c r="AF827" s="6" t="s">
        <v>113</v>
      </c>
      <c r="AG827" s="26" t="str">
        <f t="shared" ref="AG827" si="5951">CM$8</f>
        <v>4,19,28,19,6,4,19,28,19,6</v>
      </c>
      <c r="AH827" s="26" t="str">
        <f t="shared" ref="AH827" si="5952">CN$8</f>
        <v>0,0,0,0,1,0,0,0,0,1</v>
      </c>
      <c r="AI827" s="26" t="str">
        <f t="shared" ref="AI827" si="5953">CO$8</f>
        <v>0,0,0,0,1,0,0,0,0,1</v>
      </c>
      <c r="AJ827" s="26" t="str">
        <f t="shared" ref="AJ827" si="5954">CP$8</f>
        <v>0,0,0,0,5,0,0,0,0,5</v>
      </c>
      <c r="AK827" s="26" t="str">
        <f t="shared" ref="AK827" si="5955">CQ$8</f>
        <v>200,100,1000,200,5,200,100,1000,200,5</v>
      </c>
      <c r="AL827" s="26" t="str">
        <f t="shared" ref="AL827" si="5956">CR$8</f>
        <v>5,5,5,5,5,5,5,5,5,5</v>
      </c>
      <c r="AM827" s="7">
        <v>2001</v>
      </c>
      <c r="AO827">
        <f t="shared" ref="AO827" si="5957">AQ827*100+5</f>
        <v>9205</v>
      </c>
      <c r="AP827">
        <v>823</v>
      </c>
      <c r="AQ827">
        <f t="shared" si="5565"/>
        <v>92</v>
      </c>
      <c r="AR827">
        <v>14</v>
      </c>
      <c r="AS827" s="17">
        <f t="shared" si="5646"/>
        <v>515</v>
      </c>
      <c r="AT827">
        <v>13</v>
      </c>
      <c r="AU827">
        <f t="shared" si="5566"/>
        <v>38</v>
      </c>
      <c r="AV827">
        <v>150</v>
      </c>
      <c r="AW827">
        <f t="shared" si="5567"/>
        <v>156362.57279999999</v>
      </c>
      <c r="AX827">
        <f t="shared" si="5696"/>
        <v>899640000</v>
      </c>
      <c r="AY827">
        <f t="shared" si="5568"/>
        <v>14994</v>
      </c>
      <c r="AZ827">
        <f t="shared" si="5569"/>
        <v>29988</v>
      </c>
      <c r="BA827">
        <f t="shared" si="5570"/>
        <v>171360</v>
      </c>
      <c r="BB827">
        <f t="shared" si="5571"/>
        <v>7497</v>
      </c>
      <c r="BC827">
        <f t="shared" si="5697"/>
        <v>899640000</v>
      </c>
      <c r="BD827">
        <f t="shared" si="5572"/>
        <v>0.29411764705882354</v>
      </c>
      <c r="BE827" s="27">
        <f t="shared" si="5698"/>
        <v>2407822585.5600004</v>
      </c>
      <c r="BF827" s="30">
        <f t="shared" si="5573"/>
        <v>0.52079999999999993</v>
      </c>
      <c r="BG827" s="27"/>
      <c r="BH827" s="27"/>
      <c r="BI827" s="27"/>
      <c r="CA827" s="20">
        <f t="shared" si="5574"/>
        <v>555</v>
      </c>
      <c r="CB827" s="20">
        <f t="shared" si="5575"/>
        <v>55500</v>
      </c>
    </row>
    <row r="828" spans="1:80" x14ac:dyDescent="0.15">
      <c r="A828">
        <v>9206</v>
      </c>
      <c r="B828" s="3" t="s">
        <v>124</v>
      </c>
      <c r="C828" s="4" t="s">
        <v>109</v>
      </c>
      <c r="D828" s="6" t="s">
        <v>120</v>
      </c>
      <c r="E828" s="5">
        <v>1</v>
      </c>
      <c r="F828" s="7" t="s">
        <v>147</v>
      </c>
      <c r="G828" s="5">
        <v>3</v>
      </c>
      <c r="H828" s="7" t="s">
        <v>192</v>
      </c>
      <c r="I828" s="5">
        <v>0</v>
      </c>
      <c r="J828" s="7" t="s">
        <v>149</v>
      </c>
      <c r="K828">
        <v>6</v>
      </c>
      <c r="L828">
        <v>1.5</v>
      </c>
      <c r="M828" s="5">
        <v>1.5</v>
      </c>
      <c r="N828" s="5">
        <v>10</v>
      </c>
      <c r="O828" s="5">
        <f t="shared" si="5555"/>
        <v>157851</v>
      </c>
      <c r="P828" s="5">
        <f t="shared" si="5556"/>
        <v>908208000</v>
      </c>
      <c r="Q828" s="5">
        <f t="shared" si="5557"/>
        <v>15136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70061</v>
      </c>
      <c r="X828" s="6" t="s">
        <v>184</v>
      </c>
      <c r="Y828" s="5">
        <v>300</v>
      </c>
      <c r="Z828" s="5">
        <v>1</v>
      </c>
      <c r="AA828" s="5">
        <v>495230400</v>
      </c>
      <c r="AB828" s="16" t="s">
        <v>111</v>
      </c>
      <c r="AC828" s="7" t="s">
        <v>112</v>
      </c>
      <c r="AD828" s="7" t="s">
        <v>112</v>
      </c>
      <c r="AE828" s="7" t="s">
        <v>112</v>
      </c>
      <c r="AF828" s="6" t="s">
        <v>113</v>
      </c>
      <c r="AG828" s="26" t="str">
        <f t="shared" ref="AG828" si="5958">CM$9</f>
        <v>4,33,28,33,6,4,33,28,33,6</v>
      </c>
      <c r="AH828" s="26" t="str">
        <f t="shared" ref="AH828" si="5959">CN$9</f>
        <v>0,6,0,6,1,0,6,0,6,1</v>
      </c>
      <c r="AI828" s="26" t="str">
        <f t="shared" ref="AI828" si="5960">CO$9</f>
        <v>0,0,0,0,1,0,0,0,0,1</v>
      </c>
      <c r="AJ828" s="26" t="str">
        <f t="shared" ref="AJ828" si="5961">CP$9</f>
        <v>0,0,0,0,5,0,0,0,0,5</v>
      </c>
      <c r="AK828" s="26" t="str">
        <f t="shared" ref="AK828" si="5962">CQ$9</f>
        <v>200,1,1000,2,5,200,1,1000,2,5</v>
      </c>
      <c r="AL828" s="26" t="str">
        <f t="shared" ref="AL828" si="5963">CR$9</f>
        <v>5,5,5,5,5,5,5,5,5,5</v>
      </c>
      <c r="AM828" s="7">
        <v>2001</v>
      </c>
      <c r="AO828">
        <f t="shared" ref="AO828" si="5964">AQ828*100+6</f>
        <v>9206</v>
      </c>
      <c r="AP828">
        <v>824</v>
      </c>
      <c r="AQ828">
        <f t="shared" si="5565"/>
        <v>92</v>
      </c>
      <c r="AR828">
        <v>14</v>
      </c>
      <c r="AS828" s="17">
        <f t="shared" si="5646"/>
        <v>520</v>
      </c>
      <c r="AT828">
        <v>13</v>
      </c>
      <c r="AU828">
        <f t="shared" si="5566"/>
        <v>38</v>
      </c>
      <c r="AV828">
        <v>150</v>
      </c>
      <c r="AW828">
        <f t="shared" si="5567"/>
        <v>157851.74015999999</v>
      </c>
      <c r="AX828">
        <f t="shared" si="5696"/>
        <v>908208000.00000012</v>
      </c>
      <c r="AY828">
        <f t="shared" si="5568"/>
        <v>15136.800000000001</v>
      </c>
      <c r="AZ828">
        <f t="shared" si="5569"/>
        <v>30273.600000000002</v>
      </c>
      <c r="BA828">
        <f t="shared" si="5570"/>
        <v>172992</v>
      </c>
      <c r="BB828">
        <f t="shared" si="5571"/>
        <v>7568.4000000000005</v>
      </c>
      <c r="BC828">
        <f t="shared" si="5697"/>
        <v>908208000.00000012</v>
      </c>
      <c r="BD828">
        <f t="shared" si="5572"/>
        <v>0.29411764705882354</v>
      </c>
      <c r="BE828" s="27">
        <f t="shared" si="5698"/>
        <v>2453904269.5104008</v>
      </c>
      <c r="BF828" s="30">
        <f t="shared" si="5573"/>
        <v>0.52079999999999993</v>
      </c>
      <c r="BG828" s="27"/>
      <c r="BH828" s="27"/>
      <c r="BI828" s="27"/>
      <c r="CA828" s="20">
        <f t="shared" si="5574"/>
        <v>555</v>
      </c>
      <c r="CB828" s="20">
        <f t="shared" si="5575"/>
        <v>55500</v>
      </c>
    </row>
    <row r="829" spans="1:80" x14ac:dyDescent="0.15">
      <c r="A829">
        <v>9207</v>
      </c>
      <c r="B829" s="3" t="s">
        <v>126</v>
      </c>
      <c r="C829" s="4" t="s">
        <v>109</v>
      </c>
      <c r="D829" s="4" t="s">
        <v>110</v>
      </c>
      <c r="E829" s="5">
        <v>2</v>
      </c>
      <c r="F829" s="7" t="s">
        <v>143</v>
      </c>
      <c r="G829" s="5">
        <v>3</v>
      </c>
      <c r="H829" s="7" t="s">
        <v>193</v>
      </c>
      <c r="I829" s="5">
        <v>0</v>
      </c>
      <c r="J829" s="5">
        <v>0</v>
      </c>
      <c r="K829">
        <v>2</v>
      </c>
      <c r="L829">
        <v>1.5</v>
      </c>
      <c r="M829" s="5">
        <v>1.5</v>
      </c>
      <c r="N829" s="5">
        <v>10</v>
      </c>
      <c r="O829" s="5">
        <f t="shared" si="5555"/>
        <v>159340</v>
      </c>
      <c r="P829" s="5">
        <f t="shared" si="5556"/>
        <v>916776000</v>
      </c>
      <c r="Q829" s="5">
        <f t="shared" si="5557"/>
        <v>15279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70071</v>
      </c>
      <c r="X829" s="6" t="s">
        <v>185</v>
      </c>
      <c r="Y829" s="5">
        <v>300</v>
      </c>
      <c r="Z829" s="5">
        <v>1</v>
      </c>
      <c r="AA829" s="5">
        <v>505184531</v>
      </c>
      <c r="AB829" s="16" t="s">
        <v>111</v>
      </c>
      <c r="AC829" s="7" t="s">
        <v>112</v>
      </c>
      <c r="AD829" s="7" t="s">
        <v>112</v>
      </c>
      <c r="AE829" s="7" t="s">
        <v>112</v>
      </c>
      <c r="AF829" s="6" t="s">
        <v>113</v>
      </c>
      <c r="AG829" s="26" t="str">
        <f t="shared" ref="AG829" si="5965">CM$10</f>
        <v>4,14,28,14,6,4,14,28,14,6</v>
      </c>
      <c r="AH829" s="26" t="str">
        <f t="shared" ref="AH829" si="5966">CN$10</f>
        <v>0,0,0,0,1,0,0,0,0,1</v>
      </c>
      <c r="AI829" s="26" t="str">
        <f t="shared" ref="AI829" si="5967">CO$10</f>
        <v>0,0,0,0,1,0,0,0,0,1</v>
      </c>
      <c r="AJ829" s="26" t="str">
        <f t="shared" ref="AJ829" si="5968">CP$10</f>
        <v>0,0,0,0,5,0,0,0,0,5</v>
      </c>
      <c r="AK829" s="26" t="str">
        <f t="shared" ref="AK829" si="5969">CQ$10</f>
        <v>200,1,1000,2,5,200,1,1000,2,5</v>
      </c>
      <c r="AL829" s="26" t="str">
        <f t="shared" ref="AL829" si="5970">CR$10</f>
        <v>5,5,5,5,5,5,5,5,5,5</v>
      </c>
      <c r="AM829" s="7">
        <v>2001</v>
      </c>
      <c r="AO829">
        <f t="shared" ref="AO829" si="5971">AQ829*100+7</f>
        <v>9207</v>
      </c>
      <c r="AP829">
        <v>825</v>
      </c>
      <c r="AQ829">
        <f t="shared" si="5565"/>
        <v>92</v>
      </c>
      <c r="AR829">
        <v>14</v>
      </c>
      <c r="AS829" s="17">
        <f t="shared" si="5646"/>
        <v>525</v>
      </c>
      <c r="AT829">
        <v>13</v>
      </c>
      <c r="AU829">
        <f t="shared" si="5566"/>
        <v>38</v>
      </c>
      <c r="AV829">
        <v>150</v>
      </c>
      <c r="AW829">
        <f t="shared" si="5567"/>
        <v>159340.90751999998</v>
      </c>
      <c r="AX829">
        <f t="shared" si="5696"/>
        <v>916776000</v>
      </c>
      <c r="AY829">
        <f t="shared" si="5568"/>
        <v>15279.6</v>
      </c>
      <c r="AZ829">
        <f t="shared" si="5569"/>
        <v>30559.200000000001</v>
      </c>
      <c r="BA829">
        <f t="shared" si="5570"/>
        <v>174624</v>
      </c>
      <c r="BB829">
        <f t="shared" si="5571"/>
        <v>7639.8</v>
      </c>
      <c r="BC829">
        <f t="shared" si="5697"/>
        <v>916776000</v>
      </c>
      <c r="BD829">
        <f t="shared" si="5572"/>
        <v>0.29411764705882348</v>
      </c>
      <c r="BE829" s="27">
        <f t="shared" si="5698"/>
        <v>2500422746.6736002</v>
      </c>
      <c r="BF829" s="30">
        <f t="shared" si="5573"/>
        <v>0.52079999999999993</v>
      </c>
      <c r="BG829" s="27"/>
      <c r="BH829" s="27"/>
      <c r="BI829" s="27"/>
      <c r="CA829" s="20">
        <f t="shared" si="5574"/>
        <v>555</v>
      </c>
      <c r="CB829" s="20">
        <f t="shared" si="5575"/>
        <v>55500</v>
      </c>
    </row>
    <row r="830" spans="1:80" x14ac:dyDescent="0.15">
      <c r="A830">
        <v>9208</v>
      </c>
      <c r="B830" s="3" t="s">
        <v>128</v>
      </c>
      <c r="C830" s="4" t="s">
        <v>109</v>
      </c>
      <c r="D830" s="4" t="s">
        <v>110</v>
      </c>
      <c r="E830" s="5">
        <v>5</v>
      </c>
      <c r="F830" s="7" t="s">
        <v>129</v>
      </c>
      <c r="G830" s="5">
        <v>2</v>
      </c>
      <c r="H830" s="7" t="s">
        <v>130</v>
      </c>
      <c r="I830" s="5">
        <v>0</v>
      </c>
      <c r="J830" s="5">
        <v>0</v>
      </c>
      <c r="K830">
        <v>2</v>
      </c>
      <c r="L830">
        <v>1.5</v>
      </c>
      <c r="M830" s="5">
        <v>1.5</v>
      </c>
      <c r="N830" s="5">
        <v>10</v>
      </c>
      <c r="O830" s="5">
        <f t="shared" si="5555"/>
        <v>160830</v>
      </c>
      <c r="P830" s="5">
        <f t="shared" si="5556"/>
        <v>925344000</v>
      </c>
      <c r="Q830" s="5">
        <f t="shared" si="5557"/>
        <v>15422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70081</v>
      </c>
      <c r="X830" s="6" t="s">
        <v>186</v>
      </c>
      <c r="Y830" s="5">
        <v>300</v>
      </c>
      <c r="Z830" s="5">
        <v>1</v>
      </c>
      <c r="AA830" s="5">
        <v>515237708</v>
      </c>
      <c r="AB830" s="16" t="s">
        <v>111</v>
      </c>
      <c r="AC830" s="7" t="s">
        <v>112</v>
      </c>
      <c r="AD830" s="7" t="s">
        <v>112</v>
      </c>
      <c r="AE830" s="7" t="s">
        <v>112</v>
      </c>
      <c r="AF830" s="6" t="s">
        <v>113</v>
      </c>
      <c r="AG830" s="26" t="str">
        <f t="shared" ref="AG830" si="5972">CM$11</f>
        <v>4,28,6,28,6,4,28,6,28,6</v>
      </c>
      <c r="AH830" s="26" t="str">
        <f t="shared" ref="AH830" si="5973">CN$11</f>
        <v>0,0,1,0,1,0,0,1,0,1</v>
      </c>
      <c r="AI830" s="26" t="str">
        <f t="shared" ref="AI830" si="5974">CO$11</f>
        <v>0,0,1,0,1,0,0,1,0,1</v>
      </c>
      <c r="AJ830" s="26" t="str">
        <f t="shared" ref="AJ830" si="5975">CP$11</f>
        <v>0,0,5,0,5,0,0,5,0,5</v>
      </c>
      <c r="AK830" s="26" t="str">
        <f t="shared" ref="AK830" si="5976">CQ$11</f>
        <v>100,1000,5,1500,5,200,1000,5,1500,5</v>
      </c>
      <c r="AL830" s="26" t="str">
        <f t="shared" ref="AL830" si="5977">CR$11</f>
        <v>5,5,5,5,5,5,5,5,5,5</v>
      </c>
      <c r="AM830" s="7">
        <v>2001</v>
      </c>
      <c r="AO830">
        <f t="shared" ref="AO830" si="5978">AQ830*100+8</f>
        <v>9208</v>
      </c>
      <c r="AP830">
        <v>826</v>
      </c>
      <c r="AQ830">
        <f t="shared" si="5565"/>
        <v>92</v>
      </c>
      <c r="AR830">
        <v>14</v>
      </c>
      <c r="AS830" s="17">
        <f t="shared" si="5646"/>
        <v>530</v>
      </c>
      <c r="AT830">
        <v>13</v>
      </c>
      <c r="AU830">
        <f t="shared" si="5566"/>
        <v>38</v>
      </c>
      <c r="AV830">
        <v>150</v>
      </c>
      <c r="AW830">
        <f t="shared" si="5567"/>
        <v>160830.07487999997</v>
      </c>
      <c r="AX830">
        <f t="shared" si="5696"/>
        <v>925344000.00000024</v>
      </c>
      <c r="AY830">
        <f t="shared" si="5568"/>
        <v>15422.400000000001</v>
      </c>
      <c r="AZ830">
        <f t="shared" si="5569"/>
        <v>30844.800000000003</v>
      </c>
      <c r="BA830">
        <f t="shared" si="5570"/>
        <v>176256</v>
      </c>
      <c r="BB830">
        <f t="shared" si="5571"/>
        <v>7711.2000000000007</v>
      </c>
      <c r="BC830">
        <f t="shared" si="5697"/>
        <v>925344000.00000024</v>
      </c>
      <c r="BD830">
        <f t="shared" si="5572"/>
        <v>0.29411764705882348</v>
      </c>
      <c r="BE830" s="27">
        <f t="shared" si="5698"/>
        <v>2547378017.0496006</v>
      </c>
      <c r="BF830" s="30">
        <f t="shared" si="5573"/>
        <v>0.52079999999999993</v>
      </c>
      <c r="BG830" s="27"/>
      <c r="BH830" s="27"/>
      <c r="BI830" s="27"/>
      <c r="CA830" s="20">
        <f t="shared" si="5574"/>
        <v>555</v>
      </c>
      <c r="CB830" s="20">
        <f t="shared" si="5575"/>
        <v>55500</v>
      </c>
    </row>
    <row r="831" spans="1:80" x14ac:dyDescent="0.15">
      <c r="A831">
        <v>9209</v>
      </c>
      <c r="B831" s="3" t="s">
        <v>132</v>
      </c>
      <c r="C831" s="4" t="s">
        <v>109</v>
      </c>
      <c r="D831" s="4" t="s">
        <v>110</v>
      </c>
      <c r="E831" s="5">
        <v>5</v>
      </c>
      <c r="F831" s="7" t="s">
        <v>140</v>
      </c>
      <c r="G831" s="5">
        <v>3</v>
      </c>
      <c r="H831" s="7" t="s">
        <v>140</v>
      </c>
      <c r="I831" s="5">
        <v>0</v>
      </c>
      <c r="J831" s="7">
        <v>0</v>
      </c>
      <c r="K831">
        <v>6</v>
      </c>
      <c r="L831">
        <v>1.5</v>
      </c>
      <c r="M831" s="5">
        <v>1.5</v>
      </c>
      <c r="N831" s="5">
        <v>10</v>
      </c>
      <c r="O831" s="5">
        <f t="shared" si="5555"/>
        <v>162319</v>
      </c>
      <c r="P831" s="5">
        <f t="shared" si="5556"/>
        <v>933912000</v>
      </c>
      <c r="Q831" s="5">
        <f t="shared" si="5557"/>
        <v>15565</v>
      </c>
      <c r="R831" s="5">
        <v>0</v>
      </c>
      <c r="S831" s="5">
        <v>0</v>
      </c>
      <c r="T831" s="5">
        <v>0</v>
      </c>
      <c r="U831" s="5">
        <v>0</v>
      </c>
      <c r="V831" s="5">
        <v>0</v>
      </c>
      <c r="W831" s="5">
        <v>70091</v>
      </c>
      <c r="X831" s="6" t="s">
        <v>187</v>
      </c>
      <c r="Y831" s="5">
        <v>300</v>
      </c>
      <c r="Z831" s="5">
        <v>1</v>
      </c>
      <c r="AA831" s="5">
        <v>525389931</v>
      </c>
      <c r="AB831" s="16" t="s">
        <v>111</v>
      </c>
      <c r="AC831" s="7" t="s">
        <v>112</v>
      </c>
      <c r="AD831" s="7" t="s">
        <v>112</v>
      </c>
      <c r="AE831" s="7" t="s">
        <v>112</v>
      </c>
      <c r="AF831" s="6" t="s">
        <v>113</v>
      </c>
      <c r="AG831" s="26" t="str">
        <f t="shared" ref="AG831" si="5979">CM$12</f>
        <v>4,33,28,33,6,4,33,28,33,6</v>
      </c>
      <c r="AH831" s="26" t="str">
        <f t="shared" ref="AH831" si="5980">CN$12</f>
        <v>0,5,0,5,1,0,5,0,5,1</v>
      </c>
      <c r="AI831" s="26" t="str">
        <f t="shared" ref="AI831" si="5981">CO$12</f>
        <v>0,0,0,0,1,0,0,0,0,1</v>
      </c>
      <c r="AJ831" s="26" t="str">
        <f t="shared" ref="AJ831" si="5982">CP$12</f>
        <v>0,0,0,0,5,0,0,0,0,5</v>
      </c>
      <c r="AK831" s="26" t="str">
        <f t="shared" ref="AK831" si="5983">CQ$12</f>
        <v>100,1,1000,2,5,200,1,1000,2,5</v>
      </c>
      <c r="AL831" s="26" t="str">
        <f t="shared" ref="AL831" si="5984">CR$12</f>
        <v>5,5,5,5,5,5,5,5,5,5</v>
      </c>
      <c r="AM831" s="7">
        <v>2001</v>
      </c>
      <c r="AO831">
        <f t="shared" ref="AO831" si="5985">AQ831*100+9</f>
        <v>9209</v>
      </c>
      <c r="AP831">
        <v>827</v>
      </c>
      <c r="AQ831">
        <f t="shared" si="5565"/>
        <v>92</v>
      </c>
      <c r="AR831">
        <v>14</v>
      </c>
      <c r="AS831" s="17">
        <f t="shared" si="5646"/>
        <v>535</v>
      </c>
      <c r="AT831">
        <v>13</v>
      </c>
      <c r="AU831">
        <f t="shared" si="5566"/>
        <v>38</v>
      </c>
      <c r="AV831">
        <v>150</v>
      </c>
      <c r="AW831">
        <f t="shared" si="5567"/>
        <v>162319.24223999999</v>
      </c>
      <c r="AX831">
        <f t="shared" si="5696"/>
        <v>933912000</v>
      </c>
      <c r="AY831">
        <f t="shared" si="5568"/>
        <v>15565.2</v>
      </c>
      <c r="AZ831">
        <f t="shared" si="5569"/>
        <v>31130.400000000001</v>
      </c>
      <c r="BA831">
        <f t="shared" si="5570"/>
        <v>177888</v>
      </c>
      <c r="BB831">
        <f t="shared" si="5571"/>
        <v>7782.6</v>
      </c>
      <c r="BC831">
        <f t="shared" si="5697"/>
        <v>933912000</v>
      </c>
      <c r="BD831">
        <f t="shared" si="5572"/>
        <v>0.29411764705882348</v>
      </c>
      <c r="BE831" s="27">
        <f t="shared" si="5698"/>
        <v>2594770080.6384001</v>
      </c>
      <c r="BF831" s="30">
        <f t="shared" si="5573"/>
        <v>0.52079999999999993</v>
      </c>
      <c r="BG831" s="27"/>
      <c r="BH831" s="27"/>
      <c r="BI831" s="27"/>
      <c r="CA831" s="20">
        <f t="shared" si="5574"/>
        <v>555</v>
      </c>
      <c r="CB831" s="20">
        <f t="shared" si="5575"/>
        <v>55500</v>
      </c>
    </row>
    <row r="832" spans="1:80" x14ac:dyDescent="0.15">
      <c r="A832">
        <v>9301</v>
      </c>
      <c r="B832" s="3" t="s">
        <v>108</v>
      </c>
      <c r="C832" s="4" t="s">
        <v>109</v>
      </c>
      <c r="D832" s="4" t="s">
        <v>110</v>
      </c>
      <c r="E832" s="5">
        <v>3</v>
      </c>
      <c r="F832" s="7" t="s">
        <v>141</v>
      </c>
      <c r="G832" s="5">
        <v>2.5</v>
      </c>
      <c r="H832" s="7" t="s">
        <v>194</v>
      </c>
      <c r="I832" s="5">
        <v>0</v>
      </c>
      <c r="J832" s="5">
        <v>0</v>
      </c>
      <c r="K832">
        <v>2</v>
      </c>
      <c r="L832">
        <v>1.5</v>
      </c>
      <c r="M832" s="5">
        <v>1.5</v>
      </c>
      <c r="N832" s="5">
        <v>10</v>
      </c>
      <c r="O832" s="5">
        <f t="shared" si="5555"/>
        <v>152134</v>
      </c>
      <c r="P832" s="5">
        <f t="shared" si="5556"/>
        <v>873936000</v>
      </c>
      <c r="Q832" s="5">
        <f t="shared" si="5557"/>
        <v>14565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70011</v>
      </c>
      <c r="X832" s="6" t="s">
        <v>179</v>
      </c>
      <c r="Y832" s="5">
        <v>300</v>
      </c>
      <c r="Z832" s="5">
        <v>1</v>
      </c>
      <c r="AA832" s="5">
        <v>535641201</v>
      </c>
      <c r="AB832" s="16" t="s">
        <v>111</v>
      </c>
      <c r="AC832" s="7" t="s">
        <v>112</v>
      </c>
      <c r="AD832" s="7" t="s">
        <v>112</v>
      </c>
      <c r="AE832" s="7" t="s">
        <v>112</v>
      </c>
      <c r="AF832" s="6" t="s">
        <v>113</v>
      </c>
      <c r="AG832" s="26" t="str">
        <f t="shared" ref="AG832" si="5986">CM$4</f>
        <v>4,33,28,33,6,4,33,28,33,6</v>
      </c>
      <c r="AH832" s="26" t="str">
        <f t="shared" ref="AH832" si="5987">CN$4</f>
        <v>0,8,0,8,1,0,8,0,8,1</v>
      </c>
      <c r="AI832" s="26" t="str">
        <f t="shared" ref="AI832" si="5988">CO$4</f>
        <v>0,0,0,0,1,0,0,0,0,1</v>
      </c>
      <c r="AJ832" s="26" t="str">
        <f t="shared" ref="AJ832" si="5989">CP$4</f>
        <v>0,0,0,0,5,0,0,0,0,5</v>
      </c>
      <c r="AK832" s="26" t="str">
        <f t="shared" ref="AK832" si="5990">CQ$4</f>
        <v>100,1,1000,2,5,200,1,1000,2,5</v>
      </c>
      <c r="AL832" s="26" t="str">
        <f t="shared" ref="AL832" si="5991">CR$4</f>
        <v>5,5,5,5,5,5,5,5,5,5</v>
      </c>
      <c r="AM832" s="7">
        <v>2001</v>
      </c>
      <c r="AO832">
        <f t="shared" ref="AO832" si="5992">AQ832*100+1</f>
        <v>9301</v>
      </c>
      <c r="AP832">
        <v>828</v>
      </c>
      <c r="AQ832">
        <f t="shared" si="5565"/>
        <v>93</v>
      </c>
      <c r="AR832">
        <v>14</v>
      </c>
      <c r="AS832" s="17">
        <f t="shared" si="5646"/>
        <v>500</v>
      </c>
      <c r="AT832">
        <v>13</v>
      </c>
      <c r="AU832">
        <f t="shared" si="5566"/>
        <v>38</v>
      </c>
      <c r="AV832">
        <v>150</v>
      </c>
      <c r="AW832">
        <f t="shared" si="5567"/>
        <v>152134.77888</v>
      </c>
      <c r="AX832">
        <f t="shared" si="5696"/>
        <v>873936000</v>
      </c>
      <c r="AY832">
        <f t="shared" si="5568"/>
        <v>14565.6</v>
      </c>
      <c r="AZ832">
        <f t="shared" si="5569"/>
        <v>29131.200000000001</v>
      </c>
      <c r="BA832">
        <f t="shared" si="5570"/>
        <v>166464</v>
      </c>
      <c r="BB832">
        <f t="shared" si="5571"/>
        <v>7282.8</v>
      </c>
      <c r="BC832">
        <f t="shared" si="5697"/>
        <v>873936000</v>
      </c>
      <c r="BD832">
        <f t="shared" si="5572"/>
        <v>0.29411764705882348</v>
      </c>
      <c r="BE832" s="27">
        <f t="shared" si="5698"/>
        <v>2272198292.9856005</v>
      </c>
      <c r="BF832" s="30">
        <f t="shared" si="5573"/>
        <v>0.5232</v>
      </c>
      <c r="BG832" s="27"/>
      <c r="BH832" s="27"/>
      <c r="BI832" s="27"/>
      <c r="CA832" s="20">
        <f t="shared" si="5574"/>
        <v>560</v>
      </c>
      <c r="CB832" s="20">
        <f t="shared" si="5575"/>
        <v>56000</v>
      </c>
    </row>
    <row r="833" spans="1:80" x14ac:dyDescent="0.15">
      <c r="A833">
        <v>9302</v>
      </c>
      <c r="B833" s="3" t="s">
        <v>115</v>
      </c>
      <c r="C833" s="4" t="s">
        <v>109</v>
      </c>
      <c r="D833" s="6" t="s">
        <v>110</v>
      </c>
      <c r="E833" s="5">
        <v>3</v>
      </c>
      <c r="F833" s="7" t="s">
        <v>142</v>
      </c>
      <c r="G833" s="5">
        <v>3</v>
      </c>
      <c r="H833" s="7" t="s">
        <v>188</v>
      </c>
      <c r="I833" s="5">
        <v>0</v>
      </c>
      <c r="J833" s="5">
        <v>0</v>
      </c>
      <c r="K833">
        <v>2</v>
      </c>
      <c r="L833">
        <v>1.5</v>
      </c>
      <c r="M833" s="5">
        <v>1.5</v>
      </c>
      <c r="N833" s="5">
        <v>10</v>
      </c>
      <c r="O833" s="5">
        <f t="shared" si="5555"/>
        <v>153626</v>
      </c>
      <c r="P833" s="5">
        <f t="shared" si="5556"/>
        <v>882504000</v>
      </c>
      <c r="Q833" s="5">
        <f t="shared" si="5557"/>
        <v>14708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70021</v>
      </c>
      <c r="X833" s="6" t="s">
        <v>180</v>
      </c>
      <c r="Y833" s="5">
        <v>300</v>
      </c>
      <c r="Z833" s="5">
        <v>1</v>
      </c>
      <c r="AA833" s="5">
        <v>465962283</v>
      </c>
      <c r="AB833" s="16" t="s">
        <v>111</v>
      </c>
      <c r="AC833" s="7" t="s">
        <v>112</v>
      </c>
      <c r="AD833" s="7" t="s">
        <v>112</v>
      </c>
      <c r="AE833" s="7" t="s">
        <v>112</v>
      </c>
      <c r="AF833" s="6" t="s">
        <v>113</v>
      </c>
      <c r="AG833" s="26" t="str">
        <f t="shared" ref="AG833" si="5993">CM$5</f>
        <v>4,33,28,33,6,4,33,28,33,6</v>
      </c>
      <c r="AH833" s="26" t="str">
        <f t="shared" ref="AH833" si="5994">CN$5</f>
        <v>0,7,0,7,1,0,7,0,7,1</v>
      </c>
      <c r="AI833" s="26" t="str">
        <f t="shared" ref="AI833" si="5995">CO$5</f>
        <v>0,0,0,0,1,0,0,0,0,1</v>
      </c>
      <c r="AJ833" s="26" t="str">
        <f t="shared" ref="AJ833" si="5996">CP$5</f>
        <v>0,0,0,0,5,0,0,0,0,5</v>
      </c>
      <c r="AK833" s="26" t="str">
        <f t="shared" ref="AK833" si="5997">CQ$5</f>
        <v>100,1,1000,2,5,200,1,1000,2,5</v>
      </c>
      <c r="AL833" s="26" t="str">
        <f t="shared" ref="AL833" si="5998">CR$5</f>
        <v>5,5,5,5,5,5,5,5,5,5</v>
      </c>
      <c r="AM833" s="7">
        <v>2001</v>
      </c>
      <c r="AO833">
        <f t="shared" ref="AO833" si="5999">AQ833*100+2</f>
        <v>9302</v>
      </c>
      <c r="AP833">
        <v>829</v>
      </c>
      <c r="AQ833">
        <f t="shared" si="5565"/>
        <v>93</v>
      </c>
      <c r="AR833">
        <v>14</v>
      </c>
      <c r="AS833" s="17">
        <f t="shared" si="5646"/>
        <v>505</v>
      </c>
      <c r="AT833">
        <v>13</v>
      </c>
      <c r="AU833">
        <f t="shared" si="5566"/>
        <v>38</v>
      </c>
      <c r="AV833">
        <v>150</v>
      </c>
      <c r="AW833">
        <f t="shared" si="5567"/>
        <v>153626.29631999999</v>
      </c>
      <c r="AX833">
        <f t="shared" si="5696"/>
        <v>882504000.00000012</v>
      </c>
      <c r="AY833">
        <f t="shared" si="5568"/>
        <v>14708.400000000001</v>
      </c>
      <c r="AZ833">
        <f t="shared" si="5569"/>
        <v>29416.800000000003</v>
      </c>
      <c r="BA833">
        <f t="shared" si="5570"/>
        <v>168096</v>
      </c>
      <c r="BB833">
        <f t="shared" si="5571"/>
        <v>7354.2000000000007</v>
      </c>
      <c r="BC833">
        <f t="shared" si="5697"/>
        <v>882504000.00000012</v>
      </c>
      <c r="BD833">
        <f t="shared" si="5572"/>
        <v>0.29411764705882348</v>
      </c>
      <c r="BE833" s="27">
        <f t="shared" si="5698"/>
        <v>2316969597.2976007</v>
      </c>
      <c r="BF833" s="30">
        <f t="shared" si="5573"/>
        <v>0.5232</v>
      </c>
      <c r="BG833" s="27"/>
      <c r="BH833" s="27"/>
      <c r="BI833" s="27"/>
      <c r="CA833" s="20">
        <f t="shared" si="5574"/>
        <v>560</v>
      </c>
      <c r="CB833" s="20">
        <f t="shared" si="5575"/>
        <v>56000</v>
      </c>
    </row>
    <row r="834" spans="1:80" x14ac:dyDescent="0.15">
      <c r="A834">
        <v>9303</v>
      </c>
      <c r="B834" s="3" t="s">
        <v>117</v>
      </c>
      <c r="C834" s="4" t="s">
        <v>109</v>
      </c>
      <c r="D834" s="4" t="s">
        <v>110</v>
      </c>
      <c r="E834" s="5">
        <v>1</v>
      </c>
      <c r="F834" s="7" t="s">
        <v>144</v>
      </c>
      <c r="G834" s="5">
        <v>3</v>
      </c>
      <c r="H834" s="7" t="s">
        <v>189</v>
      </c>
      <c r="I834" s="5">
        <v>0</v>
      </c>
      <c r="J834" s="2">
        <v>0</v>
      </c>
      <c r="K834">
        <v>6</v>
      </c>
      <c r="L834">
        <v>1.5</v>
      </c>
      <c r="M834" s="5">
        <v>1.5</v>
      </c>
      <c r="N834" s="5">
        <v>10</v>
      </c>
      <c r="O834" s="5">
        <f t="shared" si="5555"/>
        <v>155117</v>
      </c>
      <c r="P834" s="5">
        <f t="shared" si="5556"/>
        <v>891072000</v>
      </c>
      <c r="Q834" s="5">
        <f t="shared" si="5557"/>
        <v>14851</v>
      </c>
      <c r="R834" s="5">
        <v>0</v>
      </c>
      <c r="S834" s="5">
        <v>0</v>
      </c>
      <c r="T834" s="5">
        <v>0</v>
      </c>
      <c r="U834" s="5">
        <v>0</v>
      </c>
      <c r="V834" s="5">
        <v>0</v>
      </c>
      <c r="W834" s="5">
        <v>70031</v>
      </c>
      <c r="X834" s="6" t="s">
        <v>181</v>
      </c>
      <c r="Y834" s="5">
        <v>300</v>
      </c>
      <c r="Z834" s="5">
        <v>1</v>
      </c>
      <c r="AA834" s="5">
        <v>475619276</v>
      </c>
      <c r="AB834" s="16" t="s">
        <v>111</v>
      </c>
      <c r="AC834" s="7" t="s">
        <v>112</v>
      </c>
      <c r="AD834" s="7" t="s">
        <v>112</v>
      </c>
      <c r="AE834" s="7" t="s">
        <v>112</v>
      </c>
      <c r="AF834" s="6" t="s">
        <v>113</v>
      </c>
      <c r="AG834" s="26" t="str">
        <f t="shared" ref="AG834" si="6000">CM$6</f>
        <v>4,28,6,28,6,4,28,6,28,6</v>
      </c>
      <c r="AH834" s="26" t="str">
        <f t="shared" ref="AH834" si="6001">CN$6</f>
        <v>0,0,1,0,1,0,0,1,0,1</v>
      </c>
      <c r="AI834" s="26" t="str">
        <f t="shared" ref="AI834" si="6002">CO$6</f>
        <v>0,0,0,0,1,0,0,0,0,1</v>
      </c>
      <c r="AJ834" s="26" t="str">
        <f t="shared" ref="AJ834" si="6003">CP$6</f>
        <v>0,0,5,0,5,0,0,5,0,5</v>
      </c>
      <c r="AK834" s="26" t="str">
        <f t="shared" ref="AK834" si="6004">CQ$6</f>
        <v>100,1000,5,1500,5,200,1000,5,1500,5</v>
      </c>
      <c r="AL834" s="26" t="str">
        <f t="shared" ref="AL834" si="6005">CR$6</f>
        <v>5,5,5,5,5,5,5,5,5,5</v>
      </c>
      <c r="AM834" s="7">
        <v>2001</v>
      </c>
      <c r="AO834">
        <f t="shared" ref="AO834" si="6006">AQ834*100+3</f>
        <v>9303</v>
      </c>
      <c r="AP834">
        <v>830</v>
      </c>
      <c r="AQ834">
        <f t="shared" si="5565"/>
        <v>93</v>
      </c>
      <c r="AR834">
        <v>14</v>
      </c>
      <c r="AS834" s="17">
        <f t="shared" si="5646"/>
        <v>510</v>
      </c>
      <c r="AT834">
        <v>13</v>
      </c>
      <c r="AU834">
        <f t="shared" si="5566"/>
        <v>38</v>
      </c>
      <c r="AV834">
        <v>150</v>
      </c>
      <c r="AW834">
        <f t="shared" si="5567"/>
        <v>155117.81376000002</v>
      </c>
      <c r="AX834">
        <f t="shared" si="5696"/>
        <v>891072000</v>
      </c>
      <c r="AY834">
        <f t="shared" si="5568"/>
        <v>14851.2</v>
      </c>
      <c r="AZ834">
        <f t="shared" si="5569"/>
        <v>29702.400000000001</v>
      </c>
      <c r="BA834">
        <f t="shared" si="5570"/>
        <v>169728</v>
      </c>
      <c r="BB834">
        <f t="shared" si="5571"/>
        <v>7425.6</v>
      </c>
      <c r="BC834">
        <f t="shared" si="5697"/>
        <v>891072000</v>
      </c>
      <c r="BD834">
        <f t="shared" si="5572"/>
        <v>0.29411764705882348</v>
      </c>
      <c r="BE834" s="27">
        <f t="shared" si="5698"/>
        <v>2362177694.8223996</v>
      </c>
      <c r="BF834" s="30">
        <f t="shared" si="5573"/>
        <v>0.5232</v>
      </c>
      <c r="BG834" s="27"/>
      <c r="BH834" s="27"/>
      <c r="BI834" s="27"/>
      <c r="CA834" s="20">
        <f t="shared" si="5574"/>
        <v>560</v>
      </c>
      <c r="CB834" s="20">
        <f t="shared" si="5575"/>
        <v>56000</v>
      </c>
    </row>
    <row r="835" spans="1:80" x14ac:dyDescent="0.15">
      <c r="A835">
        <v>9304</v>
      </c>
      <c r="B835" s="3" t="s">
        <v>119</v>
      </c>
      <c r="C835" s="4" t="s">
        <v>109</v>
      </c>
      <c r="D835" s="6" t="s">
        <v>120</v>
      </c>
      <c r="E835" s="5">
        <v>3</v>
      </c>
      <c r="F835" s="7" t="s">
        <v>145</v>
      </c>
      <c r="G835" s="5">
        <v>3</v>
      </c>
      <c r="H835" s="7" t="s">
        <v>190</v>
      </c>
      <c r="I835" s="5">
        <v>0</v>
      </c>
      <c r="J835" s="5">
        <v>0</v>
      </c>
      <c r="K835">
        <v>2</v>
      </c>
      <c r="L835">
        <v>1.5</v>
      </c>
      <c r="M835" s="5">
        <v>1.5</v>
      </c>
      <c r="N835" s="5">
        <v>10</v>
      </c>
      <c r="O835" s="5">
        <f t="shared" si="5555"/>
        <v>156609</v>
      </c>
      <c r="P835" s="5">
        <f t="shared" si="5556"/>
        <v>899640000</v>
      </c>
      <c r="Q835" s="5">
        <f t="shared" si="5557"/>
        <v>14994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70041</v>
      </c>
      <c r="X835" s="6" t="s">
        <v>182</v>
      </c>
      <c r="Y835" s="5">
        <v>300</v>
      </c>
      <c r="Z835" s="5">
        <v>1</v>
      </c>
      <c r="AA835" s="5">
        <v>485375315</v>
      </c>
      <c r="AB835" s="16" t="s">
        <v>111</v>
      </c>
      <c r="AC835" s="7" t="s">
        <v>112</v>
      </c>
      <c r="AD835" s="7" t="s">
        <v>112</v>
      </c>
      <c r="AE835" s="7" t="s">
        <v>112</v>
      </c>
      <c r="AF835" s="6" t="s">
        <v>113</v>
      </c>
      <c r="AG835" s="26" t="str">
        <f t="shared" ref="AG835" si="6007">CM$7</f>
        <v>4,14,28,14,6,4,14,28,14,6</v>
      </c>
      <c r="AH835" s="26" t="str">
        <f t="shared" ref="AH835" si="6008">CN$7</f>
        <v>0,0,0,0,1,0,0,0,0,1</v>
      </c>
      <c r="AI835" s="26" t="str">
        <f t="shared" ref="AI835" si="6009">CO$7</f>
        <v>0,0,0,0,1,0,0,0,0,1</v>
      </c>
      <c r="AJ835" s="26" t="str">
        <f t="shared" ref="AJ835" si="6010">CP$7</f>
        <v>0,0,0,0,5,0,0,0,0,5</v>
      </c>
      <c r="AK835" s="26" t="str">
        <f t="shared" ref="AK835" si="6011">CQ$7</f>
        <v>100,1,1000,2,5,200,1,1000,2,5</v>
      </c>
      <c r="AL835" s="26" t="str">
        <f t="shared" ref="AL835" si="6012">CR$7</f>
        <v>5,5,5,5,5,5,5,5,5,5</v>
      </c>
      <c r="AM835" s="7">
        <v>2001</v>
      </c>
      <c r="AO835">
        <f t="shared" ref="AO835" si="6013">AQ835*100+4</f>
        <v>9304</v>
      </c>
      <c r="AP835">
        <v>831</v>
      </c>
      <c r="AQ835">
        <f t="shared" si="5565"/>
        <v>93</v>
      </c>
      <c r="AR835">
        <v>14</v>
      </c>
      <c r="AS835" s="17">
        <f t="shared" si="5646"/>
        <v>515</v>
      </c>
      <c r="AT835">
        <v>13</v>
      </c>
      <c r="AU835">
        <f t="shared" si="5566"/>
        <v>38</v>
      </c>
      <c r="AV835">
        <v>150</v>
      </c>
      <c r="AW835">
        <f t="shared" si="5567"/>
        <v>156609.33120000002</v>
      </c>
      <c r="AX835">
        <f t="shared" si="5696"/>
        <v>899640000</v>
      </c>
      <c r="AY835">
        <f t="shared" si="5568"/>
        <v>14994</v>
      </c>
      <c r="AZ835">
        <f t="shared" si="5569"/>
        <v>29988</v>
      </c>
      <c r="BA835">
        <f t="shared" si="5570"/>
        <v>171360</v>
      </c>
      <c r="BB835">
        <f t="shared" si="5571"/>
        <v>7497</v>
      </c>
      <c r="BC835">
        <f t="shared" si="5697"/>
        <v>899640000</v>
      </c>
      <c r="BD835">
        <f t="shared" si="5572"/>
        <v>0.29411764705882354</v>
      </c>
      <c r="BE835" s="27">
        <f t="shared" si="5698"/>
        <v>2407822585.5600004</v>
      </c>
      <c r="BF835" s="30">
        <f t="shared" si="5573"/>
        <v>0.5232</v>
      </c>
      <c r="BG835" s="27"/>
      <c r="BH835" s="27"/>
      <c r="BI835" s="27"/>
      <c r="CA835" s="20">
        <f t="shared" si="5574"/>
        <v>560</v>
      </c>
      <c r="CB835" s="20">
        <f t="shared" si="5575"/>
        <v>56000</v>
      </c>
    </row>
    <row r="836" spans="1:80" x14ac:dyDescent="0.15">
      <c r="A836">
        <v>9305</v>
      </c>
      <c r="B836" s="3" t="s">
        <v>122</v>
      </c>
      <c r="C836" s="4" t="s">
        <v>109</v>
      </c>
      <c r="D836" s="4" t="s">
        <v>110</v>
      </c>
      <c r="E836" s="5">
        <v>2</v>
      </c>
      <c r="F836" s="7" t="s">
        <v>146</v>
      </c>
      <c r="G836" s="5">
        <v>3</v>
      </c>
      <c r="H836" s="7" t="s">
        <v>191</v>
      </c>
      <c r="I836" s="5">
        <v>0</v>
      </c>
      <c r="J836" s="7" t="s">
        <v>148</v>
      </c>
      <c r="K836">
        <v>6</v>
      </c>
      <c r="L836">
        <v>1.5</v>
      </c>
      <c r="M836" s="5">
        <v>1.5</v>
      </c>
      <c r="N836" s="5">
        <v>10</v>
      </c>
      <c r="O836" s="5">
        <f t="shared" si="5555"/>
        <v>158100</v>
      </c>
      <c r="P836" s="5">
        <f t="shared" si="5556"/>
        <v>908208000</v>
      </c>
      <c r="Q836" s="5">
        <f t="shared" si="5557"/>
        <v>15136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70051</v>
      </c>
      <c r="X836" s="6" t="s">
        <v>183</v>
      </c>
      <c r="Y836" s="5">
        <v>300</v>
      </c>
      <c r="Z836" s="5">
        <v>1</v>
      </c>
      <c r="AA836" s="5">
        <v>495230400</v>
      </c>
      <c r="AB836" s="16" t="s">
        <v>111</v>
      </c>
      <c r="AC836" s="7" t="s">
        <v>112</v>
      </c>
      <c r="AD836" s="7" t="s">
        <v>112</v>
      </c>
      <c r="AE836" s="7" t="s">
        <v>112</v>
      </c>
      <c r="AF836" s="6" t="s">
        <v>113</v>
      </c>
      <c r="AG836" s="26" t="str">
        <f t="shared" ref="AG836" si="6014">CM$8</f>
        <v>4,19,28,19,6,4,19,28,19,6</v>
      </c>
      <c r="AH836" s="26" t="str">
        <f t="shared" ref="AH836" si="6015">CN$8</f>
        <v>0,0,0,0,1,0,0,0,0,1</v>
      </c>
      <c r="AI836" s="26" t="str">
        <f t="shared" ref="AI836" si="6016">CO$8</f>
        <v>0,0,0,0,1,0,0,0,0,1</v>
      </c>
      <c r="AJ836" s="26" t="str">
        <f t="shared" ref="AJ836" si="6017">CP$8</f>
        <v>0,0,0,0,5,0,0,0,0,5</v>
      </c>
      <c r="AK836" s="26" t="str">
        <f t="shared" ref="AK836" si="6018">CQ$8</f>
        <v>200,100,1000,200,5,200,100,1000,200,5</v>
      </c>
      <c r="AL836" s="26" t="str">
        <f t="shared" ref="AL836" si="6019">CR$8</f>
        <v>5,5,5,5,5,5,5,5,5,5</v>
      </c>
      <c r="AM836" s="7">
        <v>2001</v>
      </c>
      <c r="AO836">
        <f t="shared" ref="AO836" si="6020">AQ836*100+5</f>
        <v>9305</v>
      </c>
      <c r="AP836">
        <v>832</v>
      </c>
      <c r="AQ836">
        <f t="shared" si="5565"/>
        <v>93</v>
      </c>
      <c r="AR836">
        <v>14</v>
      </c>
      <c r="AS836" s="17">
        <f t="shared" si="5646"/>
        <v>520</v>
      </c>
      <c r="AT836">
        <v>13</v>
      </c>
      <c r="AU836">
        <f t="shared" si="5566"/>
        <v>38</v>
      </c>
      <c r="AV836">
        <v>150</v>
      </c>
      <c r="AW836">
        <f t="shared" si="5567"/>
        <v>158100.84864000001</v>
      </c>
      <c r="AX836">
        <f t="shared" si="5696"/>
        <v>908208000.00000012</v>
      </c>
      <c r="AY836">
        <f t="shared" si="5568"/>
        <v>15136.800000000001</v>
      </c>
      <c r="AZ836">
        <f t="shared" si="5569"/>
        <v>30273.600000000002</v>
      </c>
      <c r="BA836">
        <f t="shared" si="5570"/>
        <v>172992</v>
      </c>
      <c r="BB836">
        <f t="shared" si="5571"/>
        <v>7568.4000000000005</v>
      </c>
      <c r="BC836">
        <f t="shared" si="5697"/>
        <v>908208000.00000012</v>
      </c>
      <c r="BD836">
        <f t="shared" si="5572"/>
        <v>0.29411764705882354</v>
      </c>
      <c r="BE836" s="27">
        <f t="shared" si="5698"/>
        <v>2453904269.5104008</v>
      </c>
      <c r="BF836" s="30">
        <f t="shared" si="5573"/>
        <v>0.5232</v>
      </c>
      <c r="BG836" s="27"/>
      <c r="BH836" s="27"/>
      <c r="BI836" s="27"/>
      <c r="CA836" s="20">
        <f t="shared" si="5574"/>
        <v>560</v>
      </c>
      <c r="CB836" s="20">
        <f t="shared" si="5575"/>
        <v>56000</v>
      </c>
    </row>
    <row r="837" spans="1:80" x14ac:dyDescent="0.15">
      <c r="A837">
        <v>9306</v>
      </c>
      <c r="B837" s="3" t="s">
        <v>124</v>
      </c>
      <c r="C837" s="4" t="s">
        <v>109</v>
      </c>
      <c r="D837" s="6" t="s">
        <v>120</v>
      </c>
      <c r="E837" s="5">
        <v>1</v>
      </c>
      <c r="F837" s="7" t="s">
        <v>147</v>
      </c>
      <c r="G837" s="5">
        <v>3</v>
      </c>
      <c r="H837" s="7" t="s">
        <v>192</v>
      </c>
      <c r="I837" s="5">
        <v>0</v>
      </c>
      <c r="J837" s="7" t="s">
        <v>149</v>
      </c>
      <c r="K837">
        <v>6</v>
      </c>
      <c r="L837">
        <v>1.5</v>
      </c>
      <c r="M837" s="5">
        <v>1.5</v>
      </c>
      <c r="N837" s="5">
        <v>10</v>
      </c>
      <c r="O837" s="5">
        <f t="shared" ref="O837:O900" si="6021">FLOOR(AW837,1)</f>
        <v>159592</v>
      </c>
      <c r="P837" s="5">
        <f t="shared" ref="P837:P900" si="6022">FLOOR(BC837,1)</f>
        <v>916776000</v>
      </c>
      <c r="Q837" s="5">
        <f t="shared" ref="Q837:Q900" si="6023">FLOOR(AY837,1)</f>
        <v>15279</v>
      </c>
      <c r="R837" s="5">
        <v>0</v>
      </c>
      <c r="S837" s="5">
        <v>0</v>
      </c>
      <c r="T837" s="5">
        <v>0</v>
      </c>
      <c r="U837" s="5">
        <v>0</v>
      </c>
      <c r="V837" s="5">
        <v>0</v>
      </c>
      <c r="W837" s="5">
        <v>70061</v>
      </c>
      <c r="X837" s="6" t="s">
        <v>184</v>
      </c>
      <c r="Y837" s="5">
        <v>300</v>
      </c>
      <c r="Z837" s="5">
        <v>1</v>
      </c>
      <c r="AA837" s="5">
        <v>505184531</v>
      </c>
      <c r="AB837" s="16" t="s">
        <v>111</v>
      </c>
      <c r="AC837" s="7" t="s">
        <v>112</v>
      </c>
      <c r="AD837" s="7" t="s">
        <v>112</v>
      </c>
      <c r="AE837" s="7" t="s">
        <v>112</v>
      </c>
      <c r="AF837" s="6" t="s">
        <v>113</v>
      </c>
      <c r="AG837" s="26" t="str">
        <f t="shared" ref="AG837" si="6024">CM$9</f>
        <v>4,33,28,33,6,4,33,28,33,6</v>
      </c>
      <c r="AH837" s="26" t="str">
        <f t="shared" ref="AH837" si="6025">CN$9</f>
        <v>0,6,0,6,1,0,6,0,6,1</v>
      </c>
      <c r="AI837" s="26" t="str">
        <f t="shared" ref="AI837" si="6026">CO$9</f>
        <v>0,0,0,0,1,0,0,0,0,1</v>
      </c>
      <c r="AJ837" s="26" t="str">
        <f t="shared" ref="AJ837" si="6027">CP$9</f>
        <v>0,0,0,0,5,0,0,0,0,5</v>
      </c>
      <c r="AK837" s="26" t="str">
        <f t="shared" ref="AK837" si="6028">CQ$9</f>
        <v>200,1,1000,2,5,200,1,1000,2,5</v>
      </c>
      <c r="AL837" s="26" t="str">
        <f t="shared" ref="AL837" si="6029">CR$9</f>
        <v>5,5,5,5,5,5,5,5,5,5</v>
      </c>
      <c r="AM837" s="7">
        <v>2001</v>
      </c>
      <c r="AO837">
        <f t="shared" ref="AO837" si="6030">AQ837*100+6</f>
        <v>9306</v>
      </c>
      <c r="AP837">
        <v>833</v>
      </c>
      <c r="AQ837">
        <f t="shared" ref="AQ837:AQ900" si="6031">FLOOR(AP837/9+1,1)</f>
        <v>93</v>
      </c>
      <c r="AR837">
        <v>14</v>
      </c>
      <c r="AS837" s="17">
        <f t="shared" si="5646"/>
        <v>525</v>
      </c>
      <c r="AT837">
        <v>13</v>
      </c>
      <c r="AU837">
        <f t="shared" ref="AU837:AU900" si="6032">20+FLOOR(AQ837/10,1)*2</f>
        <v>38</v>
      </c>
      <c r="AV837">
        <v>150</v>
      </c>
      <c r="AW837">
        <f t="shared" ref="AW837:AW900" si="6033">BA837*0.6*(1+BF837)</f>
        <v>159592.36608000001</v>
      </c>
      <c r="AX837">
        <f t="shared" si="5696"/>
        <v>916776000</v>
      </c>
      <c r="AY837">
        <f t="shared" ref="AY837:AY900" si="6034">BB837*2</f>
        <v>15279.6</v>
      </c>
      <c r="AZ837">
        <f t="shared" ref="AZ837:AZ900" si="6035">(INDEX($BO$2:$BO$15,MATCH($AR837,$BK$2:$BK$15,0))+INDEX($BP$2:$BP$15,MATCH($AR837,$BK$2:$BK$15,0))*$AS837)*(1+INDEX($BZ$2:$BZ$15,MATCH($AT837,$BX$2:$BX$15,0)))</f>
        <v>30559.200000000001</v>
      </c>
      <c r="BA837">
        <f t="shared" ref="BA837:BA900" si="6036">INDEX($BQ$2:$BQ$15,MATCH($AR837,$BK$2:$BK$15,0))+INDEX($BR$2:$BR$15,MATCH($AR837,$BK$2:$BK$15,0))*$AS837</f>
        <v>174624</v>
      </c>
      <c r="BB837">
        <f t="shared" ref="BB837:BB900" si="6037">(INDEX($BS$2:$BS$15,MATCH($AR837,$BK$2:$BK$15,0))+INDEX($BT$2:$BT$15,MATCH($AR837,$BK$2:$BK$15,0))*$AS837)*(1+INDEX($BZ$2:$BZ$15,MATCH($AT837,$BX$2:$BX$15,0)))</f>
        <v>7639.8</v>
      </c>
      <c r="BC837">
        <f t="shared" si="5697"/>
        <v>916776000</v>
      </c>
      <c r="BD837">
        <f t="shared" ref="BD837:BD900" si="6038">1/(1+AZ837*3/(5*BB837))</f>
        <v>0.29411764705882348</v>
      </c>
      <c r="BE837" s="27">
        <f t="shared" si="5698"/>
        <v>2500422746.6736002</v>
      </c>
      <c r="BF837" s="30">
        <f t="shared" ref="BF837:BF900" si="6039">0.3+AQ837*0.0024</f>
        <v>0.5232</v>
      </c>
      <c r="BG837" s="27"/>
      <c r="BH837" s="27"/>
      <c r="BI837" s="27"/>
      <c r="CA837" s="20">
        <f t="shared" ref="CA837:CA900" si="6040">$CA$2+(AQ837-1)*5</f>
        <v>560</v>
      </c>
      <c r="CB837" s="20">
        <f t="shared" ref="CB837:CB900" si="6041">$CB$2+(AQ837-1)*500</f>
        <v>56000</v>
      </c>
    </row>
    <row r="838" spans="1:80" x14ac:dyDescent="0.15">
      <c r="A838">
        <v>9307</v>
      </c>
      <c r="B838" s="3" t="s">
        <v>126</v>
      </c>
      <c r="C838" s="4" t="s">
        <v>109</v>
      </c>
      <c r="D838" s="4" t="s">
        <v>110</v>
      </c>
      <c r="E838" s="5">
        <v>2</v>
      </c>
      <c r="F838" s="7" t="s">
        <v>143</v>
      </c>
      <c r="G838" s="5">
        <v>3</v>
      </c>
      <c r="H838" s="7" t="s">
        <v>193</v>
      </c>
      <c r="I838" s="5">
        <v>0</v>
      </c>
      <c r="J838" s="5">
        <v>0</v>
      </c>
      <c r="K838">
        <v>2</v>
      </c>
      <c r="L838">
        <v>1.5</v>
      </c>
      <c r="M838" s="5">
        <v>1.5</v>
      </c>
      <c r="N838" s="5">
        <v>10</v>
      </c>
      <c r="O838" s="5">
        <f t="shared" si="6021"/>
        <v>161083</v>
      </c>
      <c r="P838" s="5">
        <f t="shared" si="6022"/>
        <v>925344000</v>
      </c>
      <c r="Q838" s="5">
        <f t="shared" si="6023"/>
        <v>15422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70071</v>
      </c>
      <c r="X838" s="6" t="s">
        <v>185</v>
      </c>
      <c r="Y838" s="5">
        <v>300</v>
      </c>
      <c r="Z838" s="5">
        <v>1</v>
      </c>
      <c r="AA838" s="5">
        <v>515237708</v>
      </c>
      <c r="AB838" s="16" t="s">
        <v>111</v>
      </c>
      <c r="AC838" s="7" t="s">
        <v>112</v>
      </c>
      <c r="AD838" s="7" t="s">
        <v>112</v>
      </c>
      <c r="AE838" s="7" t="s">
        <v>112</v>
      </c>
      <c r="AF838" s="6" t="s">
        <v>113</v>
      </c>
      <c r="AG838" s="26" t="str">
        <f t="shared" ref="AG838" si="6042">CM$10</f>
        <v>4,14,28,14,6,4,14,28,14,6</v>
      </c>
      <c r="AH838" s="26" t="str">
        <f t="shared" ref="AH838" si="6043">CN$10</f>
        <v>0,0,0,0,1,0,0,0,0,1</v>
      </c>
      <c r="AI838" s="26" t="str">
        <f t="shared" ref="AI838" si="6044">CO$10</f>
        <v>0,0,0,0,1,0,0,0,0,1</v>
      </c>
      <c r="AJ838" s="26" t="str">
        <f t="shared" ref="AJ838" si="6045">CP$10</f>
        <v>0,0,0,0,5,0,0,0,0,5</v>
      </c>
      <c r="AK838" s="26" t="str">
        <f t="shared" ref="AK838" si="6046">CQ$10</f>
        <v>200,1,1000,2,5,200,1,1000,2,5</v>
      </c>
      <c r="AL838" s="26" t="str">
        <f t="shared" ref="AL838" si="6047">CR$10</f>
        <v>5,5,5,5,5,5,5,5,5,5</v>
      </c>
      <c r="AM838" s="7">
        <v>2001</v>
      </c>
      <c r="AO838">
        <f t="shared" ref="AO838" si="6048">AQ838*100+7</f>
        <v>9307</v>
      </c>
      <c r="AP838">
        <v>834</v>
      </c>
      <c r="AQ838">
        <f t="shared" si="6031"/>
        <v>93</v>
      </c>
      <c r="AR838">
        <v>14</v>
      </c>
      <c r="AS838" s="17">
        <f t="shared" si="5646"/>
        <v>530</v>
      </c>
      <c r="AT838">
        <v>13</v>
      </c>
      <c r="AU838">
        <f t="shared" si="6032"/>
        <v>38</v>
      </c>
      <c r="AV838">
        <v>150</v>
      </c>
      <c r="AW838">
        <f t="shared" si="6033"/>
        <v>161083.88352</v>
      </c>
      <c r="AX838">
        <f t="shared" si="5696"/>
        <v>925344000.00000024</v>
      </c>
      <c r="AY838">
        <f t="shared" si="6034"/>
        <v>15422.400000000001</v>
      </c>
      <c r="AZ838">
        <f t="shared" si="6035"/>
        <v>30844.800000000003</v>
      </c>
      <c r="BA838">
        <f t="shared" si="6036"/>
        <v>176256</v>
      </c>
      <c r="BB838">
        <f t="shared" si="6037"/>
        <v>7711.2000000000007</v>
      </c>
      <c r="BC838">
        <f t="shared" si="5697"/>
        <v>925344000.00000024</v>
      </c>
      <c r="BD838">
        <f t="shared" si="6038"/>
        <v>0.29411764705882348</v>
      </c>
      <c r="BE838" s="27">
        <f t="shared" si="5698"/>
        <v>2547378017.0496006</v>
      </c>
      <c r="BF838" s="30">
        <f t="shared" si="6039"/>
        <v>0.5232</v>
      </c>
      <c r="BG838" s="27"/>
      <c r="BH838" s="27"/>
      <c r="BI838" s="27"/>
      <c r="CA838" s="20">
        <f t="shared" si="6040"/>
        <v>560</v>
      </c>
      <c r="CB838" s="20">
        <f t="shared" si="6041"/>
        <v>56000</v>
      </c>
    </row>
    <row r="839" spans="1:80" x14ac:dyDescent="0.15">
      <c r="A839">
        <v>9308</v>
      </c>
      <c r="B839" s="3" t="s">
        <v>128</v>
      </c>
      <c r="C839" s="4" t="s">
        <v>109</v>
      </c>
      <c r="D839" s="4" t="s">
        <v>110</v>
      </c>
      <c r="E839" s="5">
        <v>5</v>
      </c>
      <c r="F839" s="7" t="s">
        <v>129</v>
      </c>
      <c r="G839" s="5">
        <v>2</v>
      </c>
      <c r="H839" s="7" t="s">
        <v>130</v>
      </c>
      <c r="I839" s="5">
        <v>0</v>
      </c>
      <c r="J839" s="5">
        <v>0</v>
      </c>
      <c r="K839">
        <v>2</v>
      </c>
      <c r="L839">
        <v>1.5</v>
      </c>
      <c r="M839" s="5">
        <v>1.5</v>
      </c>
      <c r="N839" s="5">
        <v>10</v>
      </c>
      <c r="O839" s="5">
        <f t="shared" si="6021"/>
        <v>162575</v>
      </c>
      <c r="P839" s="5">
        <f t="shared" si="6022"/>
        <v>933912000</v>
      </c>
      <c r="Q839" s="5">
        <f t="shared" si="6023"/>
        <v>15565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70081</v>
      </c>
      <c r="X839" s="6" t="s">
        <v>186</v>
      </c>
      <c r="Y839" s="5">
        <v>300</v>
      </c>
      <c r="Z839" s="5">
        <v>1</v>
      </c>
      <c r="AA839" s="5">
        <v>525389931</v>
      </c>
      <c r="AB839" s="16" t="s">
        <v>111</v>
      </c>
      <c r="AC839" s="7" t="s">
        <v>112</v>
      </c>
      <c r="AD839" s="7" t="s">
        <v>112</v>
      </c>
      <c r="AE839" s="7" t="s">
        <v>112</v>
      </c>
      <c r="AF839" s="6" t="s">
        <v>113</v>
      </c>
      <c r="AG839" s="26" t="str">
        <f t="shared" ref="AG839" si="6049">CM$11</f>
        <v>4,28,6,28,6,4,28,6,28,6</v>
      </c>
      <c r="AH839" s="26" t="str">
        <f t="shared" ref="AH839" si="6050">CN$11</f>
        <v>0,0,1,0,1,0,0,1,0,1</v>
      </c>
      <c r="AI839" s="26" t="str">
        <f t="shared" ref="AI839" si="6051">CO$11</f>
        <v>0,0,1,0,1,0,0,1,0,1</v>
      </c>
      <c r="AJ839" s="26" t="str">
        <f t="shared" ref="AJ839" si="6052">CP$11</f>
        <v>0,0,5,0,5,0,0,5,0,5</v>
      </c>
      <c r="AK839" s="26" t="str">
        <f t="shared" ref="AK839" si="6053">CQ$11</f>
        <v>100,1000,5,1500,5,200,1000,5,1500,5</v>
      </c>
      <c r="AL839" s="26" t="str">
        <f t="shared" ref="AL839" si="6054">CR$11</f>
        <v>5,5,5,5,5,5,5,5,5,5</v>
      </c>
      <c r="AM839" s="7">
        <v>2001</v>
      </c>
      <c r="AO839">
        <f t="shared" ref="AO839" si="6055">AQ839*100+8</f>
        <v>9308</v>
      </c>
      <c r="AP839">
        <v>835</v>
      </c>
      <c r="AQ839">
        <f t="shared" si="6031"/>
        <v>93</v>
      </c>
      <c r="AR839">
        <v>14</v>
      </c>
      <c r="AS839" s="17">
        <f t="shared" si="5646"/>
        <v>535</v>
      </c>
      <c r="AT839">
        <v>13</v>
      </c>
      <c r="AU839">
        <f t="shared" si="6032"/>
        <v>38</v>
      </c>
      <c r="AV839">
        <v>150</v>
      </c>
      <c r="AW839">
        <f t="shared" si="6033"/>
        <v>162575.40096000003</v>
      </c>
      <c r="AX839">
        <f t="shared" si="5696"/>
        <v>933912000</v>
      </c>
      <c r="AY839">
        <f t="shared" si="6034"/>
        <v>15565.2</v>
      </c>
      <c r="AZ839">
        <f t="shared" si="6035"/>
        <v>31130.400000000001</v>
      </c>
      <c r="BA839">
        <f t="shared" si="6036"/>
        <v>177888</v>
      </c>
      <c r="BB839">
        <f t="shared" si="6037"/>
        <v>7782.6</v>
      </c>
      <c r="BC839">
        <f t="shared" si="5697"/>
        <v>933912000</v>
      </c>
      <c r="BD839">
        <f t="shared" si="6038"/>
        <v>0.29411764705882348</v>
      </c>
      <c r="BE839" s="27">
        <f t="shared" si="5698"/>
        <v>2594770080.6384001</v>
      </c>
      <c r="BF839" s="30">
        <f t="shared" si="6039"/>
        <v>0.5232</v>
      </c>
      <c r="BG839" s="27"/>
      <c r="BH839" s="27"/>
      <c r="BI839" s="27"/>
      <c r="CA839" s="20">
        <f t="shared" si="6040"/>
        <v>560</v>
      </c>
      <c r="CB839" s="20">
        <f t="shared" si="6041"/>
        <v>56000</v>
      </c>
    </row>
    <row r="840" spans="1:80" x14ac:dyDescent="0.15">
      <c r="A840">
        <v>9309</v>
      </c>
      <c r="B840" s="3" t="s">
        <v>132</v>
      </c>
      <c r="C840" s="4" t="s">
        <v>109</v>
      </c>
      <c r="D840" s="4" t="s">
        <v>110</v>
      </c>
      <c r="E840" s="5">
        <v>5</v>
      </c>
      <c r="F840" s="7" t="s">
        <v>140</v>
      </c>
      <c r="G840" s="5">
        <v>3</v>
      </c>
      <c r="H840" s="7" t="s">
        <v>140</v>
      </c>
      <c r="I840" s="5">
        <v>0</v>
      </c>
      <c r="J840" s="7">
        <v>0</v>
      </c>
      <c r="K840">
        <v>6</v>
      </c>
      <c r="L840">
        <v>1.5</v>
      </c>
      <c r="M840" s="5">
        <v>1.5</v>
      </c>
      <c r="N840" s="5">
        <v>10</v>
      </c>
      <c r="O840" s="5">
        <f t="shared" si="6021"/>
        <v>164066</v>
      </c>
      <c r="P840" s="5">
        <f t="shared" si="6022"/>
        <v>942480000</v>
      </c>
      <c r="Q840" s="5">
        <f t="shared" si="6023"/>
        <v>15708</v>
      </c>
      <c r="R840" s="5">
        <v>0</v>
      </c>
      <c r="S840" s="5">
        <v>0</v>
      </c>
      <c r="T840" s="5">
        <v>0</v>
      </c>
      <c r="U840" s="5">
        <v>0</v>
      </c>
      <c r="V840" s="5">
        <v>0</v>
      </c>
      <c r="W840" s="5">
        <v>70091</v>
      </c>
      <c r="X840" s="6" t="s">
        <v>187</v>
      </c>
      <c r="Y840" s="5">
        <v>300</v>
      </c>
      <c r="Z840" s="5">
        <v>1</v>
      </c>
      <c r="AA840" s="5">
        <v>535641201</v>
      </c>
      <c r="AB840" s="16" t="s">
        <v>111</v>
      </c>
      <c r="AC840" s="7" t="s">
        <v>112</v>
      </c>
      <c r="AD840" s="7" t="s">
        <v>112</v>
      </c>
      <c r="AE840" s="7" t="s">
        <v>112</v>
      </c>
      <c r="AF840" s="6" t="s">
        <v>113</v>
      </c>
      <c r="AG840" s="26" t="str">
        <f t="shared" ref="AG840" si="6056">CM$12</f>
        <v>4,33,28,33,6,4,33,28,33,6</v>
      </c>
      <c r="AH840" s="26" t="str">
        <f t="shared" ref="AH840" si="6057">CN$12</f>
        <v>0,5,0,5,1,0,5,0,5,1</v>
      </c>
      <c r="AI840" s="26" t="str">
        <f t="shared" ref="AI840" si="6058">CO$12</f>
        <v>0,0,0,0,1,0,0,0,0,1</v>
      </c>
      <c r="AJ840" s="26" t="str">
        <f t="shared" ref="AJ840" si="6059">CP$12</f>
        <v>0,0,0,0,5,0,0,0,0,5</v>
      </c>
      <c r="AK840" s="26" t="str">
        <f t="shared" ref="AK840" si="6060">CQ$12</f>
        <v>100,1,1000,2,5,200,1,1000,2,5</v>
      </c>
      <c r="AL840" s="26" t="str">
        <f t="shared" ref="AL840" si="6061">CR$12</f>
        <v>5,5,5,5,5,5,5,5,5,5</v>
      </c>
      <c r="AM840" s="7">
        <v>2001</v>
      </c>
      <c r="AO840">
        <f t="shared" ref="AO840" si="6062">AQ840*100+9</f>
        <v>9309</v>
      </c>
      <c r="AP840">
        <v>836</v>
      </c>
      <c r="AQ840">
        <f t="shared" si="6031"/>
        <v>93</v>
      </c>
      <c r="AR840">
        <v>14</v>
      </c>
      <c r="AS840" s="17">
        <f t="shared" si="5646"/>
        <v>540</v>
      </c>
      <c r="AT840">
        <v>13</v>
      </c>
      <c r="AU840">
        <f t="shared" si="6032"/>
        <v>38</v>
      </c>
      <c r="AV840">
        <v>150</v>
      </c>
      <c r="AW840">
        <f t="shared" si="6033"/>
        <v>164066.91840000002</v>
      </c>
      <c r="AX840">
        <f t="shared" si="5696"/>
        <v>942480000</v>
      </c>
      <c r="AY840">
        <f t="shared" si="6034"/>
        <v>15708</v>
      </c>
      <c r="AZ840">
        <f t="shared" si="6035"/>
        <v>31416</v>
      </c>
      <c r="BA840">
        <f t="shared" si="6036"/>
        <v>179520</v>
      </c>
      <c r="BB840">
        <f t="shared" si="6037"/>
        <v>7854</v>
      </c>
      <c r="BC840">
        <f t="shared" si="5697"/>
        <v>942480000</v>
      </c>
      <c r="BD840">
        <f t="shared" si="6038"/>
        <v>0.29411764705882354</v>
      </c>
      <c r="BE840" s="27">
        <f t="shared" si="5698"/>
        <v>2642598937.4400001</v>
      </c>
      <c r="BF840" s="30">
        <f t="shared" si="6039"/>
        <v>0.5232</v>
      </c>
      <c r="BG840" s="27"/>
      <c r="BH840" s="27"/>
      <c r="BI840" s="27"/>
      <c r="CA840" s="20">
        <f t="shared" si="6040"/>
        <v>560</v>
      </c>
      <c r="CB840" s="20">
        <f t="shared" si="6041"/>
        <v>56000</v>
      </c>
    </row>
    <row r="841" spans="1:80" x14ac:dyDescent="0.15">
      <c r="A841">
        <v>9401</v>
      </c>
      <c r="B841" s="3" t="s">
        <v>108</v>
      </c>
      <c r="C841" s="4" t="s">
        <v>109</v>
      </c>
      <c r="D841" s="4" t="s">
        <v>110</v>
      </c>
      <c r="E841" s="5">
        <v>3</v>
      </c>
      <c r="F841" s="7" t="s">
        <v>141</v>
      </c>
      <c r="G841" s="5">
        <v>2.5</v>
      </c>
      <c r="H841" s="7" t="s">
        <v>194</v>
      </c>
      <c r="I841" s="5">
        <v>0</v>
      </c>
      <c r="J841" s="5">
        <v>0</v>
      </c>
      <c r="K841">
        <v>2</v>
      </c>
      <c r="L841">
        <v>1.5</v>
      </c>
      <c r="M841" s="5">
        <v>1.5</v>
      </c>
      <c r="N841" s="5">
        <v>10</v>
      </c>
      <c r="O841" s="5">
        <f t="shared" si="6021"/>
        <v>153868</v>
      </c>
      <c r="P841" s="5">
        <f t="shared" si="6022"/>
        <v>882504000</v>
      </c>
      <c r="Q841" s="5">
        <f t="shared" si="6023"/>
        <v>14708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70011</v>
      </c>
      <c r="X841" s="6" t="s">
        <v>179</v>
      </c>
      <c r="Y841" s="5">
        <v>300</v>
      </c>
      <c r="Z841" s="5">
        <v>1</v>
      </c>
      <c r="AA841" s="5">
        <v>545991516</v>
      </c>
      <c r="AB841" s="16" t="s">
        <v>111</v>
      </c>
      <c r="AC841" s="7" t="s">
        <v>112</v>
      </c>
      <c r="AD841" s="7" t="s">
        <v>112</v>
      </c>
      <c r="AE841" s="7" t="s">
        <v>112</v>
      </c>
      <c r="AF841" s="6" t="s">
        <v>113</v>
      </c>
      <c r="AG841" s="26" t="str">
        <f t="shared" ref="AG841" si="6063">CM$4</f>
        <v>4,33,28,33,6,4,33,28,33,6</v>
      </c>
      <c r="AH841" s="26" t="str">
        <f t="shared" ref="AH841" si="6064">CN$4</f>
        <v>0,8,0,8,1,0,8,0,8,1</v>
      </c>
      <c r="AI841" s="26" t="str">
        <f t="shared" ref="AI841" si="6065">CO$4</f>
        <v>0,0,0,0,1,0,0,0,0,1</v>
      </c>
      <c r="AJ841" s="26" t="str">
        <f t="shared" ref="AJ841" si="6066">CP$4</f>
        <v>0,0,0,0,5,0,0,0,0,5</v>
      </c>
      <c r="AK841" s="26" t="str">
        <f t="shared" ref="AK841" si="6067">CQ$4</f>
        <v>100,1,1000,2,5,200,1,1000,2,5</v>
      </c>
      <c r="AL841" s="26" t="str">
        <f t="shared" ref="AL841" si="6068">CR$4</f>
        <v>5,5,5,5,5,5,5,5,5,5</v>
      </c>
      <c r="AM841" s="7">
        <v>2001</v>
      </c>
      <c r="AO841">
        <f t="shared" ref="AO841" si="6069">AQ841*100+1</f>
        <v>9401</v>
      </c>
      <c r="AP841">
        <v>837</v>
      </c>
      <c r="AQ841">
        <f t="shared" si="6031"/>
        <v>94</v>
      </c>
      <c r="AR841">
        <v>14</v>
      </c>
      <c r="AS841" s="17">
        <f t="shared" si="5646"/>
        <v>505</v>
      </c>
      <c r="AT841">
        <v>13</v>
      </c>
      <c r="AU841">
        <f t="shared" si="6032"/>
        <v>38</v>
      </c>
      <c r="AV841">
        <v>150</v>
      </c>
      <c r="AW841">
        <f t="shared" si="6033"/>
        <v>153868.35455999998</v>
      </c>
      <c r="AX841">
        <f t="shared" si="5696"/>
        <v>882504000.00000012</v>
      </c>
      <c r="AY841">
        <f t="shared" si="6034"/>
        <v>14708.400000000001</v>
      </c>
      <c r="AZ841">
        <f t="shared" si="6035"/>
        <v>29416.800000000003</v>
      </c>
      <c r="BA841">
        <f t="shared" si="6036"/>
        <v>168096</v>
      </c>
      <c r="BB841">
        <f t="shared" si="6037"/>
        <v>7354.2000000000007</v>
      </c>
      <c r="BC841">
        <f t="shared" si="5697"/>
        <v>882504000.00000012</v>
      </c>
      <c r="BD841">
        <f t="shared" si="6038"/>
        <v>0.29411764705882348</v>
      </c>
      <c r="BE841" s="27">
        <f t="shared" si="5698"/>
        <v>2316969597.2976007</v>
      </c>
      <c r="BF841" s="30">
        <f t="shared" si="6039"/>
        <v>0.52559999999999996</v>
      </c>
      <c r="BG841" s="27"/>
      <c r="BH841" s="27"/>
      <c r="BI841" s="27"/>
      <c r="CA841" s="20">
        <f t="shared" si="6040"/>
        <v>565</v>
      </c>
      <c r="CB841" s="20">
        <f t="shared" si="6041"/>
        <v>56500</v>
      </c>
    </row>
    <row r="842" spans="1:80" x14ac:dyDescent="0.15">
      <c r="A842">
        <v>9402</v>
      </c>
      <c r="B842" s="3" t="s">
        <v>115</v>
      </c>
      <c r="C842" s="4" t="s">
        <v>109</v>
      </c>
      <c r="D842" s="6" t="s">
        <v>110</v>
      </c>
      <c r="E842" s="5">
        <v>3</v>
      </c>
      <c r="F842" s="7" t="s">
        <v>142</v>
      </c>
      <c r="G842" s="5">
        <v>3</v>
      </c>
      <c r="H842" s="7" t="s">
        <v>188</v>
      </c>
      <c r="I842" s="5">
        <v>0</v>
      </c>
      <c r="J842" s="5">
        <v>0</v>
      </c>
      <c r="K842">
        <v>2</v>
      </c>
      <c r="L842">
        <v>1.5</v>
      </c>
      <c r="M842" s="5">
        <v>1.5</v>
      </c>
      <c r="N842" s="5">
        <v>10</v>
      </c>
      <c r="O842" s="5">
        <f t="shared" si="6021"/>
        <v>155362</v>
      </c>
      <c r="P842" s="5">
        <f t="shared" si="6022"/>
        <v>891072000</v>
      </c>
      <c r="Q842" s="5">
        <f t="shared" si="6023"/>
        <v>14851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70021</v>
      </c>
      <c r="X842" s="6" t="s">
        <v>180</v>
      </c>
      <c r="Y842" s="5">
        <v>300</v>
      </c>
      <c r="Z842" s="5">
        <v>1</v>
      </c>
      <c r="AA842" s="5">
        <v>475619276</v>
      </c>
      <c r="AB842" s="16" t="s">
        <v>111</v>
      </c>
      <c r="AC842" s="7" t="s">
        <v>112</v>
      </c>
      <c r="AD842" s="7" t="s">
        <v>112</v>
      </c>
      <c r="AE842" s="7" t="s">
        <v>112</v>
      </c>
      <c r="AF842" s="6" t="s">
        <v>113</v>
      </c>
      <c r="AG842" s="26" t="str">
        <f t="shared" ref="AG842" si="6070">CM$5</f>
        <v>4,33,28,33,6,4,33,28,33,6</v>
      </c>
      <c r="AH842" s="26" t="str">
        <f t="shared" ref="AH842" si="6071">CN$5</f>
        <v>0,7,0,7,1,0,7,0,7,1</v>
      </c>
      <c r="AI842" s="26" t="str">
        <f t="shared" ref="AI842" si="6072">CO$5</f>
        <v>0,0,0,0,1,0,0,0,0,1</v>
      </c>
      <c r="AJ842" s="26" t="str">
        <f t="shared" ref="AJ842" si="6073">CP$5</f>
        <v>0,0,0,0,5,0,0,0,0,5</v>
      </c>
      <c r="AK842" s="26" t="str">
        <f t="shared" ref="AK842" si="6074">CQ$5</f>
        <v>100,1,1000,2,5,200,1,1000,2,5</v>
      </c>
      <c r="AL842" s="26" t="str">
        <f t="shared" ref="AL842" si="6075">CR$5</f>
        <v>5,5,5,5,5,5,5,5,5,5</v>
      </c>
      <c r="AM842" s="7">
        <v>2001</v>
      </c>
      <c r="AO842">
        <f t="shared" ref="AO842" si="6076">AQ842*100+2</f>
        <v>9402</v>
      </c>
      <c r="AP842">
        <v>838</v>
      </c>
      <c r="AQ842">
        <f t="shared" si="6031"/>
        <v>94</v>
      </c>
      <c r="AR842">
        <v>14</v>
      </c>
      <c r="AS842" s="17">
        <f t="shared" si="5646"/>
        <v>510</v>
      </c>
      <c r="AT842">
        <v>13</v>
      </c>
      <c r="AU842">
        <f t="shared" si="6032"/>
        <v>38</v>
      </c>
      <c r="AV842">
        <v>150</v>
      </c>
      <c r="AW842">
        <f t="shared" si="6033"/>
        <v>155362.22207999998</v>
      </c>
      <c r="AX842">
        <f t="shared" si="5696"/>
        <v>891072000</v>
      </c>
      <c r="AY842">
        <f t="shared" si="6034"/>
        <v>14851.2</v>
      </c>
      <c r="AZ842">
        <f t="shared" si="6035"/>
        <v>29702.400000000001</v>
      </c>
      <c r="BA842">
        <f t="shared" si="6036"/>
        <v>169728</v>
      </c>
      <c r="BB842">
        <f t="shared" si="6037"/>
        <v>7425.6</v>
      </c>
      <c r="BC842">
        <f t="shared" si="5697"/>
        <v>891072000</v>
      </c>
      <c r="BD842">
        <f t="shared" si="6038"/>
        <v>0.29411764705882348</v>
      </c>
      <c r="BE842" s="27">
        <f t="shared" si="5698"/>
        <v>2362177694.8223996</v>
      </c>
      <c r="BF842" s="30">
        <f t="shared" si="6039"/>
        <v>0.52559999999999996</v>
      </c>
      <c r="BG842" s="27"/>
      <c r="BH842" s="27"/>
      <c r="BI842" s="27"/>
      <c r="CA842" s="20">
        <f t="shared" si="6040"/>
        <v>565</v>
      </c>
      <c r="CB842" s="20">
        <f t="shared" si="6041"/>
        <v>56500</v>
      </c>
    </row>
    <row r="843" spans="1:80" x14ac:dyDescent="0.15">
      <c r="A843">
        <v>9403</v>
      </c>
      <c r="B843" s="3" t="s">
        <v>117</v>
      </c>
      <c r="C843" s="4" t="s">
        <v>109</v>
      </c>
      <c r="D843" s="4" t="s">
        <v>110</v>
      </c>
      <c r="E843" s="5">
        <v>1</v>
      </c>
      <c r="F843" s="7" t="s">
        <v>144</v>
      </c>
      <c r="G843" s="5">
        <v>3</v>
      </c>
      <c r="H843" s="7" t="s">
        <v>189</v>
      </c>
      <c r="I843" s="5">
        <v>0</v>
      </c>
      <c r="J843" s="2">
        <v>0</v>
      </c>
      <c r="K843">
        <v>6</v>
      </c>
      <c r="L843">
        <v>1.5</v>
      </c>
      <c r="M843" s="5">
        <v>1.5</v>
      </c>
      <c r="N843" s="5">
        <v>10</v>
      </c>
      <c r="O843" s="5">
        <f t="shared" si="6021"/>
        <v>156856</v>
      </c>
      <c r="P843" s="5">
        <f t="shared" si="6022"/>
        <v>899640000</v>
      </c>
      <c r="Q843" s="5">
        <f t="shared" si="6023"/>
        <v>14994</v>
      </c>
      <c r="R843" s="5">
        <v>0</v>
      </c>
      <c r="S843" s="5">
        <v>0</v>
      </c>
      <c r="T843" s="5">
        <v>0</v>
      </c>
      <c r="U843" s="5">
        <v>0</v>
      </c>
      <c r="V843" s="5">
        <v>0</v>
      </c>
      <c r="W843" s="5">
        <v>70031</v>
      </c>
      <c r="X843" s="6" t="s">
        <v>181</v>
      </c>
      <c r="Y843" s="5">
        <v>300</v>
      </c>
      <c r="Z843" s="5">
        <v>1</v>
      </c>
      <c r="AA843" s="5">
        <v>485375315</v>
      </c>
      <c r="AB843" s="16" t="s">
        <v>111</v>
      </c>
      <c r="AC843" s="7" t="s">
        <v>112</v>
      </c>
      <c r="AD843" s="7" t="s">
        <v>112</v>
      </c>
      <c r="AE843" s="7" t="s">
        <v>112</v>
      </c>
      <c r="AF843" s="6" t="s">
        <v>113</v>
      </c>
      <c r="AG843" s="26" t="str">
        <f t="shared" ref="AG843" si="6077">CM$6</f>
        <v>4,28,6,28,6,4,28,6,28,6</v>
      </c>
      <c r="AH843" s="26" t="str">
        <f t="shared" ref="AH843" si="6078">CN$6</f>
        <v>0,0,1,0,1,0,0,1,0,1</v>
      </c>
      <c r="AI843" s="26" t="str">
        <f t="shared" ref="AI843" si="6079">CO$6</f>
        <v>0,0,0,0,1,0,0,0,0,1</v>
      </c>
      <c r="AJ843" s="26" t="str">
        <f t="shared" ref="AJ843" si="6080">CP$6</f>
        <v>0,0,5,0,5,0,0,5,0,5</v>
      </c>
      <c r="AK843" s="26" t="str">
        <f t="shared" ref="AK843" si="6081">CQ$6</f>
        <v>100,1000,5,1500,5,200,1000,5,1500,5</v>
      </c>
      <c r="AL843" s="26" t="str">
        <f t="shared" ref="AL843" si="6082">CR$6</f>
        <v>5,5,5,5,5,5,5,5,5,5</v>
      </c>
      <c r="AM843" s="7">
        <v>2001</v>
      </c>
      <c r="AO843">
        <f t="shared" ref="AO843" si="6083">AQ843*100+3</f>
        <v>9403</v>
      </c>
      <c r="AP843">
        <v>839</v>
      </c>
      <c r="AQ843">
        <f t="shared" si="6031"/>
        <v>94</v>
      </c>
      <c r="AR843">
        <v>14</v>
      </c>
      <c r="AS843" s="17">
        <f t="shared" si="5646"/>
        <v>515</v>
      </c>
      <c r="AT843">
        <v>13</v>
      </c>
      <c r="AU843">
        <f t="shared" si="6032"/>
        <v>38</v>
      </c>
      <c r="AV843">
        <v>150</v>
      </c>
      <c r="AW843">
        <f t="shared" si="6033"/>
        <v>156856.08959999998</v>
      </c>
      <c r="AX843">
        <f t="shared" si="5696"/>
        <v>899640000</v>
      </c>
      <c r="AY843">
        <f t="shared" si="6034"/>
        <v>14994</v>
      </c>
      <c r="AZ843">
        <f t="shared" si="6035"/>
        <v>29988</v>
      </c>
      <c r="BA843">
        <f t="shared" si="6036"/>
        <v>171360</v>
      </c>
      <c r="BB843">
        <f t="shared" si="6037"/>
        <v>7497</v>
      </c>
      <c r="BC843">
        <f t="shared" si="5697"/>
        <v>899640000</v>
      </c>
      <c r="BD843">
        <f t="shared" si="6038"/>
        <v>0.29411764705882354</v>
      </c>
      <c r="BE843" s="27">
        <f t="shared" si="5698"/>
        <v>2407822585.5600004</v>
      </c>
      <c r="BF843" s="30">
        <f t="shared" si="6039"/>
        <v>0.52559999999999996</v>
      </c>
      <c r="BG843" s="27"/>
      <c r="BH843" s="27"/>
      <c r="BI843" s="27"/>
      <c r="CA843" s="20">
        <f t="shared" si="6040"/>
        <v>565</v>
      </c>
      <c r="CB843" s="20">
        <f t="shared" si="6041"/>
        <v>56500</v>
      </c>
    </row>
    <row r="844" spans="1:80" x14ac:dyDescent="0.15">
      <c r="A844">
        <v>9404</v>
      </c>
      <c r="B844" s="3" t="s">
        <v>119</v>
      </c>
      <c r="C844" s="4" t="s">
        <v>109</v>
      </c>
      <c r="D844" s="6" t="s">
        <v>120</v>
      </c>
      <c r="E844" s="5">
        <v>3</v>
      </c>
      <c r="F844" s="7" t="s">
        <v>145</v>
      </c>
      <c r="G844" s="5">
        <v>3</v>
      </c>
      <c r="H844" s="7" t="s">
        <v>190</v>
      </c>
      <c r="I844" s="5">
        <v>0</v>
      </c>
      <c r="J844" s="5">
        <v>0</v>
      </c>
      <c r="K844">
        <v>2</v>
      </c>
      <c r="L844">
        <v>1.5</v>
      </c>
      <c r="M844" s="5">
        <v>1.5</v>
      </c>
      <c r="N844" s="5">
        <v>10</v>
      </c>
      <c r="O844" s="5">
        <f t="shared" si="6021"/>
        <v>158349</v>
      </c>
      <c r="P844" s="5">
        <f t="shared" si="6022"/>
        <v>908208000</v>
      </c>
      <c r="Q844" s="5">
        <f t="shared" si="6023"/>
        <v>15136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70041</v>
      </c>
      <c r="X844" s="6" t="s">
        <v>182</v>
      </c>
      <c r="Y844" s="5">
        <v>300</v>
      </c>
      <c r="Z844" s="5">
        <v>1</v>
      </c>
      <c r="AA844" s="5">
        <v>495230400</v>
      </c>
      <c r="AB844" s="16" t="s">
        <v>111</v>
      </c>
      <c r="AC844" s="7" t="s">
        <v>112</v>
      </c>
      <c r="AD844" s="7" t="s">
        <v>112</v>
      </c>
      <c r="AE844" s="7" t="s">
        <v>112</v>
      </c>
      <c r="AF844" s="6" t="s">
        <v>113</v>
      </c>
      <c r="AG844" s="26" t="str">
        <f t="shared" ref="AG844" si="6084">CM$7</f>
        <v>4,14,28,14,6,4,14,28,14,6</v>
      </c>
      <c r="AH844" s="26" t="str">
        <f t="shared" ref="AH844" si="6085">CN$7</f>
        <v>0,0,0,0,1,0,0,0,0,1</v>
      </c>
      <c r="AI844" s="26" t="str">
        <f t="shared" ref="AI844" si="6086">CO$7</f>
        <v>0,0,0,0,1,0,0,0,0,1</v>
      </c>
      <c r="AJ844" s="26" t="str">
        <f t="shared" ref="AJ844" si="6087">CP$7</f>
        <v>0,0,0,0,5,0,0,0,0,5</v>
      </c>
      <c r="AK844" s="26" t="str">
        <f t="shared" ref="AK844" si="6088">CQ$7</f>
        <v>100,1,1000,2,5,200,1,1000,2,5</v>
      </c>
      <c r="AL844" s="26" t="str">
        <f t="shared" ref="AL844" si="6089">CR$7</f>
        <v>5,5,5,5,5,5,5,5,5,5</v>
      </c>
      <c r="AM844" s="7">
        <v>2001</v>
      </c>
      <c r="AO844">
        <f t="shared" ref="AO844" si="6090">AQ844*100+4</f>
        <v>9404</v>
      </c>
      <c r="AP844">
        <v>840</v>
      </c>
      <c r="AQ844">
        <f t="shared" si="6031"/>
        <v>94</v>
      </c>
      <c r="AR844">
        <v>14</v>
      </c>
      <c r="AS844" s="17">
        <f t="shared" si="5646"/>
        <v>520</v>
      </c>
      <c r="AT844">
        <v>13</v>
      </c>
      <c r="AU844">
        <f t="shared" si="6032"/>
        <v>38</v>
      </c>
      <c r="AV844">
        <v>150</v>
      </c>
      <c r="AW844">
        <f t="shared" si="6033"/>
        <v>158349.95711999998</v>
      </c>
      <c r="AX844">
        <f t="shared" si="5696"/>
        <v>908208000.00000012</v>
      </c>
      <c r="AY844">
        <f t="shared" si="6034"/>
        <v>15136.800000000001</v>
      </c>
      <c r="AZ844">
        <f t="shared" si="6035"/>
        <v>30273.600000000002</v>
      </c>
      <c r="BA844">
        <f t="shared" si="6036"/>
        <v>172992</v>
      </c>
      <c r="BB844">
        <f t="shared" si="6037"/>
        <v>7568.4000000000005</v>
      </c>
      <c r="BC844">
        <f t="shared" si="5697"/>
        <v>908208000.00000012</v>
      </c>
      <c r="BD844">
        <f t="shared" si="6038"/>
        <v>0.29411764705882354</v>
      </c>
      <c r="BE844" s="27">
        <f t="shared" si="5698"/>
        <v>2453904269.5104008</v>
      </c>
      <c r="BF844" s="30">
        <f t="shared" si="6039"/>
        <v>0.52559999999999996</v>
      </c>
      <c r="BG844" s="27"/>
      <c r="BH844" s="27"/>
      <c r="BI844" s="27"/>
      <c r="CA844" s="20">
        <f t="shared" si="6040"/>
        <v>565</v>
      </c>
      <c r="CB844" s="20">
        <f t="shared" si="6041"/>
        <v>56500</v>
      </c>
    </row>
    <row r="845" spans="1:80" x14ac:dyDescent="0.15">
      <c r="A845">
        <v>9405</v>
      </c>
      <c r="B845" s="3" t="s">
        <v>122</v>
      </c>
      <c r="C845" s="4" t="s">
        <v>109</v>
      </c>
      <c r="D845" s="4" t="s">
        <v>110</v>
      </c>
      <c r="E845" s="5">
        <v>2</v>
      </c>
      <c r="F845" s="7" t="s">
        <v>146</v>
      </c>
      <c r="G845" s="5">
        <v>3</v>
      </c>
      <c r="H845" s="7" t="s">
        <v>191</v>
      </c>
      <c r="I845" s="5">
        <v>0</v>
      </c>
      <c r="J845" s="7" t="s">
        <v>148</v>
      </c>
      <c r="K845">
        <v>6</v>
      </c>
      <c r="L845">
        <v>1.5</v>
      </c>
      <c r="M845" s="5">
        <v>1.5</v>
      </c>
      <c r="N845" s="5">
        <v>10</v>
      </c>
      <c r="O845" s="5">
        <f t="shared" si="6021"/>
        <v>159843</v>
      </c>
      <c r="P845" s="5">
        <f t="shared" si="6022"/>
        <v>916776000</v>
      </c>
      <c r="Q845" s="5">
        <f t="shared" si="6023"/>
        <v>15279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70051</v>
      </c>
      <c r="X845" s="6" t="s">
        <v>183</v>
      </c>
      <c r="Y845" s="5">
        <v>300</v>
      </c>
      <c r="Z845" s="5">
        <v>1</v>
      </c>
      <c r="AA845" s="5">
        <v>505184531</v>
      </c>
      <c r="AB845" s="16" t="s">
        <v>111</v>
      </c>
      <c r="AC845" s="7" t="s">
        <v>112</v>
      </c>
      <c r="AD845" s="7" t="s">
        <v>112</v>
      </c>
      <c r="AE845" s="7" t="s">
        <v>112</v>
      </c>
      <c r="AF845" s="6" t="s">
        <v>113</v>
      </c>
      <c r="AG845" s="26" t="str">
        <f t="shared" ref="AG845" si="6091">CM$8</f>
        <v>4,19,28,19,6,4,19,28,19,6</v>
      </c>
      <c r="AH845" s="26" t="str">
        <f t="shared" ref="AH845" si="6092">CN$8</f>
        <v>0,0,0,0,1,0,0,0,0,1</v>
      </c>
      <c r="AI845" s="26" t="str">
        <f t="shared" ref="AI845" si="6093">CO$8</f>
        <v>0,0,0,0,1,0,0,0,0,1</v>
      </c>
      <c r="AJ845" s="26" t="str">
        <f t="shared" ref="AJ845" si="6094">CP$8</f>
        <v>0,0,0,0,5,0,0,0,0,5</v>
      </c>
      <c r="AK845" s="26" t="str">
        <f t="shared" ref="AK845" si="6095">CQ$8</f>
        <v>200,100,1000,200,5,200,100,1000,200,5</v>
      </c>
      <c r="AL845" s="26" t="str">
        <f t="shared" ref="AL845" si="6096">CR$8</f>
        <v>5,5,5,5,5,5,5,5,5,5</v>
      </c>
      <c r="AM845" s="7">
        <v>2001</v>
      </c>
      <c r="AO845">
        <f t="shared" ref="AO845" si="6097">AQ845*100+5</f>
        <v>9405</v>
      </c>
      <c r="AP845">
        <v>841</v>
      </c>
      <c r="AQ845">
        <f t="shared" si="6031"/>
        <v>94</v>
      </c>
      <c r="AR845">
        <v>14</v>
      </c>
      <c r="AS845" s="17">
        <f t="shared" si="5646"/>
        <v>525</v>
      </c>
      <c r="AT845">
        <v>13</v>
      </c>
      <c r="AU845">
        <f t="shared" si="6032"/>
        <v>38</v>
      </c>
      <c r="AV845">
        <v>150</v>
      </c>
      <c r="AW845">
        <f t="shared" si="6033"/>
        <v>159843.82463999998</v>
      </c>
      <c r="AX845">
        <f t="shared" si="5696"/>
        <v>916776000</v>
      </c>
      <c r="AY845">
        <f t="shared" si="6034"/>
        <v>15279.6</v>
      </c>
      <c r="AZ845">
        <f t="shared" si="6035"/>
        <v>30559.200000000001</v>
      </c>
      <c r="BA845">
        <f t="shared" si="6036"/>
        <v>174624</v>
      </c>
      <c r="BB845">
        <f t="shared" si="6037"/>
        <v>7639.8</v>
      </c>
      <c r="BC845">
        <f t="shared" si="5697"/>
        <v>916776000</v>
      </c>
      <c r="BD845">
        <f t="shared" si="6038"/>
        <v>0.29411764705882348</v>
      </c>
      <c r="BE845" s="27">
        <f t="shared" si="5698"/>
        <v>2500422746.6736002</v>
      </c>
      <c r="BF845" s="30">
        <f t="shared" si="6039"/>
        <v>0.52559999999999996</v>
      </c>
      <c r="BG845" s="27"/>
      <c r="BH845" s="27"/>
      <c r="BI845" s="27"/>
      <c r="CA845" s="20">
        <f t="shared" si="6040"/>
        <v>565</v>
      </c>
      <c r="CB845" s="20">
        <f t="shared" si="6041"/>
        <v>56500</v>
      </c>
    </row>
    <row r="846" spans="1:80" x14ac:dyDescent="0.15">
      <c r="A846">
        <v>9406</v>
      </c>
      <c r="B846" s="3" t="s">
        <v>124</v>
      </c>
      <c r="C846" s="4" t="s">
        <v>109</v>
      </c>
      <c r="D846" s="6" t="s">
        <v>120</v>
      </c>
      <c r="E846" s="5">
        <v>1</v>
      </c>
      <c r="F846" s="7" t="s">
        <v>147</v>
      </c>
      <c r="G846" s="5">
        <v>3</v>
      </c>
      <c r="H846" s="7" t="s">
        <v>192</v>
      </c>
      <c r="I846" s="5">
        <v>0</v>
      </c>
      <c r="J846" s="7" t="s">
        <v>149</v>
      </c>
      <c r="K846">
        <v>6</v>
      </c>
      <c r="L846">
        <v>1.5</v>
      </c>
      <c r="M846" s="5">
        <v>1.5</v>
      </c>
      <c r="N846" s="5">
        <v>10</v>
      </c>
      <c r="O846" s="5">
        <f t="shared" si="6021"/>
        <v>161337</v>
      </c>
      <c r="P846" s="5">
        <f t="shared" si="6022"/>
        <v>925344000</v>
      </c>
      <c r="Q846" s="5">
        <f t="shared" si="6023"/>
        <v>15422</v>
      </c>
      <c r="R846" s="5">
        <v>0</v>
      </c>
      <c r="S846" s="5">
        <v>0</v>
      </c>
      <c r="T846" s="5">
        <v>0</v>
      </c>
      <c r="U846" s="5">
        <v>0</v>
      </c>
      <c r="V846" s="5">
        <v>0</v>
      </c>
      <c r="W846" s="5">
        <v>70061</v>
      </c>
      <c r="X846" s="6" t="s">
        <v>184</v>
      </c>
      <c r="Y846" s="5">
        <v>300</v>
      </c>
      <c r="Z846" s="5">
        <v>1</v>
      </c>
      <c r="AA846" s="5">
        <v>515237708</v>
      </c>
      <c r="AB846" s="16" t="s">
        <v>111</v>
      </c>
      <c r="AC846" s="7" t="s">
        <v>112</v>
      </c>
      <c r="AD846" s="7" t="s">
        <v>112</v>
      </c>
      <c r="AE846" s="7" t="s">
        <v>112</v>
      </c>
      <c r="AF846" s="6" t="s">
        <v>113</v>
      </c>
      <c r="AG846" s="26" t="str">
        <f t="shared" ref="AG846" si="6098">CM$9</f>
        <v>4,33,28,33,6,4,33,28,33,6</v>
      </c>
      <c r="AH846" s="26" t="str">
        <f t="shared" ref="AH846" si="6099">CN$9</f>
        <v>0,6,0,6,1,0,6,0,6,1</v>
      </c>
      <c r="AI846" s="26" t="str">
        <f t="shared" ref="AI846" si="6100">CO$9</f>
        <v>0,0,0,0,1,0,0,0,0,1</v>
      </c>
      <c r="AJ846" s="26" t="str">
        <f t="shared" ref="AJ846" si="6101">CP$9</f>
        <v>0,0,0,0,5,0,0,0,0,5</v>
      </c>
      <c r="AK846" s="26" t="str">
        <f t="shared" ref="AK846" si="6102">CQ$9</f>
        <v>200,1,1000,2,5,200,1,1000,2,5</v>
      </c>
      <c r="AL846" s="26" t="str">
        <f t="shared" ref="AL846" si="6103">CR$9</f>
        <v>5,5,5,5,5,5,5,5,5,5</v>
      </c>
      <c r="AM846" s="7">
        <v>2001</v>
      </c>
      <c r="AO846">
        <f t="shared" ref="AO846" si="6104">AQ846*100+6</f>
        <v>9406</v>
      </c>
      <c r="AP846">
        <v>842</v>
      </c>
      <c r="AQ846">
        <f t="shared" si="6031"/>
        <v>94</v>
      </c>
      <c r="AR846">
        <v>14</v>
      </c>
      <c r="AS846" s="17">
        <f t="shared" si="5646"/>
        <v>530</v>
      </c>
      <c r="AT846">
        <v>13</v>
      </c>
      <c r="AU846">
        <f t="shared" si="6032"/>
        <v>38</v>
      </c>
      <c r="AV846">
        <v>150</v>
      </c>
      <c r="AW846">
        <f t="shared" si="6033"/>
        <v>161337.69215999998</v>
      </c>
      <c r="AX846">
        <f t="shared" si="5696"/>
        <v>925344000.00000024</v>
      </c>
      <c r="AY846">
        <f t="shared" si="6034"/>
        <v>15422.400000000001</v>
      </c>
      <c r="AZ846">
        <f t="shared" si="6035"/>
        <v>30844.800000000003</v>
      </c>
      <c r="BA846">
        <f t="shared" si="6036"/>
        <v>176256</v>
      </c>
      <c r="BB846">
        <f t="shared" si="6037"/>
        <v>7711.2000000000007</v>
      </c>
      <c r="BC846">
        <f t="shared" si="5697"/>
        <v>925344000.00000024</v>
      </c>
      <c r="BD846">
        <f t="shared" si="6038"/>
        <v>0.29411764705882348</v>
      </c>
      <c r="BE846" s="27">
        <f t="shared" si="5698"/>
        <v>2547378017.0496006</v>
      </c>
      <c r="BF846" s="30">
        <f t="shared" si="6039"/>
        <v>0.52559999999999996</v>
      </c>
      <c r="BG846" s="27"/>
      <c r="BH846" s="27"/>
      <c r="BI846" s="27"/>
      <c r="CA846" s="20">
        <f t="shared" si="6040"/>
        <v>565</v>
      </c>
      <c r="CB846" s="20">
        <f t="shared" si="6041"/>
        <v>56500</v>
      </c>
    </row>
    <row r="847" spans="1:80" x14ac:dyDescent="0.15">
      <c r="A847">
        <v>9407</v>
      </c>
      <c r="B847" s="3" t="s">
        <v>126</v>
      </c>
      <c r="C847" s="4" t="s">
        <v>109</v>
      </c>
      <c r="D847" s="4" t="s">
        <v>110</v>
      </c>
      <c r="E847" s="5">
        <v>2</v>
      </c>
      <c r="F847" s="7" t="s">
        <v>143</v>
      </c>
      <c r="G847" s="5">
        <v>3</v>
      </c>
      <c r="H847" s="7" t="s">
        <v>193</v>
      </c>
      <c r="I847" s="5">
        <v>0</v>
      </c>
      <c r="J847" s="5">
        <v>0</v>
      </c>
      <c r="K847">
        <v>2</v>
      </c>
      <c r="L847">
        <v>1.5</v>
      </c>
      <c r="M847" s="5">
        <v>1.5</v>
      </c>
      <c r="N847" s="5">
        <v>10</v>
      </c>
      <c r="O847" s="5">
        <f t="shared" si="6021"/>
        <v>162831</v>
      </c>
      <c r="P847" s="5">
        <f t="shared" si="6022"/>
        <v>933912000</v>
      </c>
      <c r="Q847" s="5">
        <f t="shared" si="6023"/>
        <v>15565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70071</v>
      </c>
      <c r="X847" s="6" t="s">
        <v>185</v>
      </c>
      <c r="Y847" s="5">
        <v>300</v>
      </c>
      <c r="Z847" s="5">
        <v>1</v>
      </c>
      <c r="AA847" s="5">
        <v>525389931</v>
      </c>
      <c r="AB847" s="16" t="s">
        <v>111</v>
      </c>
      <c r="AC847" s="7" t="s">
        <v>112</v>
      </c>
      <c r="AD847" s="7" t="s">
        <v>112</v>
      </c>
      <c r="AE847" s="7" t="s">
        <v>112</v>
      </c>
      <c r="AF847" s="6" t="s">
        <v>113</v>
      </c>
      <c r="AG847" s="26" t="str">
        <f t="shared" ref="AG847" si="6105">CM$10</f>
        <v>4,14,28,14,6,4,14,28,14,6</v>
      </c>
      <c r="AH847" s="26" t="str">
        <f t="shared" ref="AH847" si="6106">CN$10</f>
        <v>0,0,0,0,1,0,0,0,0,1</v>
      </c>
      <c r="AI847" s="26" t="str">
        <f t="shared" ref="AI847" si="6107">CO$10</f>
        <v>0,0,0,0,1,0,0,0,0,1</v>
      </c>
      <c r="AJ847" s="26" t="str">
        <f t="shared" ref="AJ847" si="6108">CP$10</f>
        <v>0,0,0,0,5,0,0,0,0,5</v>
      </c>
      <c r="AK847" s="26" t="str">
        <f t="shared" ref="AK847" si="6109">CQ$10</f>
        <v>200,1,1000,2,5,200,1,1000,2,5</v>
      </c>
      <c r="AL847" s="26" t="str">
        <f t="shared" ref="AL847" si="6110">CR$10</f>
        <v>5,5,5,5,5,5,5,5,5,5</v>
      </c>
      <c r="AM847" s="7">
        <v>2001</v>
      </c>
      <c r="AO847">
        <f t="shared" ref="AO847" si="6111">AQ847*100+7</f>
        <v>9407</v>
      </c>
      <c r="AP847">
        <v>843</v>
      </c>
      <c r="AQ847">
        <f t="shared" si="6031"/>
        <v>94</v>
      </c>
      <c r="AR847">
        <v>14</v>
      </c>
      <c r="AS847" s="17">
        <f t="shared" ref="AS847:AS903" si="6112">AS838+5</f>
        <v>535</v>
      </c>
      <c r="AT847">
        <v>13</v>
      </c>
      <c r="AU847">
        <f t="shared" si="6032"/>
        <v>38</v>
      </c>
      <c r="AV847">
        <v>150</v>
      </c>
      <c r="AW847">
        <f t="shared" si="6033"/>
        <v>162831.55967999998</v>
      </c>
      <c r="AX847">
        <f t="shared" si="5696"/>
        <v>933912000</v>
      </c>
      <c r="AY847">
        <f t="shared" si="6034"/>
        <v>15565.2</v>
      </c>
      <c r="AZ847">
        <f t="shared" si="6035"/>
        <v>31130.400000000001</v>
      </c>
      <c r="BA847">
        <f t="shared" si="6036"/>
        <v>177888</v>
      </c>
      <c r="BB847">
        <f t="shared" si="6037"/>
        <v>7782.6</v>
      </c>
      <c r="BC847">
        <f t="shared" si="5697"/>
        <v>933912000</v>
      </c>
      <c r="BD847">
        <f t="shared" si="6038"/>
        <v>0.29411764705882348</v>
      </c>
      <c r="BE847" s="27">
        <f t="shared" si="5698"/>
        <v>2594770080.6384001</v>
      </c>
      <c r="BF847" s="30">
        <f t="shared" si="6039"/>
        <v>0.52559999999999996</v>
      </c>
      <c r="BG847" s="27"/>
      <c r="BH847" s="27"/>
      <c r="BI847" s="27"/>
      <c r="CA847" s="20">
        <f t="shared" si="6040"/>
        <v>565</v>
      </c>
      <c r="CB847" s="20">
        <f t="shared" si="6041"/>
        <v>56500</v>
      </c>
    </row>
    <row r="848" spans="1:80" x14ac:dyDescent="0.15">
      <c r="A848">
        <v>9408</v>
      </c>
      <c r="B848" s="3" t="s">
        <v>128</v>
      </c>
      <c r="C848" s="4" t="s">
        <v>109</v>
      </c>
      <c r="D848" s="4" t="s">
        <v>110</v>
      </c>
      <c r="E848" s="5">
        <v>5</v>
      </c>
      <c r="F848" s="7" t="s">
        <v>129</v>
      </c>
      <c r="G848" s="5">
        <v>2</v>
      </c>
      <c r="H848" s="7" t="s">
        <v>130</v>
      </c>
      <c r="I848" s="5">
        <v>0</v>
      </c>
      <c r="J848" s="5">
        <v>0</v>
      </c>
      <c r="K848">
        <v>2</v>
      </c>
      <c r="L848">
        <v>1.5</v>
      </c>
      <c r="M848" s="5">
        <v>1.5</v>
      </c>
      <c r="N848" s="5">
        <v>10</v>
      </c>
      <c r="O848" s="5">
        <f t="shared" si="6021"/>
        <v>164325</v>
      </c>
      <c r="P848" s="5">
        <f t="shared" si="6022"/>
        <v>942480000</v>
      </c>
      <c r="Q848" s="5">
        <f t="shared" si="6023"/>
        <v>15708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70081</v>
      </c>
      <c r="X848" s="6" t="s">
        <v>186</v>
      </c>
      <c r="Y848" s="5">
        <v>300</v>
      </c>
      <c r="Z848" s="5">
        <v>1</v>
      </c>
      <c r="AA848" s="5">
        <v>535641201</v>
      </c>
      <c r="AB848" s="16" t="s">
        <v>111</v>
      </c>
      <c r="AC848" s="7" t="s">
        <v>112</v>
      </c>
      <c r="AD848" s="7" t="s">
        <v>112</v>
      </c>
      <c r="AE848" s="7" t="s">
        <v>112</v>
      </c>
      <c r="AF848" s="6" t="s">
        <v>113</v>
      </c>
      <c r="AG848" s="26" t="str">
        <f t="shared" ref="AG848" si="6113">CM$11</f>
        <v>4,28,6,28,6,4,28,6,28,6</v>
      </c>
      <c r="AH848" s="26" t="str">
        <f t="shared" ref="AH848" si="6114">CN$11</f>
        <v>0,0,1,0,1,0,0,1,0,1</v>
      </c>
      <c r="AI848" s="26" t="str">
        <f t="shared" ref="AI848" si="6115">CO$11</f>
        <v>0,0,1,0,1,0,0,1,0,1</v>
      </c>
      <c r="AJ848" s="26" t="str">
        <f t="shared" ref="AJ848" si="6116">CP$11</f>
        <v>0,0,5,0,5,0,0,5,0,5</v>
      </c>
      <c r="AK848" s="26" t="str">
        <f t="shared" ref="AK848" si="6117">CQ$11</f>
        <v>100,1000,5,1500,5,200,1000,5,1500,5</v>
      </c>
      <c r="AL848" s="26" t="str">
        <f t="shared" ref="AL848" si="6118">CR$11</f>
        <v>5,5,5,5,5,5,5,5,5,5</v>
      </c>
      <c r="AM848" s="7">
        <v>2001</v>
      </c>
      <c r="AO848">
        <f t="shared" ref="AO848" si="6119">AQ848*100+8</f>
        <v>9408</v>
      </c>
      <c r="AP848">
        <v>844</v>
      </c>
      <c r="AQ848">
        <f t="shared" si="6031"/>
        <v>94</v>
      </c>
      <c r="AR848">
        <v>14</v>
      </c>
      <c r="AS848" s="17">
        <f t="shared" si="6112"/>
        <v>540</v>
      </c>
      <c r="AT848">
        <v>13</v>
      </c>
      <c r="AU848">
        <f t="shared" si="6032"/>
        <v>38</v>
      </c>
      <c r="AV848">
        <v>150</v>
      </c>
      <c r="AW848">
        <f t="shared" si="6033"/>
        <v>164325.42719999998</v>
      </c>
      <c r="AX848">
        <f t="shared" si="5696"/>
        <v>942480000</v>
      </c>
      <c r="AY848">
        <f t="shared" si="6034"/>
        <v>15708</v>
      </c>
      <c r="AZ848">
        <f t="shared" si="6035"/>
        <v>31416</v>
      </c>
      <c r="BA848">
        <f t="shared" si="6036"/>
        <v>179520</v>
      </c>
      <c r="BB848">
        <f t="shared" si="6037"/>
        <v>7854</v>
      </c>
      <c r="BC848">
        <f t="shared" si="5697"/>
        <v>942480000</v>
      </c>
      <c r="BD848">
        <f t="shared" si="6038"/>
        <v>0.29411764705882354</v>
      </c>
      <c r="BE848" s="27">
        <f t="shared" si="5698"/>
        <v>2642598937.4400001</v>
      </c>
      <c r="BF848" s="30">
        <f t="shared" si="6039"/>
        <v>0.52559999999999996</v>
      </c>
      <c r="BG848" s="27"/>
      <c r="BH848" s="27"/>
      <c r="BI848" s="27"/>
      <c r="CA848" s="20">
        <f t="shared" si="6040"/>
        <v>565</v>
      </c>
      <c r="CB848" s="20">
        <f t="shared" si="6041"/>
        <v>56500</v>
      </c>
    </row>
    <row r="849" spans="1:80" x14ac:dyDescent="0.15">
      <c r="A849">
        <v>9409</v>
      </c>
      <c r="B849" s="3" t="s">
        <v>132</v>
      </c>
      <c r="C849" s="4" t="s">
        <v>109</v>
      </c>
      <c r="D849" s="4" t="s">
        <v>110</v>
      </c>
      <c r="E849" s="5">
        <v>5</v>
      </c>
      <c r="F849" s="7" t="s">
        <v>140</v>
      </c>
      <c r="G849" s="5">
        <v>3</v>
      </c>
      <c r="H849" s="7" t="s">
        <v>140</v>
      </c>
      <c r="I849" s="5">
        <v>0</v>
      </c>
      <c r="J849" s="7">
        <v>0</v>
      </c>
      <c r="K849">
        <v>6</v>
      </c>
      <c r="L849">
        <v>1.5</v>
      </c>
      <c r="M849" s="5">
        <v>1.5</v>
      </c>
      <c r="N849" s="5">
        <v>10</v>
      </c>
      <c r="O849" s="5">
        <f t="shared" si="6021"/>
        <v>165819</v>
      </c>
      <c r="P849" s="5">
        <f t="shared" si="6022"/>
        <v>951048000</v>
      </c>
      <c r="Q849" s="5">
        <f t="shared" si="6023"/>
        <v>15850</v>
      </c>
      <c r="R849" s="5">
        <v>0</v>
      </c>
      <c r="S849" s="5">
        <v>0</v>
      </c>
      <c r="T849" s="5">
        <v>0</v>
      </c>
      <c r="U849" s="5">
        <v>0</v>
      </c>
      <c r="V849" s="5">
        <v>0</v>
      </c>
      <c r="W849" s="5">
        <v>70091</v>
      </c>
      <c r="X849" s="6" t="s">
        <v>187</v>
      </c>
      <c r="Y849" s="5">
        <v>300</v>
      </c>
      <c r="Z849" s="5">
        <v>1</v>
      </c>
      <c r="AA849" s="5">
        <v>545991516</v>
      </c>
      <c r="AB849" s="16" t="s">
        <v>111</v>
      </c>
      <c r="AC849" s="7" t="s">
        <v>112</v>
      </c>
      <c r="AD849" s="7" t="s">
        <v>112</v>
      </c>
      <c r="AE849" s="7" t="s">
        <v>112</v>
      </c>
      <c r="AF849" s="6" t="s">
        <v>113</v>
      </c>
      <c r="AG849" s="26" t="str">
        <f t="shared" ref="AG849" si="6120">CM$12</f>
        <v>4,33,28,33,6,4,33,28,33,6</v>
      </c>
      <c r="AH849" s="26" t="str">
        <f t="shared" ref="AH849" si="6121">CN$12</f>
        <v>0,5,0,5,1,0,5,0,5,1</v>
      </c>
      <c r="AI849" s="26" t="str">
        <f t="shared" ref="AI849" si="6122">CO$12</f>
        <v>0,0,0,0,1,0,0,0,0,1</v>
      </c>
      <c r="AJ849" s="26" t="str">
        <f t="shared" ref="AJ849" si="6123">CP$12</f>
        <v>0,0,0,0,5,0,0,0,0,5</v>
      </c>
      <c r="AK849" s="26" t="str">
        <f t="shared" ref="AK849" si="6124">CQ$12</f>
        <v>100,1,1000,2,5,200,1,1000,2,5</v>
      </c>
      <c r="AL849" s="26" t="str">
        <f t="shared" ref="AL849" si="6125">CR$12</f>
        <v>5,5,5,5,5,5,5,5,5,5</v>
      </c>
      <c r="AM849" s="7">
        <v>2001</v>
      </c>
      <c r="AO849">
        <f t="shared" ref="AO849" si="6126">AQ849*100+9</f>
        <v>9409</v>
      </c>
      <c r="AP849">
        <v>845</v>
      </c>
      <c r="AQ849">
        <f t="shared" si="6031"/>
        <v>94</v>
      </c>
      <c r="AR849">
        <v>14</v>
      </c>
      <c r="AS849" s="17">
        <f t="shared" si="6112"/>
        <v>545</v>
      </c>
      <c r="AT849">
        <v>13</v>
      </c>
      <c r="AU849">
        <f t="shared" si="6032"/>
        <v>38</v>
      </c>
      <c r="AV849">
        <v>150</v>
      </c>
      <c r="AW849">
        <f t="shared" si="6033"/>
        <v>165819.29471999998</v>
      </c>
      <c r="AX849">
        <f t="shared" si="5696"/>
        <v>951048000.00000024</v>
      </c>
      <c r="AY849">
        <f t="shared" si="6034"/>
        <v>15850.800000000001</v>
      </c>
      <c r="AZ849">
        <f t="shared" si="6035"/>
        <v>31701.600000000002</v>
      </c>
      <c r="BA849">
        <f t="shared" si="6036"/>
        <v>181152</v>
      </c>
      <c r="BB849">
        <f t="shared" si="6037"/>
        <v>7925.4000000000005</v>
      </c>
      <c r="BC849">
        <f t="shared" si="5697"/>
        <v>951048000.00000024</v>
      </c>
      <c r="BD849">
        <f t="shared" si="6038"/>
        <v>0.29411764705882354</v>
      </c>
      <c r="BE849" s="27">
        <f t="shared" si="5698"/>
        <v>2690864587.454401</v>
      </c>
      <c r="BF849" s="30">
        <f t="shared" si="6039"/>
        <v>0.52559999999999996</v>
      </c>
      <c r="BG849" s="27"/>
      <c r="BH849" s="27"/>
      <c r="BI849" s="27"/>
      <c r="CA849" s="20">
        <f t="shared" si="6040"/>
        <v>565</v>
      </c>
      <c r="CB849" s="20">
        <f t="shared" si="6041"/>
        <v>56500</v>
      </c>
    </row>
    <row r="850" spans="1:80" x14ac:dyDescent="0.15">
      <c r="A850">
        <v>9501</v>
      </c>
      <c r="B850" s="3" t="s">
        <v>108</v>
      </c>
      <c r="C850" s="4" t="s">
        <v>109</v>
      </c>
      <c r="D850" s="4" t="s">
        <v>110</v>
      </c>
      <c r="E850" s="5">
        <v>3</v>
      </c>
      <c r="F850" s="7" t="s">
        <v>141</v>
      </c>
      <c r="G850" s="5">
        <v>2.5</v>
      </c>
      <c r="H850" s="7" t="s">
        <v>194</v>
      </c>
      <c r="I850" s="5">
        <v>0</v>
      </c>
      <c r="J850" s="5">
        <v>0</v>
      </c>
      <c r="K850">
        <v>2</v>
      </c>
      <c r="L850">
        <v>1.5</v>
      </c>
      <c r="M850" s="5">
        <v>1.5</v>
      </c>
      <c r="N850" s="5">
        <v>10</v>
      </c>
      <c r="O850" s="5">
        <f t="shared" si="6021"/>
        <v>155606</v>
      </c>
      <c r="P850" s="5">
        <f t="shared" si="6022"/>
        <v>891072000</v>
      </c>
      <c r="Q850" s="5">
        <f t="shared" si="6023"/>
        <v>14851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70011</v>
      </c>
      <c r="X850" s="6" t="s">
        <v>179</v>
      </c>
      <c r="Y850" s="5">
        <v>300</v>
      </c>
      <c r="Z850" s="5">
        <v>1</v>
      </c>
      <c r="AA850" s="5">
        <v>556440877</v>
      </c>
      <c r="AB850" s="16" t="s">
        <v>111</v>
      </c>
      <c r="AC850" s="7" t="s">
        <v>112</v>
      </c>
      <c r="AD850" s="7" t="s">
        <v>112</v>
      </c>
      <c r="AE850" s="7" t="s">
        <v>112</v>
      </c>
      <c r="AF850" s="6" t="s">
        <v>113</v>
      </c>
      <c r="AG850" s="26" t="str">
        <f t="shared" ref="AG850" si="6127">CM$4</f>
        <v>4,33,28,33,6,4,33,28,33,6</v>
      </c>
      <c r="AH850" s="26" t="str">
        <f t="shared" ref="AH850" si="6128">CN$4</f>
        <v>0,8,0,8,1,0,8,0,8,1</v>
      </c>
      <c r="AI850" s="26" t="str">
        <f t="shared" ref="AI850" si="6129">CO$4</f>
        <v>0,0,0,0,1,0,0,0,0,1</v>
      </c>
      <c r="AJ850" s="26" t="str">
        <f t="shared" ref="AJ850" si="6130">CP$4</f>
        <v>0,0,0,0,5,0,0,0,0,5</v>
      </c>
      <c r="AK850" s="26" t="str">
        <f t="shared" ref="AK850" si="6131">CQ$4</f>
        <v>100,1,1000,2,5,200,1,1000,2,5</v>
      </c>
      <c r="AL850" s="26" t="str">
        <f t="shared" ref="AL850" si="6132">CR$4</f>
        <v>5,5,5,5,5,5,5,5,5,5</v>
      </c>
      <c r="AM850" s="7">
        <v>2001</v>
      </c>
      <c r="AO850">
        <f t="shared" ref="AO850" si="6133">AQ850*100+1</f>
        <v>9501</v>
      </c>
      <c r="AP850">
        <v>846</v>
      </c>
      <c r="AQ850">
        <f t="shared" si="6031"/>
        <v>95</v>
      </c>
      <c r="AR850">
        <v>14</v>
      </c>
      <c r="AS850" s="17">
        <f t="shared" si="6112"/>
        <v>510</v>
      </c>
      <c r="AT850">
        <v>13</v>
      </c>
      <c r="AU850">
        <f t="shared" si="6032"/>
        <v>38</v>
      </c>
      <c r="AV850">
        <v>150</v>
      </c>
      <c r="AW850">
        <f t="shared" si="6033"/>
        <v>155606.63039999999</v>
      </c>
      <c r="AX850">
        <f t="shared" si="5696"/>
        <v>891072000</v>
      </c>
      <c r="AY850">
        <f t="shared" si="6034"/>
        <v>14851.2</v>
      </c>
      <c r="AZ850">
        <f t="shared" si="6035"/>
        <v>29702.400000000001</v>
      </c>
      <c r="BA850">
        <f t="shared" si="6036"/>
        <v>169728</v>
      </c>
      <c r="BB850">
        <f t="shared" si="6037"/>
        <v>7425.6</v>
      </c>
      <c r="BC850">
        <f t="shared" si="5697"/>
        <v>891072000</v>
      </c>
      <c r="BD850">
        <f t="shared" si="6038"/>
        <v>0.29411764705882348</v>
      </c>
      <c r="BE850" s="27">
        <f t="shared" si="5698"/>
        <v>2362177694.8223996</v>
      </c>
      <c r="BF850" s="30">
        <f t="shared" si="6039"/>
        <v>0.52800000000000002</v>
      </c>
      <c r="BG850" s="27"/>
      <c r="BH850" s="27"/>
      <c r="BI850" s="27"/>
      <c r="CA850" s="20">
        <f t="shared" si="6040"/>
        <v>570</v>
      </c>
      <c r="CB850" s="20">
        <f t="shared" si="6041"/>
        <v>57000</v>
      </c>
    </row>
    <row r="851" spans="1:80" x14ac:dyDescent="0.15">
      <c r="A851">
        <v>9502</v>
      </c>
      <c r="B851" s="3" t="s">
        <v>115</v>
      </c>
      <c r="C851" s="4" t="s">
        <v>109</v>
      </c>
      <c r="D851" s="6" t="s">
        <v>110</v>
      </c>
      <c r="E851" s="5">
        <v>3</v>
      </c>
      <c r="F851" s="7" t="s">
        <v>142</v>
      </c>
      <c r="G851" s="5">
        <v>3</v>
      </c>
      <c r="H851" s="7" t="s">
        <v>188</v>
      </c>
      <c r="I851" s="5">
        <v>0</v>
      </c>
      <c r="J851" s="5">
        <v>0</v>
      </c>
      <c r="K851">
        <v>2</v>
      </c>
      <c r="L851">
        <v>1.5</v>
      </c>
      <c r="M851" s="5">
        <v>1.5</v>
      </c>
      <c r="N851" s="5">
        <v>10</v>
      </c>
      <c r="O851" s="5">
        <f t="shared" si="6021"/>
        <v>157102</v>
      </c>
      <c r="P851" s="5">
        <f t="shared" si="6022"/>
        <v>899640000</v>
      </c>
      <c r="Q851" s="5">
        <f t="shared" si="6023"/>
        <v>14994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70021</v>
      </c>
      <c r="X851" s="6" t="s">
        <v>180</v>
      </c>
      <c r="Y851" s="5">
        <v>300</v>
      </c>
      <c r="Z851" s="5">
        <v>1</v>
      </c>
      <c r="AA851" s="5">
        <v>485375315</v>
      </c>
      <c r="AB851" s="16" t="s">
        <v>111</v>
      </c>
      <c r="AC851" s="7" t="s">
        <v>112</v>
      </c>
      <c r="AD851" s="7" t="s">
        <v>112</v>
      </c>
      <c r="AE851" s="7" t="s">
        <v>112</v>
      </c>
      <c r="AF851" s="6" t="s">
        <v>113</v>
      </c>
      <c r="AG851" s="26" t="str">
        <f t="shared" ref="AG851" si="6134">CM$5</f>
        <v>4,33,28,33,6,4,33,28,33,6</v>
      </c>
      <c r="AH851" s="26" t="str">
        <f t="shared" ref="AH851" si="6135">CN$5</f>
        <v>0,7,0,7,1,0,7,0,7,1</v>
      </c>
      <c r="AI851" s="26" t="str">
        <f t="shared" ref="AI851" si="6136">CO$5</f>
        <v>0,0,0,0,1,0,0,0,0,1</v>
      </c>
      <c r="AJ851" s="26" t="str">
        <f t="shared" ref="AJ851" si="6137">CP$5</f>
        <v>0,0,0,0,5,0,0,0,0,5</v>
      </c>
      <c r="AK851" s="26" t="str">
        <f t="shared" ref="AK851" si="6138">CQ$5</f>
        <v>100,1,1000,2,5,200,1,1000,2,5</v>
      </c>
      <c r="AL851" s="26" t="str">
        <f t="shared" ref="AL851" si="6139">CR$5</f>
        <v>5,5,5,5,5,5,5,5,5,5</v>
      </c>
      <c r="AM851" s="7">
        <v>2001</v>
      </c>
      <c r="AO851">
        <f t="shared" ref="AO851" si="6140">AQ851*100+2</f>
        <v>9502</v>
      </c>
      <c r="AP851">
        <v>847</v>
      </c>
      <c r="AQ851">
        <f t="shared" si="6031"/>
        <v>95</v>
      </c>
      <c r="AR851">
        <v>14</v>
      </c>
      <c r="AS851" s="17">
        <f t="shared" si="6112"/>
        <v>515</v>
      </c>
      <c r="AT851">
        <v>13</v>
      </c>
      <c r="AU851">
        <f t="shared" si="6032"/>
        <v>38</v>
      </c>
      <c r="AV851">
        <v>150</v>
      </c>
      <c r="AW851">
        <f t="shared" si="6033"/>
        <v>157102.848</v>
      </c>
      <c r="AX851">
        <f t="shared" si="5696"/>
        <v>899640000</v>
      </c>
      <c r="AY851">
        <f t="shared" si="6034"/>
        <v>14994</v>
      </c>
      <c r="AZ851">
        <f t="shared" si="6035"/>
        <v>29988</v>
      </c>
      <c r="BA851">
        <f t="shared" si="6036"/>
        <v>171360</v>
      </c>
      <c r="BB851">
        <f t="shared" si="6037"/>
        <v>7497</v>
      </c>
      <c r="BC851">
        <f t="shared" si="5697"/>
        <v>899640000</v>
      </c>
      <c r="BD851">
        <f t="shared" si="6038"/>
        <v>0.29411764705882354</v>
      </c>
      <c r="BE851" s="27">
        <f t="shared" si="5698"/>
        <v>2407822585.5600004</v>
      </c>
      <c r="BF851" s="30">
        <f t="shared" si="6039"/>
        <v>0.52800000000000002</v>
      </c>
      <c r="BG851" s="27"/>
      <c r="BH851" s="27"/>
      <c r="BI851" s="27"/>
      <c r="CA851" s="20">
        <f t="shared" si="6040"/>
        <v>570</v>
      </c>
      <c r="CB851" s="20">
        <f t="shared" si="6041"/>
        <v>57000</v>
      </c>
    </row>
    <row r="852" spans="1:80" x14ac:dyDescent="0.15">
      <c r="A852">
        <v>9503</v>
      </c>
      <c r="B852" s="3" t="s">
        <v>117</v>
      </c>
      <c r="C852" s="4" t="s">
        <v>109</v>
      </c>
      <c r="D852" s="4" t="s">
        <v>110</v>
      </c>
      <c r="E852" s="5">
        <v>1</v>
      </c>
      <c r="F852" s="7" t="s">
        <v>144</v>
      </c>
      <c r="G852" s="5">
        <v>3</v>
      </c>
      <c r="H852" s="7" t="s">
        <v>189</v>
      </c>
      <c r="I852" s="5">
        <v>0</v>
      </c>
      <c r="J852" s="2">
        <v>0</v>
      </c>
      <c r="K852">
        <v>6</v>
      </c>
      <c r="L852">
        <v>1.5</v>
      </c>
      <c r="M852" s="5">
        <v>1.5</v>
      </c>
      <c r="N852" s="5">
        <v>10</v>
      </c>
      <c r="O852" s="5">
        <f t="shared" si="6021"/>
        <v>158599</v>
      </c>
      <c r="P852" s="5">
        <f t="shared" si="6022"/>
        <v>908208000</v>
      </c>
      <c r="Q852" s="5">
        <f t="shared" si="6023"/>
        <v>15136</v>
      </c>
      <c r="R852" s="5">
        <v>0</v>
      </c>
      <c r="S852" s="5">
        <v>0</v>
      </c>
      <c r="T852" s="5">
        <v>0</v>
      </c>
      <c r="U852" s="5">
        <v>0</v>
      </c>
      <c r="V852" s="5">
        <v>0</v>
      </c>
      <c r="W852" s="5">
        <v>70031</v>
      </c>
      <c r="X852" s="6" t="s">
        <v>181</v>
      </c>
      <c r="Y852" s="5">
        <v>300</v>
      </c>
      <c r="Z852" s="5">
        <v>1</v>
      </c>
      <c r="AA852" s="5">
        <v>495230400</v>
      </c>
      <c r="AB852" s="16" t="s">
        <v>111</v>
      </c>
      <c r="AC852" s="7" t="s">
        <v>112</v>
      </c>
      <c r="AD852" s="7" t="s">
        <v>112</v>
      </c>
      <c r="AE852" s="7" t="s">
        <v>112</v>
      </c>
      <c r="AF852" s="6" t="s">
        <v>113</v>
      </c>
      <c r="AG852" s="26" t="str">
        <f t="shared" ref="AG852" si="6141">CM$6</f>
        <v>4,28,6,28,6,4,28,6,28,6</v>
      </c>
      <c r="AH852" s="26" t="str">
        <f t="shared" ref="AH852" si="6142">CN$6</f>
        <v>0,0,1,0,1,0,0,1,0,1</v>
      </c>
      <c r="AI852" s="26" t="str">
        <f t="shared" ref="AI852" si="6143">CO$6</f>
        <v>0,0,0,0,1,0,0,0,0,1</v>
      </c>
      <c r="AJ852" s="26" t="str">
        <f t="shared" ref="AJ852" si="6144">CP$6</f>
        <v>0,0,5,0,5,0,0,5,0,5</v>
      </c>
      <c r="AK852" s="26" t="str">
        <f t="shared" ref="AK852" si="6145">CQ$6</f>
        <v>100,1000,5,1500,5,200,1000,5,1500,5</v>
      </c>
      <c r="AL852" s="26" t="str">
        <f t="shared" ref="AL852" si="6146">CR$6</f>
        <v>5,5,5,5,5,5,5,5,5,5</v>
      </c>
      <c r="AM852" s="7">
        <v>2001</v>
      </c>
      <c r="AO852">
        <f t="shared" ref="AO852" si="6147">AQ852*100+3</f>
        <v>9503</v>
      </c>
      <c r="AP852">
        <v>848</v>
      </c>
      <c r="AQ852">
        <f t="shared" si="6031"/>
        <v>95</v>
      </c>
      <c r="AR852">
        <v>14</v>
      </c>
      <c r="AS852" s="17">
        <f t="shared" si="6112"/>
        <v>520</v>
      </c>
      <c r="AT852">
        <v>13</v>
      </c>
      <c r="AU852">
        <f t="shared" si="6032"/>
        <v>38</v>
      </c>
      <c r="AV852">
        <v>150</v>
      </c>
      <c r="AW852">
        <f t="shared" si="6033"/>
        <v>158599.0656</v>
      </c>
      <c r="AX852">
        <f t="shared" si="5696"/>
        <v>908208000.00000012</v>
      </c>
      <c r="AY852">
        <f t="shared" si="6034"/>
        <v>15136.800000000001</v>
      </c>
      <c r="AZ852">
        <f t="shared" si="6035"/>
        <v>30273.600000000002</v>
      </c>
      <c r="BA852">
        <f t="shared" si="6036"/>
        <v>172992</v>
      </c>
      <c r="BB852">
        <f t="shared" si="6037"/>
        <v>7568.4000000000005</v>
      </c>
      <c r="BC852">
        <f t="shared" si="5697"/>
        <v>908208000.00000012</v>
      </c>
      <c r="BD852">
        <f t="shared" si="6038"/>
        <v>0.29411764705882354</v>
      </c>
      <c r="BE852" s="27">
        <f t="shared" si="5698"/>
        <v>2453904269.5104008</v>
      </c>
      <c r="BF852" s="30">
        <f t="shared" si="6039"/>
        <v>0.52800000000000002</v>
      </c>
      <c r="BG852" s="27"/>
      <c r="BH852" s="27"/>
      <c r="BI852" s="27"/>
      <c r="CA852" s="20">
        <f t="shared" si="6040"/>
        <v>570</v>
      </c>
      <c r="CB852" s="20">
        <f t="shared" si="6041"/>
        <v>57000</v>
      </c>
    </row>
    <row r="853" spans="1:80" x14ac:dyDescent="0.15">
      <c r="A853">
        <v>9504</v>
      </c>
      <c r="B853" s="3" t="s">
        <v>119</v>
      </c>
      <c r="C853" s="4" t="s">
        <v>109</v>
      </c>
      <c r="D853" s="6" t="s">
        <v>120</v>
      </c>
      <c r="E853" s="5">
        <v>3</v>
      </c>
      <c r="F853" s="7" t="s">
        <v>145</v>
      </c>
      <c r="G853" s="5">
        <v>3</v>
      </c>
      <c r="H853" s="7" t="s">
        <v>190</v>
      </c>
      <c r="I853" s="5">
        <v>0</v>
      </c>
      <c r="J853" s="5">
        <v>0</v>
      </c>
      <c r="K853">
        <v>2</v>
      </c>
      <c r="L853">
        <v>1.5</v>
      </c>
      <c r="M853" s="5">
        <v>1.5</v>
      </c>
      <c r="N853" s="5">
        <v>10</v>
      </c>
      <c r="O853" s="5">
        <f t="shared" si="6021"/>
        <v>160095</v>
      </c>
      <c r="P853" s="5">
        <f t="shared" si="6022"/>
        <v>916776000</v>
      </c>
      <c r="Q853" s="5">
        <f t="shared" si="6023"/>
        <v>15279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70041</v>
      </c>
      <c r="X853" s="6" t="s">
        <v>182</v>
      </c>
      <c r="Y853" s="5">
        <v>300</v>
      </c>
      <c r="Z853" s="5">
        <v>1</v>
      </c>
      <c r="AA853" s="5">
        <v>505184531</v>
      </c>
      <c r="AB853" s="16" t="s">
        <v>111</v>
      </c>
      <c r="AC853" s="7" t="s">
        <v>112</v>
      </c>
      <c r="AD853" s="7" t="s">
        <v>112</v>
      </c>
      <c r="AE853" s="7" t="s">
        <v>112</v>
      </c>
      <c r="AF853" s="6" t="s">
        <v>113</v>
      </c>
      <c r="AG853" s="26" t="str">
        <f t="shared" ref="AG853" si="6148">CM$7</f>
        <v>4,14,28,14,6,4,14,28,14,6</v>
      </c>
      <c r="AH853" s="26" t="str">
        <f t="shared" ref="AH853" si="6149">CN$7</f>
        <v>0,0,0,0,1,0,0,0,0,1</v>
      </c>
      <c r="AI853" s="26" t="str">
        <f t="shared" ref="AI853" si="6150">CO$7</f>
        <v>0,0,0,0,1,0,0,0,0,1</v>
      </c>
      <c r="AJ853" s="26" t="str">
        <f t="shared" ref="AJ853" si="6151">CP$7</f>
        <v>0,0,0,0,5,0,0,0,0,5</v>
      </c>
      <c r="AK853" s="26" t="str">
        <f t="shared" ref="AK853" si="6152">CQ$7</f>
        <v>100,1,1000,2,5,200,1,1000,2,5</v>
      </c>
      <c r="AL853" s="26" t="str">
        <f t="shared" ref="AL853" si="6153">CR$7</f>
        <v>5,5,5,5,5,5,5,5,5,5</v>
      </c>
      <c r="AM853" s="7">
        <v>2001</v>
      </c>
      <c r="AO853">
        <f t="shared" ref="AO853" si="6154">AQ853*100+4</f>
        <v>9504</v>
      </c>
      <c r="AP853">
        <v>849</v>
      </c>
      <c r="AQ853">
        <f t="shared" si="6031"/>
        <v>95</v>
      </c>
      <c r="AR853">
        <v>14</v>
      </c>
      <c r="AS853" s="17">
        <f t="shared" si="6112"/>
        <v>525</v>
      </c>
      <c r="AT853">
        <v>13</v>
      </c>
      <c r="AU853">
        <f t="shared" si="6032"/>
        <v>38</v>
      </c>
      <c r="AV853">
        <v>150</v>
      </c>
      <c r="AW853">
        <f t="shared" si="6033"/>
        <v>160095.28320000001</v>
      </c>
      <c r="AX853">
        <f t="shared" si="5696"/>
        <v>916776000</v>
      </c>
      <c r="AY853">
        <f t="shared" si="6034"/>
        <v>15279.6</v>
      </c>
      <c r="AZ853">
        <f t="shared" si="6035"/>
        <v>30559.200000000001</v>
      </c>
      <c r="BA853">
        <f t="shared" si="6036"/>
        <v>174624</v>
      </c>
      <c r="BB853">
        <f t="shared" si="6037"/>
        <v>7639.8</v>
      </c>
      <c r="BC853">
        <f t="shared" si="5697"/>
        <v>916776000</v>
      </c>
      <c r="BD853">
        <f t="shared" si="6038"/>
        <v>0.29411764705882348</v>
      </c>
      <c r="BE853" s="27">
        <f t="shared" si="5698"/>
        <v>2500422746.6736002</v>
      </c>
      <c r="BF853" s="30">
        <f t="shared" si="6039"/>
        <v>0.52800000000000002</v>
      </c>
      <c r="BG853" s="27"/>
      <c r="BH853" s="27"/>
      <c r="BI853" s="27"/>
      <c r="CA853" s="20">
        <f t="shared" si="6040"/>
        <v>570</v>
      </c>
      <c r="CB853" s="20">
        <f t="shared" si="6041"/>
        <v>57000</v>
      </c>
    </row>
    <row r="854" spans="1:80" x14ac:dyDescent="0.15">
      <c r="A854">
        <v>9505</v>
      </c>
      <c r="B854" s="3" t="s">
        <v>122</v>
      </c>
      <c r="C854" s="4" t="s">
        <v>109</v>
      </c>
      <c r="D854" s="4" t="s">
        <v>110</v>
      </c>
      <c r="E854" s="5">
        <v>2</v>
      </c>
      <c r="F854" s="7" t="s">
        <v>146</v>
      </c>
      <c r="G854" s="5">
        <v>3</v>
      </c>
      <c r="H854" s="7" t="s">
        <v>191</v>
      </c>
      <c r="I854" s="5">
        <v>0</v>
      </c>
      <c r="J854" s="7" t="s">
        <v>148</v>
      </c>
      <c r="K854">
        <v>6</v>
      </c>
      <c r="L854">
        <v>1.5</v>
      </c>
      <c r="M854" s="5">
        <v>1.5</v>
      </c>
      <c r="N854" s="5">
        <v>10</v>
      </c>
      <c r="O854" s="5">
        <f t="shared" si="6021"/>
        <v>161591</v>
      </c>
      <c r="P854" s="5">
        <f t="shared" si="6022"/>
        <v>925344000</v>
      </c>
      <c r="Q854" s="5">
        <f t="shared" si="6023"/>
        <v>15422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70051</v>
      </c>
      <c r="X854" s="6" t="s">
        <v>183</v>
      </c>
      <c r="Y854" s="5">
        <v>300</v>
      </c>
      <c r="Z854" s="5">
        <v>1</v>
      </c>
      <c r="AA854" s="5">
        <v>515237708</v>
      </c>
      <c r="AB854" s="16" t="s">
        <v>111</v>
      </c>
      <c r="AC854" s="7" t="s">
        <v>112</v>
      </c>
      <c r="AD854" s="7" t="s">
        <v>112</v>
      </c>
      <c r="AE854" s="7" t="s">
        <v>112</v>
      </c>
      <c r="AF854" s="6" t="s">
        <v>113</v>
      </c>
      <c r="AG854" s="26" t="str">
        <f t="shared" ref="AG854" si="6155">CM$8</f>
        <v>4,19,28,19,6,4,19,28,19,6</v>
      </c>
      <c r="AH854" s="26" t="str">
        <f t="shared" ref="AH854" si="6156">CN$8</f>
        <v>0,0,0,0,1,0,0,0,0,1</v>
      </c>
      <c r="AI854" s="26" t="str">
        <f t="shared" ref="AI854" si="6157">CO$8</f>
        <v>0,0,0,0,1,0,0,0,0,1</v>
      </c>
      <c r="AJ854" s="26" t="str">
        <f t="shared" ref="AJ854" si="6158">CP$8</f>
        <v>0,0,0,0,5,0,0,0,0,5</v>
      </c>
      <c r="AK854" s="26" t="str">
        <f t="shared" ref="AK854" si="6159">CQ$8</f>
        <v>200,100,1000,200,5,200,100,1000,200,5</v>
      </c>
      <c r="AL854" s="26" t="str">
        <f t="shared" ref="AL854" si="6160">CR$8</f>
        <v>5,5,5,5,5,5,5,5,5,5</v>
      </c>
      <c r="AM854" s="7">
        <v>2001</v>
      </c>
      <c r="AO854">
        <f t="shared" ref="AO854" si="6161">AQ854*100+5</f>
        <v>9505</v>
      </c>
      <c r="AP854">
        <v>850</v>
      </c>
      <c r="AQ854">
        <f t="shared" si="6031"/>
        <v>95</v>
      </c>
      <c r="AR854">
        <v>14</v>
      </c>
      <c r="AS854" s="17">
        <f t="shared" si="6112"/>
        <v>530</v>
      </c>
      <c r="AT854">
        <v>13</v>
      </c>
      <c r="AU854">
        <f t="shared" si="6032"/>
        <v>38</v>
      </c>
      <c r="AV854">
        <v>150</v>
      </c>
      <c r="AW854">
        <f t="shared" si="6033"/>
        <v>161591.50079999998</v>
      </c>
      <c r="AX854">
        <f t="shared" ref="AX854:AX903" si="6162">BC854</f>
        <v>925344000.00000024</v>
      </c>
      <c r="AY854">
        <f t="shared" si="6034"/>
        <v>15422.400000000001</v>
      </c>
      <c r="AZ854">
        <f t="shared" si="6035"/>
        <v>30844.800000000003</v>
      </c>
      <c r="BA854">
        <f t="shared" si="6036"/>
        <v>176256</v>
      </c>
      <c r="BB854">
        <f t="shared" si="6037"/>
        <v>7711.2000000000007</v>
      </c>
      <c r="BC854">
        <f t="shared" ref="BC854:BC903" si="6163">90/1.5*AZ854*(1/(1+AZ854/(5*BB854)))*6*AV854</f>
        <v>925344000.00000024</v>
      </c>
      <c r="BD854">
        <f t="shared" si="6038"/>
        <v>0.29411764705882348</v>
      </c>
      <c r="BE854" s="27">
        <f t="shared" ref="BE854:BE903" si="6164">BC854/10000/(1-BD854)/1*AZ854/L854*(1+0.1*0.5)*0.9*1</f>
        <v>2547378017.0496006</v>
      </c>
      <c r="BF854" s="30">
        <f t="shared" si="6039"/>
        <v>0.52800000000000002</v>
      </c>
      <c r="BG854" s="27"/>
      <c r="BH854" s="27"/>
      <c r="BI854" s="27"/>
      <c r="CA854" s="20">
        <f t="shared" si="6040"/>
        <v>570</v>
      </c>
      <c r="CB854" s="20">
        <f t="shared" si="6041"/>
        <v>57000</v>
      </c>
    </row>
    <row r="855" spans="1:80" x14ac:dyDescent="0.15">
      <c r="A855">
        <v>9506</v>
      </c>
      <c r="B855" s="3" t="s">
        <v>124</v>
      </c>
      <c r="C855" s="4" t="s">
        <v>109</v>
      </c>
      <c r="D855" s="6" t="s">
        <v>120</v>
      </c>
      <c r="E855" s="5">
        <v>1</v>
      </c>
      <c r="F855" s="7" t="s">
        <v>147</v>
      </c>
      <c r="G855" s="5">
        <v>3</v>
      </c>
      <c r="H855" s="7" t="s">
        <v>192</v>
      </c>
      <c r="I855" s="5">
        <v>0</v>
      </c>
      <c r="J855" s="7" t="s">
        <v>149</v>
      </c>
      <c r="K855">
        <v>6</v>
      </c>
      <c r="L855">
        <v>1.5</v>
      </c>
      <c r="M855" s="5">
        <v>1.5</v>
      </c>
      <c r="N855" s="5">
        <v>10</v>
      </c>
      <c r="O855" s="5">
        <f t="shared" si="6021"/>
        <v>163087</v>
      </c>
      <c r="P855" s="5">
        <f t="shared" si="6022"/>
        <v>933912000</v>
      </c>
      <c r="Q855" s="5">
        <f t="shared" si="6023"/>
        <v>15565</v>
      </c>
      <c r="R855" s="5">
        <v>0</v>
      </c>
      <c r="S855" s="5">
        <v>0</v>
      </c>
      <c r="T855" s="5">
        <v>0</v>
      </c>
      <c r="U855" s="5">
        <v>0</v>
      </c>
      <c r="V855" s="5">
        <v>0</v>
      </c>
      <c r="W855" s="5">
        <v>70061</v>
      </c>
      <c r="X855" s="6" t="s">
        <v>184</v>
      </c>
      <c r="Y855" s="5">
        <v>300</v>
      </c>
      <c r="Z855" s="5">
        <v>1</v>
      </c>
      <c r="AA855" s="5">
        <v>525389931</v>
      </c>
      <c r="AB855" s="16" t="s">
        <v>111</v>
      </c>
      <c r="AC855" s="7" t="s">
        <v>112</v>
      </c>
      <c r="AD855" s="7" t="s">
        <v>112</v>
      </c>
      <c r="AE855" s="7" t="s">
        <v>112</v>
      </c>
      <c r="AF855" s="6" t="s">
        <v>113</v>
      </c>
      <c r="AG855" s="26" t="str">
        <f t="shared" ref="AG855" si="6165">CM$9</f>
        <v>4,33,28,33,6,4,33,28,33,6</v>
      </c>
      <c r="AH855" s="26" t="str">
        <f t="shared" ref="AH855" si="6166">CN$9</f>
        <v>0,6,0,6,1,0,6,0,6,1</v>
      </c>
      <c r="AI855" s="26" t="str">
        <f t="shared" ref="AI855" si="6167">CO$9</f>
        <v>0,0,0,0,1,0,0,0,0,1</v>
      </c>
      <c r="AJ855" s="26" t="str">
        <f t="shared" ref="AJ855" si="6168">CP$9</f>
        <v>0,0,0,0,5,0,0,0,0,5</v>
      </c>
      <c r="AK855" s="26" t="str">
        <f t="shared" ref="AK855" si="6169">CQ$9</f>
        <v>200,1,1000,2,5,200,1,1000,2,5</v>
      </c>
      <c r="AL855" s="26" t="str">
        <f t="shared" ref="AL855" si="6170">CR$9</f>
        <v>5,5,5,5,5,5,5,5,5,5</v>
      </c>
      <c r="AM855" s="7">
        <v>2001</v>
      </c>
      <c r="AO855">
        <f t="shared" ref="AO855" si="6171">AQ855*100+6</f>
        <v>9506</v>
      </c>
      <c r="AP855">
        <v>851</v>
      </c>
      <c r="AQ855">
        <f t="shared" si="6031"/>
        <v>95</v>
      </c>
      <c r="AR855">
        <v>14</v>
      </c>
      <c r="AS855" s="17">
        <f t="shared" si="6112"/>
        <v>535</v>
      </c>
      <c r="AT855">
        <v>13</v>
      </c>
      <c r="AU855">
        <f t="shared" si="6032"/>
        <v>38</v>
      </c>
      <c r="AV855">
        <v>150</v>
      </c>
      <c r="AW855">
        <f t="shared" si="6033"/>
        <v>163087.71840000001</v>
      </c>
      <c r="AX855">
        <f t="shared" si="6162"/>
        <v>933912000</v>
      </c>
      <c r="AY855">
        <f t="shared" si="6034"/>
        <v>15565.2</v>
      </c>
      <c r="AZ855">
        <f t="shared" si="6035"/>
        <v>31130.400000000001</v>
      </c>
      <c r="BA855">
        <f t="shared" si="6036"/>
        <v>177888</v>
      </c>
      <c r="BB855">
        <f t="shared" si="6037"/>
        <v>7782.6</v>
      </c>
      <c r="BC855">
        <f t="shared" si="6163"/>
        <v>933912000</v>
      </c>
      <c r="BD855">
        <f t="shared" si="6038"/>
        <v>0.29411764705882348</v>
      </c>
      <c r="BE855" s="27">
        <f t="shared" si="6164"/>
        <v>2594770080.6384001</v>
      </c>
      <c r="BF855" s="30">
        <f t="shared" si="6039"/>
        <v>0.52800000000000002</v>
      </c>
      <c r="BG855" s="27"/>
      <c r="BH855" s="27"/>
      <c r="BI855" s="27"/>
      <c r="CA855" s="20">
        <f t="shared" si="6040"/>
        <v>570</v>
      </c>
      <c r="CB855" s="20">
        <f t="shared" si="6041"/>
        <v>57000</v>
      </c>
    </row>
    <row r="856" spans="1:80" x14ac:dyDescent="0.15">
      <c r="A856">
        <v>9507</v>
      </c>
      <c r="B856" s="3" t="s">
        <v>126</v>
      </c>
      <c r="C856" s="4" t="s">
        <v>109</v>
      </c>
      <c r="D856" s="4" t="s">
        <v>110</v>
      </c>
      <c r="E856" s="5">
        <v>2</v>
      </c>
      <c r="F856" s="7" t="s">
        <v>143</v>
      </c>
      <c r="G856" s="5">
        <v>3</v>
      </c>
      <c r="H856" s="7" t="s">
        <v>193</v>
      </c>
      <c r="I856" s="5">
        <v>0</v>
      </c>
      <c r="J856" s="5">
        <v>0</v>
      </c>
      <c r="K856">
        <v>2</v>
      </c>
      <c r="L856">
        <v>1.5</v>
      </c>
      <c r="M856" s="5">
        <v>1.5</v>
      </c>
      <c r="N856" s="5">
        <v>10</v>
      </c>
      <c r="O856" s="5">
        <f t="shared" si="6021"/>
        <v>164583</v>
      </c>
      <c r="P856" s="5">
        <f t="shared" si="6022"/>
        <v>942480000</v>
      </c>
      <c r="Q856" s="5">
        <f t="shared" si="6023"/>
        <v>15708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70071</v>
      </c>
      <c r="X856" s="6" t="s">
        <v>185</v>
      </c>
      <c r="Y856" s="5">
        <v>300</v>
      </c>
      <c r="Z856" s="5">
        <v>1</v>
      </c>
      <c r="AA856" s="5">
        <v>535641201</v>
      </c>
      <c r="AB856" s="16" t="s">
        <v>111</v>
      </c>
      <c r="AC856" s="7" t="s">
        <v>112</v>
      </c>
      <c r="AD856" s="7" t="s">
        <v>112</v>
      </c>
      <c r="AE856" s="7" t="s">
        <v>112</v>
      </c>
      <c r="AF856" s="6" t="s">
        <v>113</v>
      </c>
      <c r="AG856" s="26" t="str">
        <f t="shared" ref="AG856" si="6172">CM$10</f>
        <v>4,14,28,14,6,4,14,28,14,6</v>
      </c>
      <c r="AH856" s="26" t="str">
        <f t="shared" ref="AH856" si="6173">CN$10</f>
        <v>0,0,0,0,1,0,0,0,0,1</v>
      </c>
      <c r="AI856" s="26" t="str">
        <f t="shared" ref="AI856" si="6174">CO$10</f>
        <v>0,0,0,0,1,0,0,0,0,1</v>
      </c>
      <c r="AJ856" s="26" t="str">
        <f t="shared" ref="AJ856" si="6175">CP$10</f>
        <v>0,0,0,0,5,0,0,0,0,5</v>
      </c>
      <c r="AK856" s="26" t="str">
        <f t="shared" ref="AK856" si="6176">CQ$10</f>
        <v>200,1,1000,2,5,200,1,1000,2,5</v>
      </c>
      <c r="AL856" s="26" t="str">
        <f t="shared" ref="AL856" si="6177">CR$10</f>
        <v>5,5,5,5,5,5,5,5,5,5</v>
      </c>
      <c r="AM856" s="7">
        <v>2001</v>
      </c>
      <c r="AO856">
        <f t="shared" ref="AO856" si="6178">AQ856*100+7</f>
        <v>9507</v>
      </c>
      <c r="AP856">
        <v>852</v>
      </c>
      <c r="AQ856">
        <f t="shared" si="6031"/>
        <v>95</v>
      </c>
      <c r="AR856">
        <v>14</v>
      </c>
      <c r="AS856" s="17">
        <f t="shared" si="6112"/>
        <v>540</v>
      </c>
      <c r="AT856">
        <v>13</v>
      </c>
      <c r="AU856">
        <f t="shared" si="6032"/>
        <v>38</v>
      </c>
      <c r="AV856">
        <v>150</v>
      </c>
      <c r="AW856">
        <f t="shared" si="6033"/>
        <v>164583.93600000002</v>
      </c>
      <c r="AX856">
        <f t="shared" si="6162"/>
        <v>942480000</v>
      </c>
      <c r="AY856">
        <f t="shared" si="6034"/>
        <v>15708</v>
      </c>
      <c r="AZ856">
        <f t="shared" si="6035"/>
        <v>31416</v>
      </c>
      <c r="BA856">
        <f t="shared" si="6036"/>
        <v>179520</v>
      </c>
      <c r="BB856">
        <f t="shared" si="6037"/>
        <v>7854</v>
      </c>
      <c r="BC856">
        <f t="shared" si="6163"/>
        <v>942480000</v>
      </c>
      <c r="BD856">
        <f t="shared" si="6038"/>
        <v>0.29411764705882354</v>
      </c>
      <c r="BE856" s="27">
        <f t="shared" si="6164"/>
        <v>2642598937.4400001</v>
      </c>
      <c r="BF856" s="30">
        <f t="shared" si="6039"/>
        <v>0.52800000000000002</v>
      </c>
      <c r="BG856" s="27"/>
      <c r="BH856" s="27"/>
      <c r="BI856" s="27"/>
      <c r="CA856" s="20">
        <f t="shared" si="6040"/>
        <v>570</v>
      </c>
      <c r="CB856" s="20">
        <f t="shared" si="6041"/>
        <v>57000</v>
      </c>
    </row>
    <row r="857" spans="1:80" x14ac:dyDescent="0.15">
      <c r="A857">
        <v>9508</v>
      </c>
      <c r="B857" s="3" t="s">
        <v>128</v>
      </c>
      <c r="C857" s="4" t="s">
        <v>109</v>
      </c>
      <c r="D857" s="4" t="s">
        <v>110</v>
      </c>
      <c r="E857" s="5">
        <v>5</v>
      </c>
      <c r="F857" s="7" t="s">
        <v>129</v>
      </c>
      <c r="G857" s="5">
        <v>2</v>
      </c>
      <c r="H857" s="7" t="s">
        <v>130</v>
      </c>
      <c r="I857" s="5">
        <v>0</v>
      </c>
      <c r="J857" s="5">
        <v>0</v>
      </c>
      <c r="K857">
        <v>2</v>
      </c>
      <c r="L857">
        <v>1.5</v>
      </c>
      <c r="M857" s="5">
        <v>1.5</v>
      </c>
      <c r="N857" s="5">
        <v>10</v>
      </c>
      <c r="O857" s="5">
        <f t="shared" si="6021"/>
        <v>166080</v>
      </c>
      <c r="P857" s="5">
        <f t="shared" si="6022"/>
        <v>951048000</v>
      </c>
      <c r="Q857" s="5">
        <f t="shared" si="6023"/>
        <v>15850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70081</v>
      </c>
      <c r="X857" s="6" t="s">
        <v>186</v>
      </c>
      <c r="Y857" s="5">
        <v>300</v>
      </c>
      <c r="Z857" s="5">
        <v>1</v>
      </c>
      <c r="AA857" s="5">
        <v>545991516</v>
      </c>
      <c r="AB857" s="16" t="s">
        <v>111</v>
      </c>
      <c r="AC857" s="7" t="s">
        <v>112</v>
      </c>
      <c r="AD857" s="7" t="s">
        <v>112</v>
      </c>
      <c r="AE857" s="7" t="s">
        <v>112</v>
      </c>
      <c r="AF857" s="6" t="s">
        <v>113</v>
      </c>
      <c r="AG857" s="26" t="str">
        <f t="shared" ref="AG857" si="6179">CM$11</f>
        <v>4,28,6,28,6,4,28,6,28,6</v>
      </c>
      <c r="AH857" s="26" t="str">
        <f t="shared" ref="AH857" si="6180">CN$11</f>
        <v>0,0,1,0,1,0,0,1,0,1</v>
      </c>
      <c r="AI857" s="26" t="str">
        <f t="shared" ref="AI857" si="6181">CO$11</f>
        <v>0,0,1,0,1,0,0,1,0,1</v>
      </c>
      <c r="AJ857" s="26" t="str">
        <f t="shared" ref="AJ857" si="6182">CP$11</f>
        <v>0,0,5,0,5,0,0,5,0,5</v>
      </c>
      <c r="AK857" s="26" t="str">
        <f t="shared" ref="AK857" si="6183">CQ$11</f>
        <v>100,1000,5,1500,5,200,1000,5,1500,5</v>
      </c>
      <c r="AL857" s="26" t="str">
        <f t="shared" ref="AL857" si="6184">CR$11</f>
        <v>5,5,5,5,5,5,5,5,5,5</v>
      </c>
      <c r="AM857" s="7">
        <v>2001</v>
      </c>
      <c r="AO857">
        <f t="shared" ref="AO857" si="6185">AQ857*100+8</f>
        <v>9508</v>
      </c>
      <c r="AP857">
        <v>853</v>
      </c>
      <c r="AQ857">
        <f t="shared" si="6031"/>
        <v>95</v>
      </c>
      <c r="AR857">
        <v>14</v>
      </c>
      <c r="AS857" s="17">
        <f t="shared" si="6112"/>
        <v>545</v>
      </c>
      <c r="AT857">
        <v>13</v>
      </c>
      <c r="AU857">
        <f t="shared" si="6032"/>
        <v>38</v>
      </c>
      <c r="AV857">
        <v>150</v>
      </c>
      <c r="AW857">
        <f t="shared" si="6033"/>
        <v>166080.15359999999</v>
      </c>
      <c r="AX857">
        <f t="shared" si="6162"/>
        <v>951048000.00000024</v>
      </c>
      <c r="AY857">
        <f t="shared" si="6034"/>
        <v>15850.800000000001</v>
      </c>
      <c r="AZ857">
        <f t="shared" si="6035"/>
        <v>31701.600000000002</v>
      </c>
      <c r="BA857">
        <f t="shared" si="6036"/>
        <v>181152</v>
      </c>
      <c r="BB857">
        <f t="shared" si="6037"/>
        <v>7925.4000000000005</v>
      </c>
      <c r="BC857">
        <f t="shared" si="6163"/>
        <v>951048000.00000024</v>
      </c>
      <c r="BD857">
        <f t="shared" si="6038"/>
        <v>0.29411764705882354</v>
      </c>
      <c r="BE857" s="27">
        <f t="shared" si="6164"/>
        <v>2690864587.454401</v>
      </c>
      <c r="BF857" s="30">
        <f t="shared" si="6039"/>
        <v>0.52800000000000002</v>
      </c>
      <c r="BG857" s="27"/>
      <c r="BH857" s="27"/>
      <c r="BI857" s="27"/>
      <c r="CA857" s="20">
        <f t="shared" si="6040"/>
        <v>570</v>
      </c>
      <c r="CB857" s="20">
        <f t="shared" si="6041"/>
        <v>57000</v>
      </c>
    </row>
    <row r="858" spans="1:80" x14ac:dyDescent="0.15">
      <c r="A858">
        <v>9509</v>
      </c>
      <c r="B858" s="3" t="s">
        <v>132</v>
      </c>
      <c r="C858" s="4" t="s">
        <v>109</v>
      </c>
      <c r="D858" s="4" t="s">
        <v>110</v>
      </c>
      <c r="E858" s="5">
        <v>5</v>
      </c>
      <c r="F858" s="7" t="s">
        <v>140</v>
      </c>
      <c r="G858" s="5">
        <v>3</v>
      </c>
      <c r="H858" s="7" t="s">
        <v>140</v>
      </c>
      <c r="I858" s="5">
        <v>0</v>
      </c>
      <c r="J858" s="7">
        <v>0</v>
      </c>
      <c r="K858">
        <v>6</v>
      </c>
      <c r="L858">
        <v>1.5</v>
      </c>
      <c r="M858" s="5">
        <v>1.5</v>
      </c>
      <c r="N858" s="5">
        <v>10</v>
      </c>
      <c r="O858" s="5">
        <f t="shared" si="6021"/>
        <v>167576</v>
      </c>
      <c r="P858" s="5">
        <f t="shared" si="6022"/>
        <v>959616000</v>
      </c>
      <c r="Q858" s="5">
        <f t="shared" si="6023"/>
        <v>15993</v>
      </c>
      <c r="R858" s="5">
        <v>0</v>
      </c>
      <c r="S858" s="5">
        <v>0</v>
      </c>
      <c r="T858" s="5">
        <v>0</v>
      </c>
      <c r="U858" s="5">
        <v>0</v>
      </c>
      <c r="V858" s="5">
        <v>0</v>
      </c>
      <c r="W858" s="5">
        <v>70091</v>
      </c>
      <c r="X858" s="6" t="s">
        <v>187</v>
      </c>
      <c r="Y858" s="5">
        <v>300</v>
      </c>
      <c r="Z858" s="5">
        <v>1</v>
      </c>
      <c r="AA858" s="5">
        <v>556440877</v>
      </c>
      <c r="AB858" s="16" t="s">
        <v>111</v>
      </c>
      <c r="AC858" s="7" t="s">
        <v>112</v>
      </c>
      <c r="AD858" s="7" t="s">
        <v>112</v>
      </c>
      <c r="AE858" s="7" t="s">
        <v>112</v>
      </c>
      <c r="AF858" s="6" t="s">
        <v>113</v>
      </c>
      <c r="AG858" s="26" t="str">
        <f t="shared" ref="AG858" si="6186">CM$12</f>
        <v>4,33,28,33,6,4,33,28,33,6</v>
      </c>
      <c r="AH858" s="26" t="str">
        <f t="shared" ref="AH858" si="6187">CN$12</f>
        <v>0,5,0,5,1,0,5,0,5,1</v>
      </c>
      <c r="AI858" s="26" t="str">
        <f t="shared" ref="AI858" si="6188">CO$12</f>
        <v>0,0,0,0,1,0,0,0,0,1</v>
      </c>
      <c r="AJ858" s="26" t="str">
        <f t="shared" ref="AJ858" si="6189">CP$12</f>
        <v>0,0,0,0,5,0,0,0,0,5</v>
      </c>
      <c r="AK858" s="26" t="str">
        <f t="shared" ref="AK858" si="6190">CQ$12</f>
        <v>100,1,1000,2,5,200,1,1000,2,5</v>
      </c>
      <c r="AL858" s="26" t="str">
        <f t="shared" ref="AL858" si="6191">CR$12</f>
        <v>5,5,5,5,5,5,5,5,5,5</v>
      </c>
      <c r="AM858" s="7">
        <v>2001</v>
      </c>
      <c r="AO858">
        <f t="shared" ref="AO858" si="6192">AQ858*100+9</f>
        <v>9509</v>
      </c>
      <c r="AP858">
        <v>854</v>
      </c>
      <c r="AQ858">
        <f t="shared" si="6031"/>
        <v>95</v>
      </c>
      <c r="AR858">
        <v>14</v>
      </c>
      <c r="AS858" s="17">
        <f t="shared" si="6112"/>
        <v>550</v>
      </c>
      <c r="AT858">
        <v>13</v>
      </c>
      <c r="AU858">
        <f t="shared" si="6032"/>
        <v>38</v>
      </c>
      <c r="AV858">
        <v>150</v>
      </c>
      <c r="AW858">
        <f t="shared" si="6033"/>
        <v>167576.37119999999</v>
      </c>
      <c r="AX858">
        <f t="shared" si="6162"/>
        <v>959616000</v>
      </c>
      <c r="AY858">
        <f t="shared" si="6034"/>
        <v>15993.6</v>
      </c>
      <c r="AZ858">
        <f t="shared" si="6035"/>
        <v>31987.200000000001</v>
      </c>
      <c r="BA858">
        <f t="shared" si="6036"/>
        <v>182784</v>
      </c>
      <c r="BB858">
        <f t="shared" si="6037"/>
        <v>7996.8</v>
      </c>
      <c r="BC858">
        <f t="shared" si="6163"/>
        <v>959616000</v>
      </c>
      <c r="BD858">
        <f t="shared" si="6038"/>
        <v>0.29411764705882348</v>
      </c>
      <c r="BE858" s="27">
        <f t="shared" si="6164"/>
        <v>2739567030.6816006</v>
      </c>
      <c r="BF858" s="30">
        <f t="shared" si="6039"/>
        <v>0.52800000000000002</v>
      </c>
      <c r="BG858" s="27"/>
      <c r="BH858" s="27"/>
      <c r="BI858" s="27"/>
      <c r="CA858" s="20">
        <f t="shared" si="6040"/>
        <v>570</v>
      </c>
      <c r="CB858" s="20">
        <f t="shared" si="6041"/>
        <v>57000</v>
      </c>
    </row>
    <row r="859" spans="1:80" x14ac:dyDescent="0.15">
      <c r="A859">
        <v>9601</v>
      </c>
      <c r="B859" s="3" t="s">
        <v>108</v>
      </c>
      <c r="C859" s="4" t="s">
        <v>109</v>
      </c>
      <c r="D859" s="4" t="s">
        <v>110</v>
      </c>
      <c r="E859" s="5">
        <v>3</v>
      </c>
      <c r="F859" s="7" t="s">
        <v>141</v>
      </c>
      <c r="G859" s="5">
        <v>2.5</v>
      </c>
      <c r="H859" s="7" t="s">
        <v>194</v>
      </c>
      <c r="I859" s="5">
        <v>0</v>
      </c>
      <c r="J859" s="5">
        <v>0</v>
      </c>
      <c r="K859">
        <v>2</v>
      </c>
      <c r="L859">
        <v>1.5</v>
      </c>
      <c r="M859" s="5">
        <v>1.5</v>
      </c>
      <c r="N859" s="5">
        <v>10</v>
      </c>
      <c r="O859" s="5">
        <f t="shared" si="6021"/>
        <v>157349</v>
      </c>
      <c r="P859" s="5">
        <f t="shared" si="6022"/>
        <v>899640000</v>
      </c>
      <c r="Q859" s="5">
        <f t="shared" si="6023"/>
        <v>14994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70011</v>
      </c>
      <c r="X859" s="6" t="s">
        <v>179</v>
      </c>
      <c r="Y859" s="5">
        <v>300</v>
      </c>
      <c r="Z859" s="5">
        <v>1</v>
      </c>
      <c r="AA859" s="5">
        <v>566989285</v>
      </c>
      <c r="AB859" s="16" t="s">
        <v>111</v>
      </c>
      <c r="AC859" s="7" t="s">
        <v>112</v>
      </c>
      <c r="AD859" s="7" t="s">
        <v>112</v>
      </c>
      <c r="AE859" s="7" t="s">
        <v>112</v>
      </c>
      <c r="AF859" s="6" t="s">
        <v>113</v>
      </c>
      <c r="AG859" s="26" t="str">
        <f t="shared" ref="AG859" si="6193">CM$4</f>
        <v>4,33,28,33,6,4,33,28,33,6</v>
      </c>
      <c r="AH859" s="26" t="str">
        <f t="shared" ref="AH859" si="6194">CN$4</f>
        <v>0,8,0,8,1,0,8,0,8,1</v>
      </c>
      <c r="AI859" s="26" t="str">
        <f t="shared" ref="AI859" si="6195">CO$4</f>
        <v>0,0,0,0,1,0,0,0,0,1</v>
      </c>
      <c r="AJ859" s="26" t="str">
        <f t="shared" ref="AJ859" si="6196">CP$4</f>
        <v>0,0,0,0,5,0,0,0,0,5</v>
      </c>
      <c r="AK859" s="26" t="str">
        <f t="shared" ref="AK859" si="6197">CQ$4</f>
        <v>100,1,1000,2,5,200,1,1000,2,5</v>
      </c>
      <c r="AL859" s="26" t="str">
        <f t="shared" ref="AL859" si="6198">CR$4</f>
        <v>5,5,5,5,5,5,5,5,5,5</v>
      </c>
      <c r="AM859" s="7">
        <v>2001</v>
      </c>
      <c r="AO859">
        <f t="shared" ref="AO859" si="6199">AQ859*100+1</f>
        <v>9601</v>
      </c>
      <c r="AP859">
        <v>855</v>
      </c>
      <c r="AQ859">
        <f t="shared" si="6031"/>
        <v>96</v>
      </c>
      <c r="AR859">
        <v>14</v>
      </c>
      <c r="AS859" s="17">
        <f t="shared" si="6112"/>
        <v>515</v>
      </c>
      <c r="AT859">
        <v>13</v>
      </c>
      <c r="AU859">
        <f t="shared" si="6032"/>
        <v>38</v>
      </c>
      <c r="AV859">
        <v>150</v>
      </c>
      <c r="AW859">
        <f t="shared" si="6033"/>
        <v>157349.60639999999</v>
      </c>
      <c r="AX859">
        <f t="shared" si="6162"/>
        <v>899640000</v>
      </c>
      <c r="AY859">
        <f t="shared" si="6034"/>
        <v>14994</v>
      </c>
      <c r="AZ859">
        <f t="shared" si="6035"/>
        <v>29988</v>
      </c>
      <c r="BA859">
        <f t="shared" si="6036"/>
        <v>171360</v>
      </c>
      <c r="BB859">
        <f t="shared" si="6037"/>
        <v>7497</v>
      </c>
      <c r="BC859">
        <f t="shared" si="6163"/>
        <v>899640000</v>
      </c>
      <c r="BD859">
        <f t="shared" si="6038"/>
        <v>0.29411764705882354</v>
      </c>
      <c r="BE859" s="27">
        <f t="shared" si="6164"/>
        <v>2407822585.5600004</v>
      </c>
      <c r="BF859" s="30">
        <f t="shared" si="6039"/>
        <v>0.53039999999999998</v>
      </c>
      <c r="BG859" s="27"/>
      <c r="BH859" s="27"/>
      <c r="BI859" s="27"/>
      <c r="CA859" s="20">
        <f t="shared" si="6040"/>
        <v>575</v>
      </c>
      <c r="CB859" s="20">
        <f t="shared" si="6041"/>
        <v>57500</v>
      </c>
    </row>
    <row r="860" spans="1:80" x14ac:dyDescent="0.15">
      <c r="A860">
        <v>9602</v>
      </c>
      <c r="B860" s="3" t="s">
        <v>115</v>
      </c>
      <c r="C860" s="4" t="s">
        <v>109</v>
      </c>
      <c r="D860" s="6" t="s">
        <v>110</v>
      </c>
      <c r="E860" s="5">
        <v>3</v>
      </c>
      <c r="F860" s="7" t="s">
        <v>142</v>
      </c>
      <c r="G860" s="5">
        <v>3</v>
      </c>
      <c r="H860" s="7" t="s">
        <v>188</v>
      </c>
      <c r="I860" s="5">
        <v>0</v>
      </c>
      <c r="J860" s="5">
        <v>0</v>
      </c>
      <c r="K860">
        <v>2</v>
      </c>
      <c r="L860">
        <v>1.5</v>
      </c>
      <c r="M860" s="5">
        <v>1.5</v>
      </c>
      <c r="N860" s="5">
        <v>10</v>
      </c>
      <c r="O860" s="5">
        <f t="shared" si="6021"/>
        <v>158848</v>
      </c>
      <c r="P860" s="5">
        <f t="shared" si="6022"/>
        <v>908208000</v>
      </c>
      <c r="Q860" s="5">
        <f t="shared" si="6023"/>
        <v>15136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70021</v>
      </c>
      <c r="X860" s="6" t="s">
        <v>180</v>
      </c>
      <c r="Y860" s="5">
        <v>300</v>
      </c>
      <c r="Z860" s="5">
        <v>1</v>
      </c>
      <c r="AA860" s="5">
        <v>495230400</v>
      </c>
      <c r="AB860" s="16" t="s">
        <v>111</v>
      </c>
      <c r="AC860" s="7" t="s">
        <v>112</v>
      </c>
      <c r="AD860" s="7" t="s">
        <v>112</v>
      </c>
      <c r="AE860" s="7" t="s">
        <v>112</v>
      </c>
      <c r="AF860" s="6" t="s">
        <v>113</v>
      </c>
      <c r="AG860" s="26" t="str">
        <f t="shared" ref="AG860" si="6200">CM$5</f>
        <v>4,33,28,33,6,4,33,28,33,6</v>
      </c>
      <c r="AH860" s="26" t="str">
        <f t="shared" ref="AH860" si="6201">CN$5</f>
        <v>0,7,0,7,1,0,7,0,7,1</v>
      </c>
      <c r="AI860" s="26" t="str">
        <f t="shared" ref="AI860" si="6202">CO$5</f>
        <v>0,0,0,0,1,0,0,0,0,1</v>
      </c>
      <c r="AJ860" s="26" t="str">
        <f t="shared" ref="AJ860" si="6203">CP$5</f>
        <v>0,0,0,0,5,0,0,0,0,5</v>
      </c>
      <c r="AK860" s="26" t="str">
        <f t="shared" ref="AK860" si="6204">CQ$5</f>
        <v>100,1,1000,2,5,200,1,1000,2,5</v>
      </c>
      <c r="AL860" s="26" t="str">
        <f t="shared" ref="AL860" si="6205">CR$5</f>
        <v>5,5,5,5,5,5,5,5,5,5</v>
      </c>
      <c r="AM860" s="7">
        <v>2001</v>
      </c>
      <c r="AO860">
        <f t="shared" ref="AO860" si="6206">AQ860*100+2</f>
        <v>9602</v>
      </c>
      <c r="AP860">
        <v>856</v>
      </c>
      <c r="AQ860">
        <f t="shared" si="6031"/>
        <v>96</v>
      </c>
      <c r="AR860">
        <v>14</v>
      </c>
      <c r="AS860" s="17">
        <f t="shared" si="6112"/>
        <v>520</v>
      </c>
      <c r="AT860">
        <v>13</v>
      </c>
      <c r="AU860">
        <f t="shared" si="6032"/>
        <v>38</v>
      </c>
      <c r="AV860">
        <v>150</v>
      </c>
      <c r="AW860">
        <f t="shared" si="6033"/>
        <v>158848.17408</v>
      </c>
      <c r="AX860">
        <f t="shared" si="6162"/>
        <v>908208000.00000012</v>
      </c>
      <c r="AY860">
        <f t="shared" si="6034"/>
        <v>15136.800000000001</v>
      </c>
      <c r="AZ860">
        <f t="shared" si="6035"/>
        <v>30273.600000000002</v>
      </c>
      <c r="BA860">
        <f t="shared" si="6036"/>
        <v>172992</v>
      </c>
      <c r="BB860">
        <f t="shared" si="6037"/>
        <v>7568.4000000000005</v>
      </c>
      <c r="BC860">
        <f t="shared" si="6163"/>
        <v>908208000.00000012</v>
      </c>
      <c r="BD860">
        <f t="shared" si="6038"/>
        <v>0.29411764705882354</v>
      </c>
      <c r="BE860" s="27">
        <f t="shared" si="6164"/>
        <v>2453904269.5104008</v>
      </c>
      <c r="BF860" s="30">
        <f t="shared" si="6039"/>
        <v>0.53039999999999998</v>
      </c>
      <c r="BG860" s="27"/>
      <c r="BH860" s="27"/>
      <c r="BI860" s="27"/>
      <c r="CA860" s="20">
        <f t="shared" si="6040"/>
        <v>575</v>
      </c>
      <c r="CB860" s="20">
        <f t="shared" si="6041"/>
        <v>57500</v>
      </c>
    </row>
    <row r="861" spans="1:80" x14ac:dyDescent="0.15">
      <c r="A861">
        <v>9603</v>
      </c>
      <c r="B861" s="3" t="s">
        <v>117</v>
      </c>
      <c r="C861" s="4" t="s">
        <v>109</v>
      </c>
      <c r="D861" s="4" t="s">
        <v>110</v>
      </c>
      <c r="E861" s="5">
        <v>1</v>
      </c>
      <c r="F861" s="7" t="s">
        <v>144</v>
      </c>
      <c r="G861" s="5">
        <v>3</v>
      </c>
      <c r="H861" s="7" t="s">
        <v>189</v>
      </c>
      <c r="I861" s="5">
        <v>0</v>
      </c>
      <c r="J861" s="2">
        <v>0</v>
      </c>
      <c r="K861">
        <v>6</v>
      </c>
      <c r="L861">
        <v>1.5</v>
      </c>
      <c r="M861" s="5">
        <v>1.5</v>
      </c>
      <c r="N861" s="5">
        <v>10</v>
      </c>
      <c r="O861" s="5">
        <f t="shared" si="6021"/>
        <v>160346</v>
      </c>
      <c r="P861" s="5">
        <f t="shared" si="6022"/>
        <v>916776000</v>
      </c>
      <c r="Q861" s="5">
        <f t="shared" si="6023"/>
        <v>15279</v>
      </c>
      <c r="R861" s="5">
        <v>0</v>
      </c>
      <c r="S861" s="5">
        <v>0</v>
      </c>
      <c r="T861" s="5">
        <v>0</v>
      </c>
      <c r="U861" s="5">
        <v>0</v>
      </c>
      <c r="V861" s="5">
        <v>0</v>
      </c>
      <c r="W861" s="5">
        <v>70031</v>
      </c>
      <c r="X861" s="6" t="s">
        <v>181</v>
      </c>
      <c r="Y861" s="5">
        <v>300</v>
      </c>
      <c r="Z861" s="5">
        <v>1</v>
      </c>
      <c r="AA861" s="5">
        <v>505184531</v>
      </c>
      <c r="AB861" s="16" t="s">
        <v>111</v>
      </c>
      <c r="AC861" s="7" t="s">
        <v>112</v>
      </c>
      <c r="AD861" s="7" t="s">
        <v>112</v>
      </c>
      <c r="AE861" s="7" t="s">
        <v>112</v>
      </c>
      <c r="AF861" s="6" t="s">
        <v>113</v>
      </c>
      <c r="AG861" s="26" t="str">
        <f t="shared" ref="AG861" si="6207">CM$6</f>
        <v>4,28,6,28,6,4,28,6,28,6</v>
      </c>
      <c r="AH861" s="26" t="str">
        <f t="shared" ref="AH861" si="6208">CN$6</f>
        <v>0,0,1,0,1,0,0,1,0,1</v>
      </c>
      <c r="AI861" s="26" t="str">
        <f t="shared" ref="AI861" si="6209">CO$6</f>
        <v>0,0,0,0,1,0,0,0,0,1</v>
      </c>
      <c r="AJ861" s="26" t="str">
        <f t="shared" ref="AJ861" si="6210">CP$6</f>
        <v>0,0,5,0,5,0,0,5,0,5</v>
      </c>
      <c r="AK861" s="26" t="str">
        <f t="shared" ref="AK861" si="6211">CQ$6</f>
        <v>100,1000,5,1500,5,200,1000,5,1500,5</v>
      </c>
      <c r="AL861" s="26" t="str">
        <f t="shared" ref="AL861" si="6212">CR$6</f>
        <v>5,5,5,5,5,5,5,5,5,5</v>
      </c>
      <c r="AM861" s="7">
        <v>2001</v>
      </c>
      <c r="AO861">
        <f t="shared" ref="AO861" si="6213">AQ861*100+3</f>
        <v>9603</v>
      </c>
      <c r="AP861">
        <v>857</v>
      </c>
      <c r="AQ861">
        <f t="shared" si="6031"/>
        <v>96</v>
      </c>
      <c r="AR861">
        <v>14</v>
      </c>
      <c r="AS861" s="17">
        <f t="shared" si="6112"/>
        <v>525</v>
      </c>
      <c r="AT861">
        <v>13</v>
      </c>
      <c r="AU861">
        <f t="shared" si="6032"/>
        <v>38</v>
      </c>
      <c r="AV861">
        <v>150</v>
      </c>
      <c r="AW861">
        <f t="shared" si="6033"/>
        <v>160346.74175999998</v>
      </c>
      <c r="AX861">
        <f t="shared" si="6162"/>
        <v>916776000</v>
      </c>
      <c r="AY861">
        <f t="shared" si="6034"/>
        <v>15279.6</v>
      </c>
      <c r="AZ861">
        <f t="shared" si="6035"/>
        <v>30559.200000000001</v>
      </c>
      <c r="BA861">
        <f t="shared" si="6036"/>
        <v>174624</v>
      </c>
      <c r="BB861">
        <f t="shared" si="6037"/>
        <v>7639.8</v>
      </c>
      <c r="BC861">
        <f t="shared" si="6163"/>
        <v>916776000</v>
      </c>
      <c r="BD861">
        <f t="shared" si="6038"/>
        <v>0.29411764705882348</v>
      </c>
      <c r="BE861" s="27">
        <f t="shared" si="6164"/>
        <v>2500422746.6736002</v>
      </c>
      <c r="BF861" s="30">
        <f t="shared" si="6039"/>
        <v>0.53039999999999998</v>
      </c>
      <c r="BG861" s="27"/>
      <c r="BH861" s="27"/>
      <c r="BI861" s="27"/>
      <c r="CA861" s="20">
        <f t="shared" si="6040"/>
        <v>575</v>
      </c>
      <c r="CB861" s="20">
        <f t="shared" si="6041"/>
        <v>57500</v>
      </c>
    </row>
    <row r="862" spans="1:80" x14ac:dyDescent="0.15">
      <c r="A862">
        <v>9604</v>
      </c>
      <c r="B862" s="3" t="s">
        <v>119</v>
      </c>
      <c r="C862" s="4" t="s">
        <v>109</v>
      </c>
      <c r="D862" s="6" t="s">
        <v>120</v>
      </c>
      <c r="E862" s="5">
        <v>3</v>
      </c>
      <c r="F862" s="7" t="s">
        <v>145</v>
      </c>
      <c r="G862" s="5">
        <v>3</v>
      </c>
      <c r="H862" s="7" t="s">
        <v>190</v>
      </c>
      <c r="I862" s="5">
        <v>0</v>
      </c>
      <c r="J862" s="5">
        <v>0</v>
      </c>
      <c r="K862">
        <v>2</v>
      </c>
      <c r="L862">
        <v>1.5</v>
      </c>
      <c r="M862" s="5">
        <v>1.5</v>
      </c>
      <c r="N862" s="5">
        <v>10</v>
      </c>
      <c r="O862" s="5">
        <f t="shared" si="6021"/>
        <v>161845</v>
      </c>
      <c r="P862" s="5">
        <f t="shared" si="6022"/>
        <v>925344000</v>
      </c>
      <c r="Q862" s="5">
        <f t="shared" si="6023"/>
        <v>15422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70041</v>
      </c>
      <c r="X862" s="6" t="s">
        <v>182</v>
      </c>
      <c r="Y862" s="5">
        <v>300</v>
      </c>
      <c r="Z862" s="5">
        <v>1</v>
      </c>
      <c r="AA862" s="5">
        <v>515237708</v>
      </c>
      <c r="AB862" s="16" t="s">
        <v>111</v>
      </c>
      <c r="AC862" s="7" t="s">
        <v>112</v>
      </c>
      <c r="AD862" s="7" t="s">
        <v>112</v>
      </c>
      <c r="AE862" s="7" t="s">
        <v>112</v>
      </c>
      <c r="AF862" s="6" t="s">
        <v>113</v>
      </c>
      <c r="AG862" s="26" t="str">
        <f t="shared" ref="AG862" si="6214">CM$7</f>
        <v>4,14,28,14,6,4,14,28,14,6</v>
      </c>
      <c r="AH862" s="26" t="str">
        <f t="shared" ref="AH862" si="6215">CN$7</f>
        <v>0,0,0,0,1,0,0,0,0,1</v>
      </c>
      <c r="AI862" s="26" t="str">
        <f t="shared" ref="AI862" si="6216">CO$7</f>
        <v>0,0,0,0,1,0,0,0,0,1</v>
      </c>
      <c r="AJ862" s="26" t="str">
        <f t="shared" ref="AJ862" si="6217">CP$7</f>
        <v>0,0,0,0,5,0,0,0,0,5</v>
      </c>
      <c r="AK862" s="26" t="str">
        <f t="shared" ref="AK862" si="6218">CQ$7</f>
        <v>100,1,1000,2,5,200,1,1000,2,5</v>
      </c>
      <c r="AL862" s="26" t="str">
        <f t="shared" ref="AL862" si="6219">CR$7</f>
        <v>5,5,5,5,5,5,5,5,5,5</v>
      </c>
      <c r="AM862" s="7">
        <v>2001</v>
      </c>
      <c r="AO862">
        <f t="shared" ref="AO862" si="6220">AQ862*100+4</f>
        <v>9604</v>
      </c>
      <c r="AP862">
        <v>858</v>
      </c>
      <c r="AQ862">
        <f t="shared" si="6031"/>
        <v>96</v>
      </c>
      <c r="AR862">
        <v>14</v>
      </c>
      <c r="AS862" s="17">
        <f t="shared" si="6112"/>
        <v>530</v>
      </c>
      <c r="AT862">
        <v>13</v>
      </c>
      <c r="AU862">
        <f t="shared" si="6032"/>
        <v>38</v>
      </c>
      <c r="AV862">
        <v>150</v>
      </c>
      <c r="AW862">
        <f t="shared" si="6033"/>
        <v>161845.30943999998</v>
      </c>
      <c r="AX862">
        <f t="shared" si="6162"/>
        <v>925344000.00000024</v>
      </c>
      <c r="AY862">
        <f t="shared" si="6034"/>
        <v>15422.400000000001</v>
      </c>
      <c r="AZ862">
        <f t="shared" si="6035"/>
        <v>30844.800000000003</v>
      </c>
      <c r="BA862">
        <f t="shared" si="6036"/>
        <v>176256</v>
      </c>
      <c r="BB862">
        <f t="shared" si="6037"/>
        <v>7711.2000000000007</v>
      </c>
      <c r="BC862">
        <f t="shared" si="6163"/>
        <v>925344000.00000024</v>
      </c>
      <c r="BD862">
        <f t="shared" si="6038"/>
        <v>0.29411764705882348</v>
      </c>
      <c r="BE862" s="27">
        <f t="shared" si="6164"/>
        <v>2547378017.0496006</v>
      </c>
      <c r="BF862" s="30">
        <f t="shared" si="6039"/>
        <v>0.53039999999999998</v>
      </c>
      <c r="BG862" s="27"/>
      <c r="BH862" s="27"/>
      <c r="BI862" s="27"/>
      <c r="CA862" s="20">
        <f t="shared" si="6040"/>
        <v>575</v>
      </c>
      <c r="CB862" s="20">
        <f t="shared" si="6041"/>
        <v>57500</v>
      </c>
    </row>
    <row r="863" spans="1:80" x14ac:dyDescent="0.15">
      <c r="A863">
        <v>9605</v>
      </c>
      <c r="B863" s="3" t="s">
        <v>122</v>
      </c>
      <c r="C863" s="4" t="s">
        <v>109</v>
      </c>
      <c r="D863" s="4" t="s">
        <v>110</v>
      </c>
      <c r="E863" s="5">
        <v>2</v>
      </c>
      <c r="F863" s="7" t="s">
        <v>146</v>
      </c>
      <c r="G863" s="5">
        <v>3</v>
      </c>
      <c r="H863" s="7" t="s">
        <v>191</v>
      </c>
      <c r="I863" s="5">
        <v>0</v>
      </c>
      <c r="J863" s="7" t="s">
        <v>148</v>
      </c>
      <c r="K863">
        <v>6</v>
      </c>
      <c r="L863">
        <v>1.5</v>
      </c>
      <c r="M863" s="5">
        <v>1.5</v>
      </c>
      <c r="N863" s="5">
        <v>10</v>
      </c>
      <c r="O863" s="5">
        <f t="shared" si="6021"/>
        <v>163343</v>
      </c>
      <c r="P863" s="5">
        <f t="shared" si="6022"/>
        <v>933912000</v>
      </c>
      <c r="Q863" s="5">
        <f t="shared" si="6023"/>
        <v>15565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70051</v>
      </c>
      <c r="X863" s="6" t="s">
        <v>183</v>
      </c>
      <c r="Y863" s="5">
        <v>300</v>
      </c>
      <c r="Z863" s="5">
        <v>1</v>
      </c>
      <c r="AA863" s="5">
        <v>525389931</v>
      </c>
      <c r="AB863" s="16" t="s">
        <v>111</v>
      </c>
      <c r="AC863" s="7" t="s">
        <v>112</v>
      </c>
      <c r="AD863" s="7" t="s">
        <v>112</v>
      </c>
      <c r="AE863" s="7" t="s">
        <v>112</v>
      </c>
      <c r="AF863" s="6" t="s">
        <v>113</v>
      </c>
      <c r="AG863" s="26" t="str">
        <f t="shared" ref="AG863" si="6221">CM$8</f>
        <v>4,19,28,19,6,4,19,28,19,6</v>
      </c>
      <c r="AH863" s="26" t="str">
        <f t="shared" ref="AH863" si="6222">CN$8</f>
        <v>0,0,0,0,1,0,0,0,0,1</v>
      </c>
      <c r="AI863" s="26" t="str">
        <f t="shared" ref="AI863" si="6223">CO$8</f>
        <v>0,0,0,0,1,0,0,0,0,1</v>
      </c>
      <c r="AJ863" s="26" t="str">
        <f t="shared" ref="AJ863" si="6224">CP$8</f>
        <v>0,0,0,0,5,0,0,0,0,5</v>
      </c>
      <c r="AK863" s="26" t="str">
        <f t="shared" ref="AK863" si="6225">CQ$8</f>
        <v>200,100,1000,200,5,200,100,1000,200,5</v>
      </c>
      <c r="AL863" s="26" t="str">
        <f t="shared" ref="AL863" si="6226">CR$8</f>
        <v>5,5,5,5,5,5,5,5,5,5</v>
      </c>
      <c r="AM863" s="7">
        <v>2001</v>
      </c>
      <c r="AO863">
        <f t="shared" ref="AO863" si="6227">AQ863*100+5</f>
        <v>9605</v>
      </c>
      <c r="AP863">
        <v>859</v>
      </c>
      <c r="AQ863">
        <f t="shared" si="6031"/>
        <v>96</v>
      </c>
      <c r="AR863">
        <v>14</v>
      </c>
      <c r="AS863" s="17">
        <f t="shared" si="6112"/>
        <v>535</v>
      </c>
      <c r="AT863">
        <v>13</v>
      </c>
      <c r="AU863">
        <f t="shared" si="6032"/>
        <v>38</v>
      </c>
      <c r="AV863">
        <v>150</v>
      </c>
      <c r="AW863">
        <f t="shared" si="6033"/>
        <v>163343.87711999999</v>
      </c>
      <c r="AX863">
        <f t="shared" si="6162"/>
        <v>933912000</v>
      </c>
      <c r="AY863">
        <f t="shared" si="6034"/>
        <v>15565.2</v>
      </c>
      <c r="AZ863">
        <f t="shared" si="6035"/>
        <v>31130.400000000001</v>
      </c>
      <c r="BA863">
        <f t="shared" si="6036"/>
        <v>177888</v>
      </c>
      <c r="BB863">
        <f t="shared" si="6037"/>
        <v>7782.6</v>
      </c>
      <c r="BC863">
        <f t="shared" si="6163"/>
        <v>933912000</v>
      </c>
      <c r="BD863">
        <f t="shared" si="6038"/>
        <v>0.29411764705882348</v>
      </c>
      <c r="BE863" s="27">
        <f t="shared" si="6164"/>
        <v>2594770080.6384001</v>
      </c>
      <c r="BF863" s="30">
        <f t="shared" si="6039"/>
        <v>0.53039999999999998</v>
      </c>
      <c r="BG863" s="27"/>
      <c r="BH863" s="27"/>
      <c r="BI863" s="27"/>
      <c r="CA863" s="20">
        <f t="shared" si="6040"/>
        <v>575</v>
      </c>
      <c r="CB863" s="20">
        <f t="shared" si="6041"/>
        <v>57500</v>
      </c>
    </row>
    <row r="864" spans="1:80" x14ac:dyDescent="0.15">
      <c r="A864">
        <v>9606</v>
      </c>
      <c r="B864" s="3" t="s">
        <v>124</v>
      </c>
      <c r="C864" s="4" t="s">
        <v>109</v>
      </c>
      <c r="D864" s="6" t="s">
        <v>120</v>
      </c>
      <c r="E864" s="5">
        <v>1</v>
      </c>
      <c r="F864" s="7" t="s">
        <v>147</v>
      </c>
      <c r="G864" s="5">
        <v>3</v>
      </c>
      <c r="H864" s="7" t="s">
        <v>192</v>
      </c>
      <c r="I864" s="5">
        <v>0</v>
      </c>
      <c r="J864" s="7" t="s">
        <v>149</v>
      </c>
      <c r="K864">
        <v>6</v>
      </c>
      <c r="L864">
        <v>1.5</v>
      </c>
      <c r="M864" s="5">
        <v>1.5</v>
      </c>
      <c r="N864" s="5">
        <v>10</v>
      </c>
      <c r="O864" s="5">
        <f t="shared" si="6021"/>
        <v>164842</v>
      </c>
      <c r="P864" s="5">
        <f t="shared" si="6022"/>
        <v>942480000</v>
      </c>
      <c r="Q864" s="5">
        <f t="shared" si="6023"/>
        <v>15708</v>
      </c>
      <c r="R864" s="5">
        <v>0</v>
      </c>
      <c r="S864" s="5">
        <v>0</v>
      </c>
      <c r="T864" s="5">
        <v>0</v>
      </c>
      <c r="U864" s="5">
        <v>0</v>
      </c>
      <c r="V864" s="5">
        <v>0</v>
      </c>
      <c r="W864" s="5">
        <v>70061</v>
      </c>
      <c r="X864" s="6" t="s">
        <v>184</v>
      </c>
      <c r="Y864" s="5">
        <v>300</v>
      </c>
      <c r="Z864" s="5">
        <v>1</v>
      </c>
      <c r="AA864" s="5">
        <v>535641201</v>
      </c>
      <c r="AB864" s="16" t="s">
        <v>111</v>
      </c>
      <c r="AC864" s="7" t="s">
        <v>112</v>
      </c>
      <c r="AD864" s="7" t="s">
        <v>112</v>
      </c>
      <c r="AE864" s="7" t="s">
        <v>112</v>
      </c>
      <c r="AF864" s="6" t="s">
        <v>113</v>
      </c>
      <c r="AG864" s="26" t="str">
        <f t="shared" ref="AG864" si="6228">CM$9</f>
        <v>4,33,28,33,6,4,33,28,33,6</v>
      </c>
      <c r="AH864" s="26" t="str">
        <f t="shared" ref="AH864" si="6229">CN$9</f>
        <v>0,6,0,6,1,0,6,0,6,1</v>
      </c>
      <c r="AI864" s="26" t="str">
        <f t="shared" ref="AI864" si="6230">CO$9</f>
        <v>0,0,0,0,1,0,0,0,0,1</v>
      </c>
      <c r="AJ864" s="26" t="str">
        <f t="shared" ref="AJ864" si="6231">CP$9</f>
        <v>0,0,0,0,5,0,0,0,0,5</v>
      </c>
      <c r="AK864" s="26" t="str">
        <f t="shared" ref="AK864" si="6232">CQ$9</f>
        <v>200,1,1000,2,5,200,1,1000,2,5</v>
      </c>
      <c r="AL864" s="26" t="str">
        <f t="shared" ref="AL864" si="6233">CR$9</f>
        <v>5,5,5,5,5,5,5,5,5,5</v>
      </c>
      <c r="AM864" s="7">
        <v>2001</v>
      </c>
      <c r="AO864">
        <f t="shared" ref="AO864" si="6234">AQ864*100+6</f>
        <v>9606</v>
      </c>
      <c r="AP864">
        <v>860</v>
      </c>
      <c r="AQ864">
        <f t="shared" si="6031"/>
        <v>96</v>
      </c>
      <c r="AR864">
        <v>14</v>
      </c>
      <c r="AS864" s="17">
        <f t="shared" si="6112"/>
        <v>540</v>
      </c>
      <c r="AT864">
        <v>13</v>
      </c>
      <c r="AU864">
        <f t="shared" si="6032"/>
        <v>38</v>
      </c>
      <c r="AV864">
        <v>150</v>
      </c>
      <c r="AW864">
        <f t="shared" si="6033"/>
        <v>164842.4448</v>
      </c>
      <c r="AX864">
        <f t="shared" si="6162"/>
        <v>942480000</v>
      </c>
      <c r="AY864">
        <f t="shared" si="6034"/>
        <v>15708</v>
      </c>
      <c r="AZ864">
        <f t="shared" si="6035"/>
        <v>31416</v>
      </c>
      <c r="BA864">
        <f t="shared" si="6036"/>
        <v>179520</v>
      </c>
      <c r="BB864">
        <f t="shared" si="6037"/>
        <v>7854</v>
      </c>
      <c r="BC864">
        <f t="shared" si="6163"/>
        <v>942480000</v>
      </c>
      <c r="BD864">
        <f t="shared" si="6038"/>
        <v>0.29411764705882354</v>
      </c>
      <c r="BE864" s="27">
        <f t="shared" si="6164"/>
        <v>2642598937.4400001</v>
      </c>
      <c r="BF864" s="30">
        <f t="shared" si="6039"/>
        <v>0.53039999999999998</v>
      </c>
      <c r="BG864" s="27"/>
      <c r="BH864" s="27"/>
      <c r="BI864" s="27"/>
      <c r="CA864" s="20">
        <f t="shared" si="6040"/>
        <v>575</v>
      </c>
      <c r="CB864" s="20">
        <f t="shared" si="6041"/>
        <v>57500</v>
      </c>
    </row>
    <row r="865" spans="1:80" x14ac:dyDescent="0.15">
      <c r="A865">
        <v>9607</v>
      </c>
      <c r="B865" s="3" t="s">
        <v>126</v>
      </c>
      <c r="C865" s="4" t="s">
        <v>109</v>
      </c>
      <c r="D865" s="4" t="s">
        <v>110</v>
      </c>
      <c r="E865" s="5">
        <v>2</v>
      </c>
      <c r="F865" s="7" t="s">
        <v>143</v>
      </c>
      <c r="G865" s="5">
        <v>3</v>
      </c>
      <c r="H865" s="7" t="s">
        <v>193</v>
      </c>
      <c r="I865" s="5">
        <v>0</v>
      </c>
      <c r="J865" s="5">
        <v>0</v>
      </c>
      <c r="K865">
        <v>2</v>
      </c>
      <c r="L865">
        <v>1.5</v>
      </c>
      <c r="M865" s="5">
        <v>1.5</v>
      </c>
      <c r="N865" s="5">
        <v>10</v>
      </c>
      <c r="O865" s="5">
        <f t="shared" si="6021"/>
        <v>166341</v>
      </c>
      <c r="P865" s="5">
        <f t="shared" si="6022"/>
        <v>951048000</v>
      </c>
      <c r="Q865" s="5">
        <f t="shared" si="6023"/>
        <v>15850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70071</v>
      </c>
      <c r="X865" s="6" t="s">
        <v>185</v>
      </c>
      <c r="Y865" s="5">
        <v>300</v>
      </c>
      <c r="Z865" s="5">
        <v>1</v>
      </c>
      <c r="AA865" s="5">
        <v>545991516</v>
      </c>
      <c r="AB865" s="16" t="s">
        <v>111</v>
      </c>
      <c r="AC865" s="7" t="s">
        <v>112</v>
      </c>
      <c r="AD865" s="7" t="s">
        <v>112</v>
      </c>
      <c r="AE865" s="7" t="s">
        <v>112</v>
      </c>
      <c r="AF865" s="6" t="s">
        <v>113</v>
      </c>
      <c r="AG865" s="26" t="str">
        <f t="shared" ref="AG865" si="6235">CM$10</f>
        <v>4,14,28,14,6,4,14,28,14,6</v>
      </c>
      <c r="AH865" s="26" t="str">
        <f t="shared" ref="AH865" si="6236">CN$10</f>
        <v>0,0,0,0,1,0,0,0,0,1</v>
      </c>
      <c r="AI865" s="26" t="str">
        <f t="shared" ref="AI865" si="6237">CO$10</f>
        <v>0,0,0,0,1,0,0,0,0,1</v>
      </c>
      <c r="AJ865" s="26" t="str">
        <f t="shared" ref="AJ865" si="6238">CP$10</f>
        <v>0,0,0,0,5,0,0,0,0,5</v>
      </c>
      <c r="AK865" s="26" t="str">
        <f t="shared" ref="AK865" si="6239">CQ$10</f>
        <v>200,1,1000,2,5,200,1,1000,2,5</v>
      </c>
      <c r="AL865" s="26" t="str">
        <f t="shared" ref="AL865" si="6240">CR$10</f>
        <v>5,5,5,5,5,5,5,5,5,5</v>
      </c>
      <c r="AM865" s="7">
        <v>2001</v>
      </c>
      <c r="AO865">
        <f t="shared" ref="AO865" si="6241">AQ865*100+7</f>
        <v>9607</v>
      </c>
      <c r="AP865">
        <v>861</v>
      </c>
      <c r="AQ865">
        <f t="shared" si="6031"/>
        <v>96</v>
      </c>
      <c r="AR865">
        <v>14</v>
      </c>
      <c r="AS865" s="17">
        <f t="shared" si="6112"/>
        <v>545</v>
      </c>
      <c r="AT865">
        <v>13</v>
      </c>
      <c r="AU865">
        <f t="shared" si="6032"/>
        <v>38</v>
      </c>
      <c r="AV865">
        <v>150</v>
      </c>
      <c r="AW865">
        <f t="shared" si="6033"/>
        <v>166341.01248</v>
      </c>
      <c r="AX865">
        <f t="shared" si="6162"/>
        <v>951048000.00000024</v>
      </c>
      <c r="AY865">
        <f t="shared" si="6034"/>
        <v>15850.800000000001</v>
      </c>
      <c r="AZ865">
        <f t="shared" si="6035"/>
        <v>31701.600000000002</v>
      </c>
      <c r="BA865">
        <f t="shared" si="6036"/>
        <v>181152</v>
      </c>
      <c r="BB865">
        <f t="shared" si="6037"/>
        <v>7925.4000000000005</v>
      </c>
      <c r="BC865">
        <f t="shared" si="6163"/>
        <v>951048000.00000024</v>
      </c>
      <c r="BD865">
        <f t="shared" si="6038"/>
        <v>0.29411764705882354</v>
      </c>
      <c r="BE865" s="27">
        <f t="shared" si="6164"/>
        <v>2690864587.454401</v>
      </c>
      <c r="BF865" s="30">
        <f t="shared" si="6039"/>
        <v>0.53039999999999998</v>
      </c>
      <c r="BG865" s="27"/>
      <c r="BH865" s="27"/>
      <c r="BI865" s="27"/>
      <c r="CA865" s="20">
        <f t="shared" si="6040"/>
        <v>575</v>
      </c>
      <c r="CB865" s="20">
        <f t="shared" si="6041"/>
        <v>57500</v>
      </c>
    </row>
    <row r="866" spans="1:80" x14ac:dyDescent="0.15">
      <c r="A866">
        <v>9608</v>
      </c>
      <c r="B866" s="3" t="s">
        <v>128</v>
      </c>
      <c r="C866" s="4" t="s">
        <v>109</v>
      </c>
      <c r="D866" s="4" t="s">
        <v>110</v>
      </c>
      <c r="E866" s="5">
        <v>5</v>
      </c>
      <c r="F866" s="7" t="s">
        <v>129</v>
      </c>
      <c r="G866" s="5">
        <v>2</v>
      </c>
      <c r="H866" s="7" t="s">
        <v>130</v>
      </c>
      <c r="I866" s="5">
        <v>0</v>
      </c>
      <c r="J866" s="5">
        <v>0</v>
      </c>
      <c r="K866">
        <v>2</v>
      </c>
      <c r="L866">
        <v>1.5</v>
      </c>
      <c r="M866" s="5">
        <v>1.5</v>
      </c>
      <c r="N866" s="5">
        <v>10</v>
      </c>
      <c r="O866" s="5">
        <f t="shared" si="6021"/>
        <v>167839</v>
      </c>
      <c r="P866" s="5">
        <f t="shared" si="6022"/>
        <v>959616000</v>
      </c>
      <c r="Q866" s="5">
        <f t="shared" si="6023"/>
        <v>15993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70081</v>
      </c>
      <c r="X866" s="6" t="s">
        <v>186</v>
      </c>
      <c r="Y866" s="5">
        <v>300</v>
      </c>
      <c r="Z866" s="5">
        <v>1</v>
      </c>
      <c r="AA866" s="5">
        <v>556440877</v>
      </c>
      <c r="AB866" s="16" t="s">
        <v>111</v>
      </c>
      <c r="AC866" s="7" t="s">
        <v>112</v>
      </c>
      <c r="AD866" s="7" t="s">
        <v>112</v>
      </c>
      <c r="AE866" s="7" t="s">
        <v>112</v>
      </c>
      <c r="AF866" s="6" t="s">
        <v>113</v>
      </c>
      <c r="AG866" s="26" t="str">
        <f t="shared" ref="AG866" si="6242">CM$11</f>
        <v>4,28,6,28,6,4,28,6,28,6</v>
      </c>
      <c r="AH866" s="26" t="str">
        <f t="shared" ref="AH866" si="6243">CN$11</f>
        <v>0,0,1,0,1,0,0,1,0,1</v>
      </c>
      <c r="AI866" s="26" t="str">
        <f t="shared" ref="AI866" si="6244">CO$11</f>
        <v>0,0,1,0,1,0,0,1,0,1</v>
      </c>
      <c r="AJ866" s="26" t="str">
        <f t="shared" ref="AJ866" si="6245">CP$11</f>
        <v>0,0,5,0,5,0,0,5,0,5</v>
      </c>
      <c r="AK866" s="26" t="str">
        <f t="shared" ref="AK866" si="6246">CQ$11</f>
        <v>100,1000,5,1500,5,200,1000,5,1500,5</v>
      </c>
      <c r="AL866" s="26" t="str">
        <f t="shared" ref="AL866" si="6247">CR$11</f>
        <v>5,5,5,5,5,5,5,5,5,5</v>
      </c>
      <c r="AM866" s="7">
        <v>2001</v>
      </c>
      <c r="AO866">
        <f t="shared" ref="AO866" si="6248">AQ866*100+8</f>
        <v>9608</v>
      </c>
      <c r="AP866">
        <v>862</v>
      </c>
      <c r="AQ866">
        <f t="shared" si="6031"/>
        <v>96</v>
      </c>
      <c r="AR866">
        <v>14</v>
      </c>
      <c r="AS866" s="17">
        <f t="shared" si="6112"/>
        <v>550</v>
      </c>
      <c r="AT866">
        <v>13</v>
      </c>
      <c r="AU866">
        <f t="shared" si="6032"/>
        <v>38</v>
      </c>
      <c r="AV866">
        <v>150</v>
      </c>
      <c r="AW866">
        <f t="shared" si="6033"/>
        <v>167839.58015999998</v>
      </c>
      <c r="AX866">
        <f t="shared" si="6162"/>
        <v>959616000</v>
      </c>
      <c r="AY866">
        <f t="shared" si="6034"/>
        <v>15993.6</v>
      </c>
      <c r="AZ866">
        <f t="shared" si="6035"/>
        <v>31987.200000000001</v>
      </c>
      <c r="BA866">
        <f t="shared" si="6036"/>
        <v>182784</v>
      </c>
      <c r="BB866">
        <f t="shared" si="6037"/>
        <v>7996.8</v>
      </c>
      <c r="BC866">
        <f t="shared" si="6163"/>
        <v>959616000</v>
      </c>
      <c r="BD866">
        <f t="shared" si="6038"/>
        <v>0.29411764705882348</v>
      </c>
      <c r="BE866" s="27">
        <f t="shared" si="6164"/>
        <v>2739567030.6816006</v>
      </c>
      <c r="BF866" s="30">
        <f t="shared" si="6039"/>
        <v>0.53039999999999998</v>
      </c>
      <c r="BG866" s="27"/>
      <c r="BH866" s="27"/>
      <c r="BI866" s="27"/>
      <c r="CA866" s="20">
        <f t="shared" si="6040"/>
        <v>575</v>
      </c>
      <c r="CB866" s="20">
        <f t="shared" si="6041"/>
        <v>57500</v>
      </c>
    </row>
    <row r="867" spans="1:80" x14ac:dyDescent="0.15">
      <c r="A867">
        <v>9609</v>
      </c>
      <c r="B867" s="3" t="s">
        <v>132</v>
      </c>
      <c r="C867" s="4" t="s">
        <v>109</v>
      </c>
      <c r="D867" s="4" t="s">
        <v>110</v>
      </c>
      <c r="E867" s="5">
        <v>5</v>
      </c>
      <c r="F867" s="7" t="s">
        <v>140</v>
      </c>
      <c r="G867" s="5">
        <v>3</v>
      </c>
      <c r="H867" s="7" t="s">
        <v>140</v>
      </c>
      <c r="I867" s="5">
        <v>0</v>
      </c>
      <c r="J867" s="7">
        <v>0</v>
      </c>
      <c r="K867">
        <v>6</v>
      </c>
      <c r="L867">
        <v>1.5</v>
      </c>
      <c r="M867" s="5">
        <v>1.5</v>
      </c>
      <c r="N867" s="5">
        <v>10</v>
      </c>
      <c r="O867" s="5">
        <f t="shared" si="6021"/>
        <v>169338</v>
      </c>
      <c r="P867" s="5">
        <f t="shared" si="6022"/>
        <v>968184000</v>
      </c>
      <c r="Q867" s="5">
        <f t="shared" si="6023"/>
        <v>16136</v>
      </c>
      <c r="R867" s="5">
        <v>0</v>
      </c>
      <c r="S867" s="5">
        <v>0</v>
      </c>
      <c r="T867" s="5">
        <v>0</v>
      </c>
      <c r="U867" s="5">
        <v>0</v>
      </c>
      <c r="V867" s="5">
        <v>0</v>
      </c>
      <c r="W867" s="5">
        <v>70091</v>
      </c>
      <c r="X867" s="6" t="s">
        <v>187</v>
      </c>
      <c r="Y867" s="5">
        <v>300</v>
      </c>
      <c r="Z867" s="5">
        <v>1</v>
      </c>
      <c r="AA867" s="5">
        <v>566989285</v>
      </c>
      <c r="AB867" s="16" t="s">
        <v>111</v>
      </c>
      <c r="AC867" s="7" t="s">
        <v>112</v>
      </c>
      <c r="AD867" s="7" t="s">
        <v>112</v>
      </c>
      <c r="AE867" s="7" t="s">
        <v>112</v>
      </c>
      <c r="AF867" s="6" t="s">
        <v>113</v>
      </c>
      <c r="AG867" s="26" t="str">
        <f t="shared" ref="AG867" si="6249">CM$12</f>
        <v>4,33,28,33,6,4,33,28,33,6</v>
      </c>
      <c r="AH867" s="26" t="str">
        <f t="shared" ref="AH867" si="6250">CN$12</f>
        <v>0,5,0,5,1,0,5,0,5,1</v>
      </c>
      <c r="AI867" s="26" t="str">
        <f t="shared" ref="AI867" si="6251">CO$12</f>
        <v>0,0,0,0,1,0,0,0,0,1</v>
      </c>
      <c r="AJ867" s="26" t="str">
        <f t="shared" ref="AJ867" si="6252">CP$12</f>
        <v>0,0,0,0,5,0,0,0,0,5</v>
      </c>
      <c r="AK867" s="26" t="str">
        <f t="shared" ref="AK867" si="6253">CQ$12</f>
        <v>100,1,1000,2,5,200,1,1000,2,5</v>
      </c>
      <c r="AL867" s="26" t="str">
        <f t="shared" ref="AL867" si="6254">CR$12</f>
        <v>5,5,5,5,5,5,5,5,5,5</v>
      </c>
      <c r="AM867" s="7">
        <v>2001</v>
      </c>
      <c r="AO867">
        <f t="shared" ref="AO867" si="6255">AQ867*100+9</f>
        <v>9609</v>
      </c>
      <c r="AP867">
        <v>863</v>
      </c>
      <c r="AQ867">
        <f t="shared" si="6031"/>
        <v>96</v>
      </c>
      <c r="AR867">
        <v>14</v>
      </c>
      <c r="AS867" s="17">
        <f t="shared" si="6112"/>
        <v>555</v>
      </c>
      <c r="AT867">
        <v>13</v>
      </c>
      <c r="AU867">
        <f t="shared" si="6032"/>
        <v>38</v>
      </c>
      <c r="AV867">
        <v>150</v>
      </c>
      <c r="AW867">
        <f t="shared" si="6033"/>
        <v>169338.14783999999</v>
      </c>
      <c r="AX867">
        <f t="shared" si="6162"/>
        <v>968184000.00000024</v>
      </c>
      <c r="AY867">
        <f t="shared" si="6034"/>
        <v>16136.400000000001</v>
      </c>
      <c r="AZ867">
        <f t="shared" si="6035"/>
        <v>32272.800000000003</v>
      </c>
      <c r="BA867">
        <f t="shared" si="6036"/>
        <v>184416</v>
      </c>
      <c r="BB867">
        <f t="shared" si="6037"/>
        <v>8068.2000000000007</v>
      </c>
      <c r="BC867">
        <f t="shared" si="6163"/>
        <v>968184000.00000024</v>
      </c>
      <c r="BD867">
        <f t="shared" si="6038"/>
        <v>0.29411764705882348</v>
      </c>
      <c r="BE867" s="27">
        <f t="shared" si="6164"/>
        <v>2788706267.1216011</v>
      </c>
      <c r="BF867" s="30">
        <f t="shared" si="6039"/>
        <v>0.53039999999999998</v>
      </c>
      <c r="BG867" s="27"/>
      <c r="BH867" s="27"/>
      <c r="BI867" s="27"/>
      <c r="CA867" s="20">
        <f t="shared" si="6040"/>
        <v>575</v>
      </c>
      <c r="CB867" s="20">
        <f t="shared" si="6041"/>
        <v>57500</v>
      </c>
    </row>
    <row r="868" spans="1:80" x14ac:dyDescent="0.15">
      <c r="A868">
        <v>9701</v>
      </c>
      <c r="B868" s="3" t="s">
        <v>108</v>
      </c>
      <c r="C868" s="4" t="s">
        <v>109</v>
      </c>
      <c r="D868" s="4" t="s">
        <v>110</v>
      </c>
      <c r="E868" s="5">
        <v>3</v>
      </c>
      <c r="F868" s="7" t="s">
        <v>141</v>
      </c>
      <c r="G868" s="5">
        <v>2.5</v>
      </c>
      <c r="H868" s="7" t="s">
        <v>194</v>
      </c>
      <c r="I868" s="5">
        <v>0</v>
      </c>
      <c r="J868" s="5">
        <v>0</v>
      </c>
      <c r="K868">
        <v>2</v>
      </c>
      <c r="L868">
        <v>1.5</v>
      </c>
      <c r="M868" s="5">
        <v>1.5</v>
      </c>
      <c r="N868" s="5">
        <v>10</v>
      </c>
      <c r="O868" s="5">
        <f t="shared" si="6021"/>
        <v>159097</v>
      </c>
      <c r="P868" s="5">
        <f t="shared" si="6022"/>
        <v>908208000</v>
      </c>
      <c r="Q868" s="5">
        <f t="shared" si="6023"/>
        <v>15136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70011</v>
      </c>
      <c r="X868" s="6" t="s">
        <v>179</v>
      </c>
      <c r="Y868" s="5">
        <v>300</v>
      </c>
      <c r="Z868" s="5">
        <v>1</v>
      </c>
      <c r="AA868" s="5">
        <v>577636739</v>
      </c>
      <c r="AB868" s="16" t="s">
        <v>111</v>
      </c>
      <c r="AC868" s="7" t="s">
        <v>112</v>
      </c>
      <c r="AD868" s="7" t="s">
        <v>112</v>
      </c>
      <c r="AE868" s="7" t="s">
        <v>112</v>
      </c>
      <c r="AF868" s="6" t="s">
        <v>113</v>
      </c>
      <c r="AG868" s="26" t="str">
        <f t="shared" ref="AG868" si="6256">CM$4</f>
        <v>4,33,28,33,6,4,33,28,33,6</v>
      </c>
      <c r="AH868" s="26" t="str">
        <f t="shared" ref="AH868" si="6257">CN$4</f>
        <v>0,8,0,8,1,0,8,0,8,1</v>
      </c>
      <c r="AI868" s="26" t="str">
        <f t="shared" ref="AI868" si="6258">CO$4</f>
        <v>0,0,0,0,1,0,0,0,0,1</v>
      </c>
      <c r="AJ868" s="26" t="str">
        <f t="shared" ref="AJ868" si="6259">CP$4</f>
        <v>0,0,0,0,5,0,0,0,0,5</v>
      </c>
      <c r="AK868" s="26" t="str">
        <f t="shared" ref="AK868" si="6260">CQ$4</f>
        <v>100,1,1000,2,5,200,1,1000,2,5</v>
      </c>
      <c r="AL868" s="26" t="str">
        <f t="shared" ref="AL868" si="6261">CR$4</f>
        <v>5,5,5,5,5,5,5,5,5,5</v>
      </c>
      <c r="AM868" s="7">
        <v>2001</v>
      </c>
      <c r="AO868">
        <f t="shared" ref="AO868" si="6262">AQ868*100+1</f>
        <v>9701</v>
      </c>
      <c r="AP868">
        <v>864</v>
      </c>
      <c r="AQ868">
        <f t="shared" si="6031"/>
        <v>97</v>
      </c>
      <c r="AR868">
        <v>14</v>
      </c>
      <c r="AS868" s="17">
        <f t="shared" si="6112"/>
        <v>520</v>
      </c>
      <c r="AT868">
        <v>13</v>
      </c>
      <c r="AU868">
        <f t="shared" si="6032"/>
        <v>38</v>
      </c>
      <c r="AV868">
        <v>150</v>
      </c>
      <c r="AW868">
        <f t="shared" si="6033"/>
        <v>159097.28255999999</v>
      </c>
      <c r="AX868">
        <f t="shared" si="6162"/>
        <v>908208000.00000012</v>
      </c>
      <c r="AY868">
        <f t="shared" si="6034"/>
        <v>15136.800000000001</v>
      </c>
      <c r="AZ868">
        <f t="shared" si="6035"/>
        <v>30273.600000000002</v>
      </c>
      <c r="BA868">
        <f t="shared" si="6036"/>
        <v>172992</v>
      </c>
      <c r="BB868">
        <f t="shared" si="6037"/>
        <v>7568.4000000000005</v>
      </c>
      <c r="BC868">
        <f t="shared" si="6163"/>
        <v>908208000.00000012</v>
      </c>
      <c r="BD868">
        <f t="shared" si="6038"/>
        <v>0.29411764705882354</v>
      </c>
      <c r="BE868" s="27">
        <f t="shared" si="6164"/>
        <v>2453904269.5104008</v>
      </c>
      <c r="BF868" s="30">
        <f t="shared" si="6039"/>
        <v>0.53279999999999994</v>
      </c>
      <c r="BG868" s="27"/>
      <c r="BH868" s="27"/>
      <c r="BI868" s="27"/>
      <c r="CA868" s="20">
        <f t="shared" si="6040"/>
        <v>580</v>
      </c>
      <c r="CB868" s="20">
        <f t="shared" si="6041"/>
        <v>58000</v>
      </c>
    </row>
    <row r="869" spans="1:80" x14ac:dyDescent="0.15">
      <c r="A869">
        <v>9702</v>
      </c>
      <c r="B869" s="3" t="s">
        <v>115</v>
      </c>
      <c r="C869" s="4" t="s">
        <v>109</v>
      </c>
      <c r="D869" s="6" t="s">
        <v>110</v>
      </c>
      <c r="E869" s="5">
        <v>3</v>
      </c>
      <c r="F869" s="7" t="s">
        <v>142</v>
      </c>
      <c r="G869" s="5">
        <v>3</v>
      </c>
      <c r="H869" s="7" t="s">
        <v>188</v>
      </c>
      <c r="I869" s="5">
        <v>0</v>
      </c>
      <c r="J869" s="5">
        <v>0</v>
      </c>
      <c r="K869">
        <v>2</v>
      </c>
      <c r="L869">
        <v>1.5</v>
      </c>
      <c r="M869" s="5">
        <v>1.5</v>
      </c>
      <c r="N869" s="5">
        <v>10</v>
      </c>
      <c r="O869" s="5">
        <f t="shared" si="6021"/>
        <v>160598</v>
      </c>
      <c r="P869" s="5">
        <f t="shared" si="6022"/>
        <v>916776000</v>
      </c>
      <c r="Q869" s="5">
        <f t="shared" si="6023"/>
        <v>15279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70021</v>
      </c>
      <c r="X869" s="6" t="s">
        <v>180</v>
      </c>
      <c r="Y869" s="5">
        <v>300</v>
      </c>
      <c r="Z869" s="5">
        <v>1</v>
      </c>
      <c r="AA869" s="5">
        <v>505184531</v>
      </c>
      <c r="AB869" s="16" t="s">
        <v>111</v>
      </c>
      <c r="AC869" s="7" t="s">
        <v>112</v>
      </c>
      <c r="AD869" s="7" t="s">
        <v>112</v>
      </c>
      <c r="AE869" s="7" t="s">
        <v>112</v>
      </c>
      <c r="AF869" s="6" t="s">
        <v>113</v>
      </c>
      <c r="AG869" s="26" t="str">
        <f t="shared" ref="AG869" si="6263">CM$5</f>
        <v>4,33,28,33,6,4,33,28,33,6</v>
      </c>
      <c r="AH869" s="26" t="str">
        <f t="shared" ref="AH869" si="6264">CN$5</f>
        <v>0,7,0,7,1,0,7,0,7,1</v>
      </c>
      <c r="AI869" s="26" t="str">
        <f t="shared" ref="AI869" si="6265">CO$5</f>
        <v>0,0,0,0,1,0,0,0,0,1</v>
      </c>
      <c r="AJ869" s="26" t="str">
        <f t="shared" ref="AJ869" si="6266">CP$5</f>
        <v>0,0,0,0,5,0,0,0,0,5</v>
      </c>
      <c r="AK869" s="26" t="str">
        <f t="shared" ref="AK869" si="6267">CQ$5</f>
        <v>100,1,1000,2,5,200,1,1000,2,5</v>
      </c>
      <c r="AL869" s="26" t="str">
        <f t="shared" ref="AL869" si="6268">CR$5</f>
        <v>5,5,5,5,5,5,5,5,5,5</v>
      </c>
      <c r="AM869" s="7">
        <v>2001</v>
      </c>
      <c r="AO869">
        <f t="shared" ref="AO869" si="6269">AQ869*100+2</f>
        <v>9702</v>
      </c>
      <c r="AP869">
        <v>865</v>
      </c>
      <c r="AQ869">
        <f t="shared" si="6031"/>
        <v>97</v>
      </c>
      <c r="AR869">
        <v>14</v>
      </c>
      <c r="AS869" s="17">
        <f t="shared" si="6112"/>
        <v>525</v>
      </c>
      <c r="AT869">
        <v>13</v>
      </c>
      <c r="AU869">
        <f t="shared" si="6032"/>
        <v>38</v>
      </c>
      <c r="AV869">
        <v>150</v>
      </c>
      <c r="AW869">
        <f t="shared" si="6033"/>
        <v>160598.20031999997</v>
      </c>
      <c r="AX869">
        <f t="shared" si="6162"/>
        <v>916776000</v>
      </c>
      <c r="AY869">
        <f t="shared" si="6034"/>
        <v>15279.6</v>
      </c>
      <c r="AZ869">
        <f t="shared" si="6035"/>
        <v>30559.200000000001</v>
      </c>
      <c r="BA869">
        <f t="shared" si="6036"/>
        <v>174624</v>
      </c>
      <c r="BB869">
        <f t="shared" si="6037"/>
        <v>7639.8</v>
      </c>
      <c r="BC869">
        <f t="shared" si="6163"/>
        <v>916776000</v>
      </c>
      <c r="BD869">
        <f t="shared" si="6038"/>
        <v>0.29411764705882348</v>
      </c>
      <c r="BE869" s="27">
        <f t="shared" si="6164"/>
        <v>2500422746.6736002</v>
      </c>
      <c r="BF869" s="30">
        <f t="shared" si="6039"/>
        <v>0.53279999999999994</v>
      </c>
      <c r="BG869" s="27"/>
      <c r="BH869" s="27"/>
      <c r="BI869" s="27"/>
      <c r="CA869" s="20">
        <f t="shared" si="6040"/>
        <v>580</v>
      </c>
      <c r="CB869" s="20">
        <f t="shared" si="6041"/>
        <v>58000</v>
      </c>
    </row>
    <row r="870" spans="1:80" x14ac:dyDescent="0.15">
      <c r="A870">
        <v>9703</v>
      </c>
      <c r="B870" s="3" t="s">
        <v>117</v>
      </c>
      <c r="C870" s="4" t="s">
        <v>109</v>
      </c>
      <c r="D870" s="4" t="s">
        <v>110</v>
      </c>
      <c r="E870" s="5">
        <v>1</v>
      </c>
      <c r="F870" s="7" t="s">
        <v>144</v>
      </c>
      <c r="G870" s="5">
        <v>3</v>
      </c>
      <c r="H870" s="7" t="s">
        <v>189</v>
      </c>
      <c r="I870" s="5">
        <v>0</v>
      </c>
      <c r="J870" s="2">
        <v>0</v>
      </c>
      <c r="K870">
        <v>6</v>
      </c>
      <c r="L870">
        <v>1.5</v>
      </c>
      <c r="M870" s="5">
        <v>1.5</v>
      </c>
      <c r="N870" s="5">
        <v>10</v>
      </c>
      <c r="O870" s="5">
        <f t="shared" si="6021"/>
        <v>162099</v>
      </c>
      <c r="P870" s="5">
        <f t="shared" si="6022"/>
        <v>925344000</v>
      </c>
      <c r="Q870" s="5">
        <f t="shared" si="6023"/>
        <v>15422</v>
      </c>
      <c r="R870" s="5">
        <v>0</v>
      </c>
      <c r="S870" s="5">
        <v>0</v>
      </c>
      <c r="T870" s="5">
        <v>0</v>
      </c>
      <c r="U870" s="5">
        <v>0</v>
      </c>
      <c r="V870" s="5">
        <v>0</v>
      </c>
      <c r="W870" s="5">
        <v>70031</v>
      </c>
      <c r="X870" s="6" t="s">
        <v>181</v>
      </c>
      <c r="Y870" s="5">
        <v>300</v>
      </c>
      <c r="Z870" s="5">
        <v>1</v>
      </c>
      <c r="AA870" s="5">
        <v>515237708</v>
      </c>
      <c r="AB870" s="16" t="s">
        <v>111</v>
      </c>
      <c r="AC870" s="7" t="s">
        <v>112</v>
      </c>
      <c r="AD870" s="7" t="s">
        <v>112</v>
      </c>
      <c r="AE870" s="7" t="s">
        <v>112</v>
      </c>
      <c r="AF870" s="6" t="s">
        <v>113</v>
      </c>
      <c r="AG870" s="26" t="str">
        <f t="shared" ref="AG870" si="6270">CM$6</f>
        <v>4,28,6,28,6,4,28,6,28,6</v>
      </c>
      <c r="AH870" s="26" t="str">
        <f t="shared" ref="AH870" si="6271">CN$6</f>
        <v>0,0,1,0,1,0,0,1,0,1</v>
      </c>
      <c r="AI870" s="26" t="str">
        <f t="shared" ref="AI870" si="6272">CO$6</f>
        <v>0,0,0,0,1,0,0,0,0,1</v>
      </c>
      <c r="AJ870" s="26" t="str">
        <f t="shared" ref="AJ870" si="6273">CP$6</f>
        <v>0,0,5,0,5,0,0,5,0,5</v>
      </c>
      <c r="AK870" s="26" t="str">
        <f t="shared" ref="AK870" si="6274">CQ$6</f>
        <v>100,1000,5,1500,5,200,1000,5,1500,5</v>
      </c>
      <c r="AL870" s="26" t="str">
        <f t="shared" ref="AL870" si="6275">CR$6</f>
        <v>5,5,5,5,5,5,5,5,5,5</v>
      </c>
      <c r="AM870" s="7">
        <v>2001</v>
      </c>
      <c r="AO870">
        <f t="shared" ref="AO870" si="6276">AQ870*100+3</f>
        <v>9703</v>
      </c>
      <c r="AP870">
        <v>866</v>
      </c>
      <c r="AQ870">
        <f t="shared" si="6031"/>
        <v>97</v>
      </c>
      <c r="AR870">
        <v>14</v>
      </c>
      <c r="AS870" s="17">
        <f t="shared" si="6112"/>
        <v>530</v>
      </c>
      <c r="AT870">
        <v>13</v>
      </c>
      <c r="AU870">
        <f t="shared" si="6032"/>
        <v>38</v>
      </c>
      <c r="AV870">
        <v>150</v>
      </c>
      <c r="AW870">
        <f t="shared" si="6033"/>
        <v>162099.11807999999</v>
      </c>
      <c r="AX870">
        <f t="shared" si="6162"/>
        <v>925344000.00000024</v>
      </c>
      <c r="AY870">
        <f t="shared" si="6034"/>
        <v>15422.400000000001</v>
      </c>
      <c r="AZ870">
        <f t="shared" si="6035"/>
        <v>30844.800000000003</v>
      </c>
      <c r="BA870">
        <f t="shared" si="6036"/>
        <v>176256</v>
      </c>
      <c r="BB870">
        <f t="shared" si="6037"/>
        <v>7711.2000000000007</v>
      </c>
      <c r="BC870">
        <f t="shared" si="6163"/>
        <v>925344000.00000024</v>
      </c>
      <c r="BD870">
        <f t="shared" si="6038"/>
        <v>0.29411764705882348</v>
      </c>
      <c r="BE870" s="27">
        <f t="shared" si="6164"/>
        <v>2547378017.0496006</v>
      </c>
      <c r="BF870" s="30">
        <f t="shared" si="6039"/>
        <v>0.53279999999999994</v>
      </c>
      <c r="BG870" s="27"/>
      <c r="BH870" s="27"/>
      <c r="BI870" s="27"/>
      <c r="CA870" s="20">
        <f t="shared" si="6040"/>
        <v>580</v>
      </c>
      <c r="CB870" s="20">
        <f t="shared" si="6041"/>
        <v>58000</v>
      </c>
    </row>
    <row r="871" spans="1:80" x14ac:dyDescent="0.15">
      <c r="A871">
        <v>9704</v>
      </c>
      <c r="B871" s="3" t="s">
        <v>119</v>
      </c>
      <c r="C871" s="4" t="s">
        <v>109</v>
      </c>
      <c r="D871" s="6" t="s">
        <v>120</v>
      </c>
      <c r="E871" s="5">
        <v>3</v>
      </c>
      <c r="F871" s="7" t="s">
        <v>145</v>
      </c>
      <c r="G871" s="5">
        <v>3</v>
      </c>
      <c r="H871" s="7" t="s">
        <v>190</v>
      </c>
      <c r="I871" s="5">
        <v>0</v>
      </c>
      <c r="J871" s="5">
        <v>0</v>
      </c>
      <c r="K871">
        <v>2</v>
      </c>
      <c r="L871">
        <v>1.5</v>
      </c>
      <c r="M871" s="5">
        <v>1.5</v>
      </c>
      <c r="N871" s="5">
        <v>10</v>
      </c>
      <c r="O871" s="5">
        <f t="shared" si="6021"/>
        <v>163600</v>
      </c>
      <c r="P871" s="5">
        <f t="shared" si="6022"/>
        <v>933912000</v>
      </c>
      <c r="Q871" s="5">
        <f t="shared" si="6023"/>
        <v>15565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70041</v>
      </c>
      <c r="X871" s="6" t="s">
        <v>182</v>
      </c>
      <c r="Y871" s="5">
        <v>300</v>
      </c>
      <c r="Z871" s="5">
        <v>1</v>
      </c>
      <c r="AA871" s="5">
        <v>525389931</v>
      </c>
      <c r="AB871" s="16" t="s">
        <v>111</v>
      </c>
      <c r="AC871" s="7" t="s">
        <v>112</v>
      </c>
      <c r="AD871" s="7" t="s">
        <v>112</v>
      </c>
      <c r="AE871" s="7" t="s">
        <v>112</v>
      </c>
      <c r="AF871" s="6" t="s">
        <v>113</v>
      </c>
      <c r="AG871" s="26" t="str">
        <f t="shared" ref="AG871" si="6277">CM$7</f>
        <v>4,14,28,14,6,4,14,28,14,6</v>
      </c>
      <c r="AH871" s="26" t="str">
        <f t="shared" ref="AH871" si="6278">CN$7</f>
        <v>0,0,0,0,1,0,0,0,0,1</v>
      </c>
      <c r="AI871" s="26" t="str">
        <f t="shared" ref="AI871" si="6279">CO$7</f>
        <v>0,0,0,0,1,0,0,0,0,1</v>
      </c>
      <c r="AJ871" s="26" t="str">
        <f t="shared" ref="AJ871" si="6280">CP$7</f>
        <v>0,0,0,0,5,0,0,0,0,5</v>
      </c>
      <c r="AK871" s="26" t="str">
        <f t="shared" ref="AK871" si="6281">CQ$7</f>
        <v>100,1,1000,2,5,200,1,1000,2,5</v>
      </c>
      <c r="AL871" s="26" t="str">
        <f t="shared" ref="AL871" si="6282">CR$7</f>
        <v>5,5,5,5,5,5,5,5,5,5</v>
      </c>
      <c r="AM871" s="7">
        <v>2001</v>
      </c>
      <c r="AO871">
        <f t="shared" ref="AO871" si="6283">AQ871*100+4</f>
        <v>9704</v>
      </c>
      <c r="AP871">
        <v>867</v>
      </c>
      <c r="AQ871">
        <f t="shared" si="6031"/>
        <v>97</v>
      </c>
      <c r="AR871">
        <v>14</v>
      </c>
      <c r="AS871" s="17">
        <f t="shared" si="6112"/>
        <v>535</v>
      </c>
      <c r="AT871">
        <v>13</v>
      </c>
      <c r="AU871">
        <f t="shared" si="6032"/>
        <v>38</v>
      </c>
      <c r="AV871">
        <v>150</v>
      </c>
      <c r="AW871">
        <f t="shared" si="6033"/>
        <v>163600.03584</v>
      </c>
      <c r="AX871">
        <f t="shared" si="6162"/>
        <v>933912000</v>
      </c>
      <c r="AY871">
        <f t="shared" si="6034"/>
        <v>15565.2</v>
      </c>
      <c r="AZ871">
        <f t="shared" si="6035"/>
        <v>31130.400000000001</v>
      </c>
      <c r="BA871">
        <f t="shared" si="6036"/>
        <v>177888</v>
      </c>
      <c r="BB871">
        <f t="shared" si="6037"/>
        <v>7782.6</v>
      </c>
      <c r="BC871">
        <f t="shared" si="6163"/>
        <v>933912000</v>
      </c>
      <c r="BD871">
        <f t="shared" si="6038"/>
        <v>0.29411764705882348</v>
      </c>
      <c r="BE871" s="27">
        <f t="shared" si="6164"/>
        <v>2594770080.6384001</v>
      </c>
      <c r="BF871" s="30">
        <f t="shared" si="6039"/>
        <v>0.53279999999999994</v>
      </c>
      <c r="BG871" s="27"/>
      <c r="BH871" s="27"/>
      <c r="BI871" s="27"/>
      <c r="CA871" s="20">
        <f t="shared" si="6040"/>
        <v>580</v>
      </c>
      <c r="CB871" s="20">
        <f t="shared" si="6041"/>
        <v>58000</v>
      </c>
    </row>
    <row r="872" spans="1:80" x14ac:dyDescent="0.15">
      <c r="A872">
        <v>9705</v>
      </c>
      <c r="B872" s="3" t="s">
        <v>122</v>
      </c>
      <c r="C872" s="4" t="s">
        <v>109</v>
      </c>
      <c r="D872" s="4" t="s">
        <v>110</v>
      </c>
      <c r="E872" s="5">
        <v>2</v>
      </c>
      <c r="F872" s="7" t="s">
        <v>146</v>
      </c>
      <c r="G872" s="5">
        <v>3</v>
      </c>
      <c r="H872" s="7" t="s">
        <v>191</v>
      </c>
      <c r="I872" s="5">
        <v>0</v>
      </c>
      <c r="J872" s="7" t="s">
        <v>148</v>
      </c>
      <c r="K872">
        <v>6</v>
      </c>
      <c r="L872">
        <v>1.5</v>
      </c>
      <c r="M872" s="5">
        <v>1.5</v>
      </c>
      <c r="N872" s="5">
        <v>10</v>
      </c>
      <c r="O872" s="5">
        <f t="shared" si="6021"/>
        <v>165100</v>
      </c>
      <c r="P872" s="5">
        <f t="shared" si="6022"/>
        <v>942480000</v>
      </c>
      <c r="Q872" s="5">
        <f t="shared" si="6023"/>
        <v>15708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70051</v>
      </c>
      <c r="X872" s="6" t="s">
        <v>183</v>
      </c>
      <c r="Y872" s="5">
        <v>300</v>
      </c>
      <c r="Z872" s="5">
        <v>1</v>
      </c>
      <c r="AA872" s="5">
        <v>535641201</v>
      </c>
      <c r="AB872" s="16" t="s">
        <v>111</v>
      </c>
      <c r="AC872" s="7" t="s">
        <v>112</v>
      </c>
      <c r="AD872" s="7" t="s">
        <v>112</v>
      </c>
      <c r="AE872" s="7" t="s">
        <v>112</v>
      </c>
      <c r="AF872" s="6" t="s">
        <v>113</v>
      </c>
      <c r="AG872" s="26" t="str">
        <f t="shared" ref="AG872" si="6284">CM$8</f>
        <v>4,19,28,19,6,4,19,28,19,6</v>
      </c>
      <c r="AH872" s="26" t="str">
        <f t="shared" ref="AH872" si="6285">CN$8</f>
        <v>0,0,0,0,1,0,0,0,0,1</v>
      </c>
      <c r="AI872" s="26" t="str">
        <f t="shared" ref="AI872" si="6286">CO$8</f>
        <v>0,0,0,0,1,0,0,0,0,1</v>
      </c>
      <c r="AJ872" s="26" t="str">
        <f t="shared" ref="AJ872" si="6287">CP$8</f>
        <v>0,0,0,0,5,0,0,0,0,5</v>
      </c>
      <c r="AK872" s="26" t="str">
        <f t="shared" ref="AK872" si="6288">CQ$8</f>
        <v>200,100,1000,200,5,200,100,1000,200,5</v>
      </c>
      <c r="AL872" s="26" t="str">
        <f t="shared" ref="AL872" si="6289">CR$8</f>
        <v>5,5,5,5,5,5,5,5,5,5</v>
      </c>
      <c r="AM872" s="7">
        <v>2001</v>
      </c>
      <c r="AO872">
        <f t="shared" ref="AO872" si="6290">AQ872*100+5</f>
        <v>9705</v>
      </c>
      <c r="AP872">
        <v>868</v>
      </c>
      <c r="AQ872">
        <f t="shared" si="6031"/>
        <v>97</v>
      </c>
      <c r="AR872">
        <v>14</v>
      </c>
      <c r="AS872" s="17">
        <f t="shared" si="6112"/>
        <v>540</v>
      </c>
      <c r="AT872">
        <v>13</v>
      </c>
      <c r="AU872">
        <f t="shared" si="6032"/>
        <v>38</v>
      </c>
      <c r="AV872">
        <v>150</v>
      </c>
      <c r="AW872">
        <f t="shared" si="6033"/>
        <v>165100.95360000001</v>
      </c>
      <c r="AX872">
        <f t="shared" si="6162"/>
        <v>942480000</v>
      </c>
      <c r="AY872">
        <f t="shared" si="6034"/>
        <v>15708</v>
      </c>
      <c r="AZ872">
        <f t="shared" si="6035"/>
        <v>31416</v>
      </c>
      <c r="BA872">
        <f t="shared" si="6036"/>
        <v>179520</v>
      </c>
      <c r="BB872">
        <f t="shared" si="6037"/>
        <v>7854</v>
      </c>
      <c r="BC872">
        <f t="shared" si="6163"/>
        <v>942480000</v>
      </c>
      <c r="BD872">
        <f t="shared" si="6038"/>
        <v>0.29411764705882354</v>
      </c>
      <c r="BE872" s="27">
        <f t="shared" si="6164"/>
        <v>2642598937.4400001</v>
      </c>
      <c r="BF872" s="30">
        <f t="shared" si="6039"/>
        <v>0.53279999999999994</v>
      </c>
      <c r="BG872" s="27"/>
      <c r="BH872" s="27"/>
      <c r="BI872" s="27"/>
      <c r="CA872" s="20">
        <f t="shared" si="6040"/>
        <v>580</v>
      </c>
      <c r="CB872" s="20">
        <f t="shared" si="6041"/>
        <v>58000</v>
      </c>
    </row>
    <row r="873" spans="1:80" x14ac:dyDescent="0.15">
      <c r="A873">
        <v>9706</v>
      </c>
      <c r="B873" s="3" t="s">
        <v>124</v>
      </c>
      <c r="C873" s="4" t="s">
        <v>109</v>
      </c>
      <c r="D873" s="6" t="s">
        <v>120</v>
      </c>
      <c r="E873" s="5">
        <v>1</v>
      </c>
      <c r="F873" s="7" t="s">
        <v>147</v>
      </c>
      <c r="G873" s="5">
        <v>3</v>
      </c>
      <c r="H873" s="7" t="s">
        <v>192</v>
      </c>
      <c r="I873" s="5">
        <v>0</v>
      </c>
      <c r="J873" s="7" t="s">
        <v>149</v>
      </c>
      <c r="K873">
        <v>6</v>
      </c>
      <c r="L873">
        <v>1.5</v>
      </c>
      <c r="M873" s="5">
        <v>1.5</v>
      </c>
      <c r="N873" s="5">
        <v>10</v>
      </c>
      <c r="O873" s="5">
        <f t="shared" si="6021"/>
        <v>166601</v>
      </c>
      <c r="P873" s="5">
        <f t="shared" si="6022"/>
        <v>951048000</v>
      </c>
      <c r="Q873" s="5">
        <f t="shared" si="6023"/>
        <v>15850</v>
      </c>
      <c r="R873" s="5">
        <v>0</v>
      </c>
      <c r="S873" s="5">
        <v>0</v>
      </c>
      <c r="T873" s="5">
        <v>0</v>
      </c>
      <c r="U873" s="5">
        <v>0</v>
      </c>
      <c r="V873" s="5">
        <v>0</v>
      </c>
      <c r="W873" s="5">
        <v>70061</v>
      </c>
      <c r="X873" s="6" t="s">
        <v>184</v>
      </c>
      <c r="Y873" s="5">
        <v>300</v>
      </c>
      <c r="Z873" s="5">
        <v>1</v>
      </c>
      <c r="AA873" s="5">
        <v>545991516</v>
      </c>
      <c r="AB873" s="16" t="s">
        <v>111</v>
      </c>
      <c r="AC873" s="7" t="s">
        <v>112</v>
      </c>
      <c r="AD873" s="7" t="s">
        <v>112</v>
      </c>
      <c r="AE873" s="7" t="s">
        <v>112</v>
      </c>
      <c r="AF873" s="6" t="s">
        <v>113</v>
      </c>
      <c r="AG873" s="26" t="str">
        <f t="shared" ref="AG873" si="6291">CM$9</f>
        <v>4,33,28,33,6,4,33,28,33,6</v>
      </c>
      <c r="AH873" s="26" t="str">
        <f t="shared" ref="AH873" si="6292">CN$9</f>
        <v>0,6,0,6,1,0,6,0,6,1</v>
      </c>
      <c r="AI873" s="26" t="str">
        <f t="shared" ref="AI873" si="6293">CO$9</f>
        <v>0,0,0,0,1,0,0,0,0,1</v>
      </c>
      <c r="AJ873" s="26" t="str">
        <f t="shared" ref="AJ873" si="6294">CP$9</f>
        <v>0,0,0,0,5,0,0,0,0,5</v>
      </c>
      <c r="AK873" s="26" t="str">
        <f t="shared" ref="AK873" si="6295">CQ$9</f>
        <v>200,1,1000,2,5,200,1,1000,2,5</v>
      </c>
      <c r="AL873" s="26" t="str">
        <f t="shared" ref="AL873" si="6296">CR$9</f>
        <v>5,5,5,5,5,5,5,5,5,5</v>
      </c>
      <c r="AM873" s="7">
        <v>2001</v>
      </c>
      <c r="AO873">
        <f t="shared" ref="AO873" si="6297">AQ873*100+6</f>
        <v>9706</v>
      </c>
      <c r="AP873">
        <v>869</v>
      </c>
      <c r="AQ873">
        <f t="shared" si="6031"/>
        <v>97</v>
      </c>
      <c r="AR873">
        <v>14</v>
      </c>
      <c r="AS873" s="17">
        <f t="shared" si="6112"/>
        <v>545</v>
      </c>
      <c r="AT873">
        <v>13</v>
      </c>
      <c r="AU873">
        <f t="shared" si="6032"/>
        <v>38</v>
      </c>
      <c r="AV873">
        <v>150</v>
      </c>
      <c r="AW873">
        <f t="shared" si="6033"/>
        <v>166601.87135999999</v>
      </c>
      <c r="AX873">
        <f t="shared" si="6162"/>
        <v>951048000.00000024</v>
      </c>
      <c r="AY873">
        <f t="shared" si="6034"/>
        <v>15850.800000000001</v>
      </c>
      <c r="AZ873">
        <f t="shared" si="6035"/>
        <v>31701.600000000002</v>
      </c>
      <c r="BA873">
        <f t="shared" si="6036"/>
        <v>181152</v>
      </c>
      <c r="BB873">
        <f t="shared" si="6037"/>
        <v>7925.4000000000005</v>
      </c>
      <c r="BC873">
        <f t="shared" si="6163"/>
        <v>951048000.00000024</v>
      </c>
      <c r="BD873">
        <f t="shared" si="6038"/>
        <v>0.29411764705882354</v>
      </c>
      <c r="BE873" s="27">
        <f t="shared" si="6164"/>
        <v>2690864587.454401</v>
      </c>
      <c r="BF873" s="30">
        <f t="shared" si="6039"/>
        <v>0.53279999999999994</v>
      </c>
      <c r="BG873" s="27"/>
      <c r="BH873" s="27"/>
      <c r="BI873" s="27"/>
      <c r="CA873" s="20">
        <f t="shared" si="6040"/>
        <v>580</v>
      </c>
      <c r="CB873" s="20">
        <f t="shared" si="6041"/>
        <v>58000</v>
      </c>
    </row>
    <row r="874" spans="1:80" x14ac:dyDescent="0.15">
      <c r="A874">
        <v>9707</v>
      </c>
      <c r="B874" s="3" t="s">
        <v>126</v>
      </c>
      <c r="C874" s="4" t="s">
        <v>109</v>
      </c>
      <c r="D874" s="4" t="s">
        <v>110</v>
      </c>
      <c r="E874" s="5">
        <v>2</v>
      </c>
      <c r="F874" s="7" t="s">
        <v>143</v>
      </c>
      <c r="G874" s="5">
        <v>3</v>
      </c>
      <c r="H874" s="7" t="s">
        <v>193</v>
      </c>
      <c r="I874" s="5">
        <v>0</v>
      </c>
      <c r="J874" s="5">
        <v>0</v>
      </c>
      <c r="K874">
        <v>2</v>
      </c>
      <c r="L874">
        <v>1.5</v>
      </c>
      <c r="M874" s="5">
        <v>1.5</v>
      </c>
      <c r="N874" s="5">
        <v>10</v>
      </c>
      <c r="O874" s="5">
        <f t="shared" si="6021"/>
        <v>168102</v>
      </c>
      <c r="P874" s="5">
        <f t="shared" si="6022"/>
        <v>959616000</v>
      </c>
      <c r="Q874" s="5">
        <f t="shared" si="6023"/>
        <v>15993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70071</v>
      </c>
      <c r="X874" s="6" t="s">
        <v>185</v>
      </c>
      <c r="Y874" s="5">
        <v>300</v>
      </c>
      <c r="Z874" s="5">
        <v>1</v>
      </c>
      <c r="AA874" s="5">
        <v>556440877</v>
      </c>
      <c r="AB874" s="16" t="s">
        <v>111</v>
      </c>
      <c r="AC874" s="7" t="s">
        <v>112</v>
      </c>
      <c r="AD874" s="7" t="s">
        <v>112</v>
      </c>
      <c r="AE874" s="7" t="s">
        <v>112</v>
      </c>
      <c r="AF874" s="6" t="s">
        <v>113</v>
      </c>
      <c r="AG874" s="26" t="str">
        <f t="shared" ref="AG874" si="6298">CM$10</f>
        <v>4,14,28,14,6,4,14,28,14,6</v>
      </c>
      <c r="AH874" s="26" t="str">
        <f t="shared" ref="AH874" si="6299">CN$10</f>
        <v>0,0,0,0,1,0,0,0,0,1</v>
      </c>
      <c r="AI874" s="26" t="str">
        <f t="shared" ref="AI874" si="6300">CO$10</f>
        <v>0,0,0,0,1,0,0,0,0,1</v>
      </c>
      <c r="AJ874" s="26" t="str">
        <f t="shared" ref="AJ874" si="6301">CP$10</f>
        <v>0,0,0,0,5,0,0,0,0,5</v>
      </c>
      <c r="AK874" s="26" t="str">
        <f t="shared" ref="AK874" si="6302">CQ$10</f>
        <v>200,1,1000,2,5,200,1,1000,2,5</v>
      </c>
      <c r="AL874" s="26" t="str">
        <f t="shared" ref="AL874" si="6303">CR$10</f>
        <v>5,5,5,5,5,5,5,5,5,5</v>
      </c>
      <c r="AM874" s="7">
        <v>2001</v>
      </c>
      <c r="AO874">
        <f t="shared" ref="AO874" si="6304">AQ874*100+7</f>
        <v>9707</v>
      </c>
      <c r="AP874">
        <v>870</v>
      </c>
      <c r="AQ874">
        <f t="shared" si="6031"/>
        <v>97</v>
      </c>
      <c r="AR874">
        <v>14</v>
      </c>
      <c r="AS874" s="17">
        <f t="shared" si="6112"/>
        <v>550</v>
      </c>
      <c r="AT874">
        <v>13</v>
      </c>
      <c r="AU874">
        <f t="shared" si="6032"/>
        <v>38</v>
      </c>
      <c r="AV874">
        <v>150</v>
      </c>
      <c r="AW874">
        <f t="shared" si="6033"/>
        <v>168102.78911999997</v>
      </c>
      <c r="AX874">
        <f t="shared" si="6162"/>
        <v>959616000</v>
      </c>
      <c r="AY874">
        <f t="shared" si="6034"/>
        <v>15993.6</v>
      </c>
      <c r="AZ874">
        <f t="shared" si="6035"/>
        <v>31987.200000000001</v>
      </c>
      <c r="BA874">
        <f t="shared" si="6036"/>
        <v>182784</v>
      </c>
      <c r="BB874">
        <f t="shared" si="6037"/>
        <v>7996.8</v>
      </c>
      <c r="BC874">
        <f t="shared" si="6163"/>
        <v>959616000</v>
      </c>
      <c r="BD874">
        <f t="shared" si="6038"/>
        <v>0.29411764705882348</v>
      </c>
      <c r="BE874" s="27">
        <f t="shared" si="6164"/>
        <v>2739567030.6816006</v>
      </c>
      <c r="BF874" s="30">
        <f t="shared" si="6039"/>
        <v>0.53279999999999994</v>
      </c>
      <c r="BG874" s="27"/>
      <c r="BH874" s="27"/>
      <c r="BI874" s="27"/>
      <c r="CA874" s="20">
        <f t="shared" si="6040"/>
        <v>580</v>
      </c>
      <c r="CB874" s="20">
        <f t="shared" si="6041"/>
        <v>58000</v>
      </c>
    </row>
    <row r="875" spans="1:80" x14ac:dyDescent="0.15">
      <c r="A875">
        <v>9708</v>
      </c>
      <c r="B875" s="3" t="s">
        <v>128</v>
      </c>
      <c r="C875" s="4" t="s">
        <v>109</v>
      </c>
      <c r="D875" s="4" t="s">
        <v>110</v>
      </c>
      <c r="E875" s="5">
        <v>5</v>
      </c>
      <c r="F875" s="7" t="s">
        <v>129</v>
      </c>
      <c r="G875" s="5">
        <v>2</v>
      </c>
      <c r="H875" s="7" t="s">
        <v>130</v>
      </c>
      <c r="I875" s="5">
        <v>0</v>
      </c>
      <c r="J875" s="5">
        <v>0</v>
      </c>
      <c r="K875">
        <v>2</v>
      </c>
      <c r="L875">
        <v>1.5</v>
      </c>
      <c r="M875" s="5">
        <v>1.5</v>
      </c>
      <c r="N875" s="5">
        <v>10</v>
      </c>
      <c r="O875" s="5">
        <f t="shared" si="6021"/>
        <v>169603</v>
      </c>
      <c r="P875" s="5">
        <f t="shared" si="6022"/>
        <v>968184000</v>
      </c>
      <c r="Q875" s="5">
        <f t="shared" si="6023"/>
        <v>16136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70081</v>
      </c>
      <c r="X875" s="6" t="s">
        <v>186</v>
      </c>
      <c r="Y875" s="5">
        <v>300</v>
      </c>
      <c r="Z875" s="5">
        <v>1</v>
      </c>
      <c r="AA875" s="5">
        <v>566989285</v>
      </c>
      <c r="AB875" s="16" t="s">
        <v>111</v>
      </c>
      <c r="AC875" s="7" t="s">
        <v>112</v>
      </c>
      <c r="AD875" s="7" t="s">
        <v>112</v>
      </c>
      <c r="AE875" s="7" t="s">
        <v>112</v>
      </c>
      <c r="AF875" s="6" t="s">
        <v>113</v>
      </c>
      <c r="AG875" s="26" t="str">
        <f t="shared" ref="AG875" si="6305">CM$11</f>
        <v>4,28,6,28,6,4,28,6,28,6</v>
      </c>
      <c r="AH875" s="26" t="str">
        <f t="shared" ref="AH875" si="6306">CN$11</f>
        <v>0,0,1,0,1,0,0,1,0,1</v>
      </c>
      <c r="AI875" s="26" t="str">
        <f t="shared" ref="AI875" si="6307">CO$11</f>
        <v>0,0,1,0,1,0,0,1,0,1</v>
      </c>
      <c r="AJ875" s="26" t="str">
        <f t="shared" ref="AJ875" si="6308">CP$11</f>
        <v>0,0,5,0,5,0,0,5,0,5</v>
      </c>
      <c r="AK875" s="26" t="str">
        <f t="shared" ref="AK875" si="6309">CQ$11</f>
        <v>100,1000,5,1500,5,200,1000,5,1500,5</v>
      </c>
      <c r="AL875" s="26" t="str">
        <f t="shared" ref="AL875" si="6310">CR$11</f>
        <v>5,5,5,5,5,5,5,5,5,5</v>
      </c>
      <c r="AM875" s="7">
        <v>2001</v>
      </c>
      <c r="AO875">
        <f t="shared" ref="AO875" si="6311">AQ875*100+8</f>
        <v>9708</v>
      </c>
      <c r="AP875">
        <v>871</v>
      </c>
      <c r="AQ875">
        <f t="shared" si="6031"/>
        <v>97</v>
      </c>
      <c r="AR875">
        <v>14</v>
      </c>
      <c r="AS875" s="17">
        <f t="shared" si="6112"/>
        <v>555</v>
      </c>
      <c r="AT875">
        <v>13</v>
      </c>
      <c r="AU875">
        <f t="shared" si="6032"/>
        <v>38</v>
      </c>
      <c r="AV875">
        <v>150</v>
      </c>
      <c r="AW875">
        <f t="shared" si="6033"/>
        <v>169603.70687999998</v>
      </c>
      <c r="AX875">
        <f t="shared" si="6162"/>
        <v>968184000.00000024</v>
      </c>
      <c r="AY875">
        <f t="shared" si="6034"/>
        <v>16136.400000000001</v>
      </c>
      <c r="AZ875">
        <f t="shared" si="6035"/>
        <v>32272.800000000003</v>
      </c>
      <c r="BA875">
        <f t="shared" si="6036"/>
        <v>184416</v>
      </c>
      <c r="BB875">
        <f t="shared" si="6037"/>
        <v>8068.2000000000007</v>
      </c>
      <c r="BC875">
        <f t="shared" si="6163"/>
        <v>968184000.00000024</v>
      </c>
      <c r="BD875">
        <f t="shared" si="6038"/>
        <v>0.29411764705882348</v>
      </c>
      <c r="BE875" s="27">
        <f t="shared" si="6164"/>
        <v>2788706267.1216011</v>
      </c>
      <c r="BF875" s="30">
        <f t="shared" si="6039"/>
        <v>0.53279999999999994</v>
      </c>
      <c r="BG875" s="27"/>
      <c r="BH875" s="27"/>
      <c r="BI875" s="27"/>
      <c r="CA875" s="20">
        <f t="shared" si="6040"/>
        <v>580</v>
      </c>
      <c r="CB875" s="20">
        <f t="shared" si="6041"/>
        <v>58000</v>
      </c>
    </row>
    <row r="876" spans="1:80" x14ac:dyDescent="0.15">
      <c r="A876">
        <v>9709</v>
      </c>
      <c r="B876" s="3" t="s">
        <v>132</v>
      </c>
      <c r="C876" s="4" t="s">
        <v>109</v>
      </c>
      <c r="D876" s="4" t="s">
        <v>110</v>
      </c>
      <c r="E876" s="5">
        <v>5</v>
      </c>
      <c r="F876" s="7" t="s">
        <v>140</v>
      </c>
      <c r="G876" s="5">
        <v>3</v>
      </c>
      <c r="H876" s="7" t="s">
        <v>140</v>
      </c>
      <c r="I876" s="5">
        <v>0</v>
      </c>
      <c r="J876" s="7">
        <v>0</v>
      </c>
      <c r="K876">
        <v>6</v>
      </c>
      <c r="L876">
        <v>1.5</v>
      </c>
      <c r="M876" s="5">
        <v>1.5</v>
      </c>
      <c r="N876" s="5">
        <v>10</v>
      </c>
      <c r="O876" s="5">
        <f t="shared" si="6021"/>
        <v>171104</v>
      </c>
      <c r="P876" s="5">
        <f t="shared" si="6022"/>
        <v>976752000</v>
      </c>
      <c r="Q876" s="5">
        <f t="shared" si="6023"/>
        <v>16279</v>
      </c>
      <c r="R876" s="5">
        <v>0</v>
      </c>
      <c r="S876" s="5">
        <v>0</v>
      </c>
      <c r="T876" s="5">
        <v>0</v>
      </c>
      <c r="U876" s="5">
        <v>0</v>
      </c>
      <c r="V876" s="5">
        <v>0</v>
      </c>
      <c r="W876" s="5">
        <v>70091</v>
      </c>
      <c r="X876" s="6" t="s">
        <v>187</v>
      </c>
      <c r="Y876" s="5">
        <v>300</v>
      </c>
      <c r="Z876" s="5">
        <v>1</v>
      </c>
      <c r="AA876" s="5">
        <v>577636739</v>
      </c>
      <c r="AB876" s="16" t="s">
        <v>111</v>
      </c>
      <c r="AC876" s="7" t="s">
        <v>112</v>
      </c>
      <c r="AD876" s="7" t="s">
        <v>112</v>
      </c>
      <c r="AE876" s="7" t="s">
        <v>112</v>
      </c>
      <c r="AF876" s="6" t="s">
        <v>113</v>
      </c>
      <c r="AG876" s="26" t="str">
        <f t="shared" ref="AG876" si="6312">CM$12</f>
        <v>4,33,28,33,6,4,33,28,33,6</v>
      </c>
      <c r="AH876" s="26" t="str">
        <f t="shared" ref="AH876" si="6313">CN$12</f>
        <v>0,5,0,5,1,0,5,0,5,1</v>
      </c>
      <c r="AI876" s="26" t="str">
        <f t="shared" ref="AI876" si="6314">CO$12</f>
        <v>0,0,0,0,1,0,0,0,0,1</v>
      </c>
      <c r="AJ876" s="26" t="str">
        <f t="shared" ref="AJ876" si="6315">CP$12</f>
        <v>0,0,0,0,5,0,0,0,0,5</v>
      </c>
      <c r="AK876" s="26" t="str">
        <f t="shared" ref="AK876" si="6316">CQ$12</f>
        <v>100,1,1000,2,5,200,1,1000,2,5</v>
      </c>
      <c r="AL876" s="26" t="str">
        <f t="shared" ref="AL876" si="6317">CR$12</f>
        <v>5,5,5,5,5,5,5,5,5,5</v>
      </c>
      <c r="AM876" s="7">
        <v>2001</v>
      </c>
      <c r="AO876">
        <f t="shared" ref="AO876" si="6318">AQ876*100+9</f>
        <v>9709</v>
      </c>
      <c r="AP876">
        <v>872</v>
      </c>
      <c r="AQ876">
        <f t="shared" si="6031"/>
        <v>97</v>
      </c>
      <c r="AR876">
        <v>14</v>
      </c>
      <c r="AS876" s="17">
        <f t="shared" si="6112"/>
        <v>560</v>
      </c>
      <c r="AT876">
        <v>13</v>
      </c>
      <c r="AU876">
        <f t="shared" si="6032"/>
        <v>38</v>
      </c>
      <c r="AV876">
        <v>150</v>
      </c>
      <c r="AW876">
        <f t="shared" si="6033"/>
        <v>171104.62463999999</v>
      </c>
      <c r="AX876">
        <f t="shared" si="6162"/>
        <v>976752000</v>
      </c>
      <c r="AY876">
        <f t="shared" si="6034"/>
        <v>16279.2</v>
      </c>
      <c r="AZ876">
        <f t="shared" si="6035"/>
        <v>32558.400000000001</v>
      </c>
      <c r="BA876">
        <f t="shared" si="6036"/>
        <v>186048</v>
      </c>
      <c r="BB876">
        <f t="shared" si="6037"/>
        <v>8139.6</v>
      </c>
      <c r="BC876">
        <f t="shared" si="6163"/>
        <v>976752000</v>
      </c>
      <c r="BD876">
        <f t="shared" si="6038"/>
        <v>0.29411764705882348</v>
      </c>
      <c r="BE876" s="27">
        <f t="shared" si="6164"/>
        <v>2838282296.7743998</v>
      </c>
      <c r="BF876" s="30">
        <f t="shared" si="6039"/>
        <v>0.53279999999999994</v>
      </c>
      <c r="BG876" s="27"/>
      <c r="BH876" s="27"/>
      <c r="BI876" s="27"/>
      <c r="CA876" s="20">
        <f t="shared" si="6040"/>
        <v>580</v>
      </c>
      <c r="CB876" s="20">
        <f t="shared" si="6041"/>
        <v>58000</v>
      </c>
    </row>
    <row r="877" spans="1:80" x14ac:dyDescent="0.15">
      <c r="A877">
        <v>9801</v>
      </c>
      <c r="B877" s="3" t="s">
        <v>108</v>
      </c>
      <c r="C877" s="4" t="s">
        <v>109</v>
      </c>
      <c r="D877" s="4" t="s">
        <v>110</v>
      </c>
      <c r="E877" s="5">
        <v>3</v>
      </c>
      <c r="F877" s="7" t="s">
        <v>141</v>
      </c>
      <c r="G877" s="5">
        <v>2.5</v>
      </c>
      <c r="H877" s="7" t="s">
        <v>194</v>
      </c>
      <c r="I877" s="5">
        <v>0</v>
      </c>
      <c r="J877" s="5">
        <v>0</v>
      </c>
      <c r="K877">
        <v>2</v>
      </c>
      <c r="L877">
        <v>1.5</v>
      </c>
      <c r="M877" s="5">
        <v>1.5</v>
      </c>
      <c r="N877" s="5">
        <v>10</v>
      </c>
      <c r="O877" s="5">
        <f t="shared" si="6021"/>
        <v>160849</v>
      </c>
      <c r="P877" s="5">
        <f t="shared" si="6022"/>
        <v>916776000</v>
      </c>
      <c r="Q877" s="5">
        <f t="shared" si="6023"/>
        <v>15279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70011</v>
      </c>
      <c r="X877" s="6" t="s">
        <v>179</v>
      </c>
      <c r="Y877" s="5">
        <v>300</v>
      </c>
      <c r="Z877" s="5">
        <v>1</v>
      </c>
      <c r="AA877" s="5">
        <v>588383238</v>
      </c>
      <c r="AB877" s="16" t="s">
        <v>111</v>
      </c>
      <c r="AC877" s="7" t="s">
        <v>112</v>
      </c>
      <c r="AD877" s="7" t="s">
        <v>112</v>
      </c>
      <c r="AE877" s="7" t="s">
        <v>112</v>
      </c>
      <c r="AF877" s="6" t="s">
        <v>113</v>
      </c>
      <c r="AG877" s="26" t="str">
        <f t="shared" ref="AG877" si="6319">CM$4</f>
        <v>4,33,28,33,6,4,33,28,33,6</v>
      </c>
      <c r="AH877" s="26" t="str">
        <f t="shared" ref="AH877" si="6320">CN$4</f>
        <v>0,8,0,8,1,0,8,0,8,1</v>
      </c>
      <c r="AI877" s="26" t="str">
        <f t="shared" ref="AI877" si="6321">CO$4</f>
        <v>0,0,0,0,1,0,0,0,0,1</v>
      </c>
      <c r="AJ877" s="26" t="str">
        <f t="shared" ref="AJ877" si="6322">CP$4</f>
        <v>0,0,0,0,5,0,0,0,0,5</v>
      </c>
      <c r="AK877" s="26" t="str">
        <f t="shared" ref="AK877" si="6323">CQ$4</f>
        <v>100,1,1000,2,5,200,1,1000,2,5</v>
      </c>
      <c r="AL877" s="26" t="str">
        <f t="shared" ref="AL877" si="6324">CR$4</f>
        <v>5,5,5,5,5,5,5,5,5,5</v>
      </c>
      <c r="AM877" s="7">
        <v>2001</v>
      </c>
      <c r="AO877">
        <f t="shared" ref="AO877" si="6325">AQ877*100+1</f>
        <v>9801</v>
      </c>
      <c r="AP877">
        <v>873</v>
      </c>
      <c r="AQ877">
        <f t="shared" si="6031"/>
        <v>98</v>
      </c>
      <c r="AR877">
        <v>14</v>
      </c>
      <c r="AS877" s="17">
        <f t="shared" si="6112"/>
        <v>525</v>
      </c>
      <c r="AT877">
        <v>13</v>
      </c>
      <c r="AU877">
        <f t="shared" si="6032"/>
        <v>38</v>
      </c>
      <c r="AV877">
        <v>150</v>
      </c>
      <c r="AW877">
        <f t="shared" si="6033"/>
        <v>160849.65888</v>
      </c>
      <c r="AX877">
        <f t="shared" si="6162"/>
        <v>916776000</v>
      </c>
      <c r="AY877">
        <f t="shared" si="6034"/>
        <v>15279.6</v>
      </c>
      <c r="AZ877">
        <f t="shared" si="6035"/>
        <v>30559.200000000001</v>
      </c>
      <c r="BA877">
        <f t="shared" si="6036"/>
        <v>174624</v>
      </c>
      <c r="BB877">
        <f t="shared" si="6037"/>
        <v>7639.8</v>
      </c>
      <c r="BC877">
        <f t="shared" si="6163"/>
        <v>916776000</v>
      </c>
      <c r="BD877">
        <f t="shared" si="6038"/>
        <v>0.29411764705882348</v>
      </c>
      <c r="BE877" s="27">
        <f t="shared" si="6164"/>
        <v>2500422746.6736002</v>
      </c>
      <c r="BF877" s="30">
        <f t="shared" si="6039"/>
        <v>0.53520000000000001</v>
      </c>
      <c r="BG877" s="27"/>
      <c r="BH877" s="27"/>
      <c r="BI877" s="27"/>
      <c r="CA877" s="20">
        <f t="shared" si="6040"/>
        <v>585</v>
      </c>
      <c r="CB877" s="20">
        <f t="shared" si="6041"/>
        <v>58500</v>
      </c>
    </row>
    <row r="878" spans="1:80" x14ac:dyDescent="0.15">
      <c r="A878">
        <v>9802</v>
      </c>
      <c r="B878" s="3" t="s">
        <v>115</v>
      </c>
      <c r="C878" s="4" t="s">
        <v>109</v>
      </c>
      <c r="D878" s="6" t="s">
        <v>110</v>
      </c>
      <c r="E878" s="5">
        <v>3</v>
      </c>
      <c r="F878" s="7" t="s">
        <v>142</v>
      </c>
      <c r="G878" s="5">
        <v>3</v>
      </c>
      <c r="H878" s="7" t="s">
        <v>188</v>
      </c>
      <c r="I878" s="5">
        <v>0</v>
      </c>
      <c r="J878" s="5">
        <v>0</v>
      </c>
      <c r="K878">
        <v>2</v>
      </c>
      <c r="L878">
        <v>1.5</v>
      </c>
      <c r="M878" s="5">
        <v>1.5</v>
      </c>
      <c r="N878" s="5">
        <v>10</v>
      </c>
      <c r="O878" s="5">
        <f t="shared" si="6021"/>
        <v>162352</v>
      </c>
      <c r="P878" s="5">
        <f t="shared" si="6022"/>
        <v>925344000</v>
      </c>
      <c r="Q878" s="5">
        <f t="shared" si="6023"/>
        <v>15422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70021</v>
      </c>
      <c r="X878" s="6" t="s">
        <v>180</v>
      </c>
      <c r="Y878" s="5">
        <v>300</v>
      </c>
      <c r="Z878" s="5">
        <v>1</v>
      </c>
      <c r="AA878" s="5">
        <v>515237708</v>
      </c>
      <c r="AB878" s="16" t="s">
        <v>111</v>
      </c>
      <c r="AC878" s="7" t="s">
        <v>112</v>
      </c>
      <c r="AD878" s="7" t="s">
        <v>112</v>
      </c>
      <c r="AE878" s="7" t="s">
        <v>112</v>
      </c>
      <c r="AF878" s="6" t="s">
        <v>113</v>
      </c>
      <c r="AG878" s="26" t="str">
        <f t="shared" ref="AG878" si="6326">CM$5</f>
        <v>4,33,28,33,6,4,33,28,33,6</v>
      </c>
      <c r="AH878" s="26" t="str">
        <f t="shared" ref="AH878" si="6327">CN$5</f>
        <v>0,7,0,7,1,0,7,0,7,1</v>
      </c>
      <c r="AI878" s="26" t="str">
        <f t="shared" ref="AI878" si="6328">CO$5</f>
        <v>0,0,0,0,1,0,0,0,0,1</v>
      </c>
      <c r="AJ878" s="26" t="str">
        <f t="shared" ref="AJ878" si="6329">CP$5</f>
        <v>0,0,0,0,5,0,0,0,0,5</v>
      </c>
      <c r="AK878" s="26" t="str">
        <f t="shared" ref="AK878" si="6330">CQ$5</f>
        <v>100,1,1000,2,5,200,1,1000,2,5</v>
      </c>
      <c r="AL878" s="26" t="str">
        <f t="shared" ref="AL878" si="6331">CR$5</f>
        <v>5,5,5,5,5,5,5,5,5,5</v>
      </c>
      <c r="AM878" s="7">
        <v>2001</v>
      </c>
      <c r="AO878">
        <f t="shared" ref="AO878" si="6332">AQ878*100+2</f>
        <v>9802</v>
      </c>
      <c r="AP878">
        <v>874</v>
      </c>
      <c r="AQ878">
        <f t="shared" si="6031"/>
        <v>98</v>
      </c>
      <c r="AR878">
        <v>14</v>
      </c>
      <c r="AS878" s="17">
        <f t="shared" si="6112"/>
        <v>530</v>
      </c>
      <c r="AT878">
        <v>13</v>
      </c>
      <c r="AU878">
        <f t="shared" si="6032"/>
        <v>38</v>
      </c>
      <c r="AV878">
        <v>150</v>
      </c>
      <c r="AW878">
        <f t="shared" si="6033"/>
        <v>162352.92671999999</v>
      </c>
      <c r="AX878">
        <f t="shared" si="6162"/>
        <v>925344000.00000024</v>
      </c>
      <c r="AY878">
        <f t="shared" si="6034"/>
        <v>15422.400000000001</v>
      </c>
      <c r="AZ878">
        <f t="shared" si="6035"/>
        <v>30844.800000000003</v>
      </c>
      <c r="BA878">
        <f t="shared" si="6036"/>
        <v>176256</v>
      </c>
      <c r="BB878">
        <f t="shared" si="6037"/>
        <v>7711.2000000000007</v>
      </c>
      <c r="BC878">
        <f t="shared" si="6163"/>
        <v>925344000.00000024</v>
      </c>
      <c r="BD878">
        <f t="shared" si="6038"/>
        <v>0.29411764705882348</v>
      </c>
      <c r="BE878" s="27">
        <f t="shared" si="6164"/>
        <v>2547378017.0496006</v>
      </c>
      <c r="BF878" s="30">
        <f t="shared" si="6039"/>
        <v>0.53520000000000001</v>
      </c>
      <c r="BG878" s="27"/>
      <c r="BH878" s="27"/>
      <c r="BI878" s="27"/>
      <c r="CA878" s="20">
        <f t="shared" si="6040"/>
        <v>585</v>
      </c>
      <c r="CB878" s="20">
        <f t="shared" si="6041"/>
        <v>58500</v>
      </c>
    </row>
    <row r="879" spans="1:80" x14ac:dyDescent="0.15">
      <c r="A879">
        <v>9803</v>
      </c>
      <c r="B879" s="3" t="s">
        <v>117</v>
      </c>
      <c r="C879" s="4" t="s">
        <v>109</v>
      </c>
      <c r="D879" s="4" t="s">
        <v>110</v>
      </c>
      <c r="E879" s="5">
        <v>1</v>
      </c>
      <c r="F879" s="7" t="s">
        <v>144</v>
      </c>
      <c r="G879" s="5">
        <v>3</v>
      </c>
      <c r="H879" s="7" t="s">
        <v>189</v>
      </c>
      <c r="I879" s="5">
        <v>0</v>
      </c>
      <c r="J879" s="2">
        <v>0</v>
      </c>
      <c r="K879">
        <v>6</v>
      </c>
      <c r="L879">
        <v>1.5</v>
      </c>
      <c r="M879" s="5">
        <v>1.5</v>
      </c>
      <c r="N879" s="5">
        <v>10</v>
      </c>
      <c r="O879" s="5">
        <f t="shared" si="6021"/>
        <v>163856</v>
      </c>
      <c r="P879" s="5">
        <f t="shared" si="6022"/>
        <v>933912000</v>
      </c>
      <c r="Q879" s="5">
        <f t="shared" si="6023"/>
        <v>15565</v>
      </c>
      <c r="R879" s="5">
        <v>0</v>
      </c>
      <c r="S879" s="5">
        <v>0</v>
      </c>
      <c r="T879" s="5">
        <v>0</v>
      </c>
      <c r="U879" s="5">
        <v>0</v>
      </c>
      <c r="V879" s="5">
        <v>0</v>
      </c>
      <c r="W879" s="5">
        <v>70031</v>
      </c>
      <c r="X879" s="6" t="s">
        <v>181</v>
      </c>
      <c r="Y879" s="5">
        <v>300</v>
      </c>
      <c r="Z879" s="5">
        <v>1</v>
      </c>
      <c r="AA879" s="5">
        <v>525389931</v>
      </c>
      <c r="AB879" s="16" t="s">
        <v>111</v>
      </c>
      <c r="AC879" s="7" t="s">
        <v>112</v>
      </c>
      <c r="AD879" s="7" t="s">
        <v>112</v>
      </c>
      <c r="AE879" s="7" t="s">
        <v>112</v>
      </c>
      <c r="AF879" s="6" t="s">
        <v>113</v>
      </c>
      <c r="AG879" s="26" t="str">
        <f t="shared" ref="AG879" si="6333">CM$6</f>
        <v>4,28,6,28,6,4,28,6,28,6</v>
      </c>
      <c r="AH879" s="26" t="str">
        <f t="shared" ref="AH879" si="6334">CN$6</f>
        <v>0,0,1,0,1,0,0,1,0,1</v>
      </c>
      <c r="AI879" s="26" t="str">
        <f t="shared" ref="AI879" si="6335">CO$6</f>
        <v>0,0,0,0,1,0,0,0,0,1</v>
      </c>
      <c r="AJ879" s="26" t="str">
        <f t="shared" ref="AJ879" si="6336">CP$6</f>
        <v>0,0,5,0,5,0,0,5,0,5</v>
      </c>
      <c r="AK879" s="26" t="str">
        <f t="shared" ref="AK879" si="6337">CQ$6</f>
        <v>100,1000,5,1500,5,200,1000,5,1500,5</v>
      </c>
      <c r="AL879" s="26" t="str">
        <f t="shared" ref="AL879" si="6338">CR$6</f>
        <v>5,5,5,5,5,5,5,5,5,5</v>
      </c>
      <c r="AM879" s="7">
        <v>2001</v>
      </c>
      <c r="AO879">
        <f t="shared" ref="AO879" si="6339">AQ879*100+3</f>
        <v>9803</v>
      </c>
      <c r="AP879">
        <v>875</v>
      </c>
      <c r="AQ879">
        <f t="shared" si="6031"/>
        <v>98</v>
      </c>
      <c r="AR879">
        <v>14</v>
      </c>
      <c r="AS879" s="17">
        <f t="shared" si="6112"/>
        <v>535</v>
      </c>
      <c r="AT879">
        <v>13</v>
      </c>
      <c r="AU879">
        <f t="shared" si="6032"/>
        <v>38</v>
      </c>
      <c r="AV879">
        <v>150</v>
      </c>
      <c r="AW879">
        <f t="shared" si="6033"/>
        <v>163856.19456</v>
      </c>
      <c r="AX879">
        <f t="shared" si="6162"/>
        <v>933912000</v>
      </c>
      <c r="AY879">
        <f t="shared" si="6034"/>
        <v>15565.2</v>
      </c>
      <c r="AZ879">
        <f t="shared" si="6035"/>
        <v>31130.400000000001</v>
      </c>
      <c r="BA879">
        <f t="shared" si="6036"/>
        <v>177888</v>
      </c>
      <c r="BB879">
        <f t="shared" si="6037"/>
        <v>7782.6</v>
      </c>
      <c r="BC879">
        <f t="shared" si="6163"/>
        <v>933912000</v>
      </c>
      <c r="BD879">
        <f t="shared" si="6038"/>
        <v>0.29411764705882348</v>
      </c>
      <c r="BE879" s="27">
        <f t="shared" si="6164"/>
        <v>2594770080.6384001</v>
      </c>
      <c r="BF879" s="30">
        <f t="shared" si="6039"/>
        <v>0.53520000000000001</v>
      </c>
      <c r="BG879" s="27"/>
      <c r="BH879" s="27"/>
      <c r="BI879" s="27"/>
      <c r="CA879" s="20">
        <f t="shared" si="6040"/>
        <v>585</v>
      </c>
      <c r="CB879" s="20">
        <f t="shared" si="6041"/>
        <v>58500</v>
      </c>
    </row>
    <row r="880" spans="1:80" x14ac:dyDescent="0.15">
      <c r="A880">
        <v>9804</v>
      </c>
      <c r="B880" s="3" t="s">
        <v>119</v>
      </c>
      <c r="C880" s="4" t="s">
        <v>109</v>
      </c>
      <c r="D880" s="6" t="s">
        <v>120</v>
      </c>
      <c r="E880" s="5">
        <v>3</v>
      </c>
      <c r="F880" s="7" t="s">
        <v>145</v>
      </c>
      <c r="G880" s="5">
        <v>3</v>
      </c>
      <c r="H880" s="7" t="s">
        <v>190</v>
      </c>
      <c r="I880" s="5">
        <v>0</v>
      </c>
      <c r="J880" s="5">
        <v>0</v>
      </c>
      <c r="K880">
        <v>2</v>
      </c>
      <c r="L880">
        <v>1.5</v>
      </c>
      <c r="M880" s="5">
        <v>1.5</v>
      </c>
      <c r="N880" s="5">
        <v>10</v>
      </c>
      <c r="O880" s="5">
        <f t="shared" si="6021"/>
        <v>165359</v>
      </c>
      <c r="P880" s="5">
        <f t="shared" si="6022"/>
        <v>942480000</v>
      </c>
      <c r="Q880" s="5">
        <f t="shared" si="6023"/>
        <v>15708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70041</v>
      </c>
      <c r="X880" s="6" t="s">
        <v>182</v>
      </c>
      <c r="Y880" s="5">
        <v>300</v>
      </c>
      <c r="Z880" s="5">
        <v>1</v>
      </c>
      <c r="AA880" s="5">
        <v>535641201</v>
      </c>
      <c r="AB880" s="16" t="s">
        <v>111</v>
      </c>
      <c r="AC880" s="7" t="s">
        <v>112</v>
      </c>
      <c r="AD880" s="7" t="s">
        <v>112</v>
      </c>
      <c r="AE880" s="7" t="s">
        <v>112</v>
      </c>
      <c r="AF880" s="6" t="s">
        <v>113</v>
      </c>
      <c r="AG880" s="26" t="str">
        <f t="shared" ref="AG880" si="6340">CM$7</f>
        <v>4,14,28,14,6,4,14,28,14,6</v>
      </c>
      <c r="AH880" s="26" t="str">
        <f t="shared" ref="AH880" si="6341">CN$7</f>
        <v>0,0,0,0,1,0,0,0,0,1</v>
      </c>
      <c r="AI880" s="26" t="str">
        <f t="shared" ref="AI880" si="6342">CO$7</f>
        <v>0,0,0,0,1,0,0,0,0,1</v>
      </c>
      <c r="AJ880" s="26" t="str">
        <f t="shared" ref="AJ880" si="6343">CP$7</f>
        <v>0,0,0,0,5,0,0,0,0,5</v>
      </c>
      <c r="AK880" s="26" t="str">
        <f t="shared" ref="AK880" si="6344">CQ$7</f>
        <v>100,1,1000,2,5,200,1,1000,2,5</v>
      </c>
      <c r="AL880" s="26" t="str">
        <f t="shared" ref="AL880" si="6345">CR$7</f>
        <v>5,5,5,5,5,5,5,5,5,5</v>
      </c>
      <c r="AM880" s="7">
        <v>2001</v>
      </c>
      <c r="AO880">
        <f t="shared" ref="AO880" si="6346">AQ880*100+4</f>
        <v>9804</v>
      </c>
      <c r="AP880">
        <v>876</v>
      </c>
      <c r="AQ880">
        <f t="shared" si="6031"/>
        <v>98</v>
      </c>
      <c r="AR880">
        <v>14</v>
      </c>
      <c r="AS880" s="17">
        <f t="shared" si="6112"/>
        <v>540</v>
      </c>
      <c r="AT880">
        <v>13</v>
      </c>
      <c r="AU880">
        <f t="shared" si="6032"/>
        <v>38</v>
      </c>
      <c r="AV880">
        <v>150</v>
      </c>
      <c r="AW880">
        <f t="shared" si="6033"/>
        <v>165359.46240000002</v>
      </c>
      <c r="AX880">
        <f t="shared" si="6162"/>
        <v>942480000</v>
      </c>
      <c r="AY880">
        <f t="shared" si="6034"/>
        <v>15708</v>
      </c>
      <c r="AZ880">
        <f t="shared" si="6035"/>
        <v>31416</v>
      </c>
      <c r="BA880">
        <f t="shared" si="6036"/>
        <v>179520</v>
      </c>
      <c r="BB880">
        <f t="shared" si="6037"/>
        <v>7854</v>
      </c>
      <c r="BC880">
        <f t="shared" si="6163"/>
        <v>942480000</v>
      </c>
      <c r="BD880">
        <f t="shared" si="6038"/>
        <v>0.29411764705882354</v>
      </c>
      <c r="BE880" s="27">
        <f t="shared" si="6164"/>
        <v>2642598937.4400001</v>
      </c>
      <c r="BF880" s="30">
        <f t="shared" si="6039"/>
        <v>0.53520000000000001</v>
      </c>
      <c r="BG880" s="27"/>
      <c r="BH880" s="27"/>
      <c r="BI880" s="27"/>
      <c r="CA880" s="20">
        <f t="shared" si="6040"/>
        <v>585</v>
      </c>
      <c r="CB880" s="20">
        <f t="shared" si="6041"/>
        <v>58500</v>
      </c>
    </row>
    <row r="881" spans="1:80" x14ac:dyDescent="0.15">
      <c r="A881">
        <v>9805</v>
      </c>
      <c r="B881" s="3" t="s">
        <v>122</v>
      </c>
      <c r="C881" s="4" t="s">
        <v>109</v>
      </c>
      <c r="D881" s="4" t="s">
        <v>110</v>
      </c>
      <c r="E881" s="5">
        <v>2</v>
      </c>
      <c r="F881" s="7" t="s">
        <v>146</v>
      </c>
      <c r="G881" s="5">
        <v>3</v>
      </c>
      <c r="H881" s="7" t="s">
        <v>191</v>
      </c>
      <c r="I881" s="5">
        <v>0</v>
      </c>
      <c r="J881" s="7" t="s">
        <v>148</v>
      </c>
      <c r="K881">
        <v>6</v>
      </c>
      <c r="L881">
        <v>1.5</v>
      </c>
      <c r="M881" s="5">
        <v>1.5</v>
      </c>
      <c r="N881" s="5">
        <v>10</v>
      </c>
      <c r="O881" s="5">
        <f t="shared" si="6021"/>
        <v>166862</v>
      </c>
      <c r="P881" s="5">
        <f t="shared" si="6022"/>
        <v>951048000</v>
      </c>
      <c r="Q881" s="5">
        <f t="shared" si="6023"/>
        <v>15850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70051</v>
      </c>
      <c r="X881" s="6" t="s">
        <v>183</v>
      </c>
      <c r="Y881" s="5">
        <v>300</v>
      </c>
      <c r="Z881" s="5">
        <v>1</v>
      </c>
      <c r="AA881" s="5">
        <v>545991516</v>
      </c>
      <c r="AB881" s="16" t="s">
        <v>111</v>
      </c>
      <c r="AC881" s="7" t="s">
        <v>112</v>
      </c>
      <c r="AD881" s="7" t="s">
        <v>112</v>
      </c>
      <c r="AE881" s="7" t="s">
        <v>112</v>
      </c>
      <c r="AF881" s="6" t="s">
        <v>113</v>
      </c>
      <c r="AG881" s="26" t="str">
        <f t="shared" ref="AG881" si="6347">CM$8</f>
        <v>4,19,28,19,6,4,19,28,19,6</v>
      </c>
      <c r="AH881" s="26" t="str">
        <f t="shared" ref="AH881" si="6348">CN$8</f>
        <v>0,0,0,0,1,0,0,0,0,1</v>
      </c>
      <c r="AI881" s="26" t="str">
        <f t="shared" ref="AI881" si="6349">CO$8</f>
        <v>0,0,0,0,1,0,0,0,0,1</v>
      </c>
      <c r="AJ881" s="26" t="str">
        <f t="shared" ref="AJ881" si="6350">CP$8</f>
        <v>0,0,0,0,5,0,0,0,0,5</v>
      </c>
      <c r="AK881" s="26" t="str">
        <f t="shared" ref="AK881" si="6351">CQ$8</f>
        <v>200,100,1000,200,5,200,100,1000,200,5</v>
      </c>
      <c r="AL881" s="26" t="str">
        <f t="shared" ref="AL881" si="6352">CR$8</f>
        <v>5,5,5,5,5,5,5,5,5,5</v>
      </c>
      <c r="AM881" s="7">
        <v>2001</v>
      </c>
      <c r="AO881">
        <f t="shared" ref="AO881" si="6353">AQ881*100+5</f>
        <v>9805</v>
      </c>
      <c r="AP881">
        <v>877</v>
      </c>
      <c r="AQ881">
        <f t="shared" si="6031"/>
        <v>98</v>
      </c>
      <c r="AR881">
        <v>14</v>
      </c>
      <c r="AS881" s="17">
        <f t="shared" si="6112"/>
        <v>545</v>
      </c>
      <c r="AT881">
        <v>13</v>
      </c>
      <c r="AU881">
        <f t="shared" si="6032"/>
        <v>38</v>
      </c>
      <c r="AV881">
        <v>150</v>
      </c>
      <c r="AW881">
        <f t="shared" si="6033"/>
        <v>166862.73024</v>
      </c>
      <c r="AX881">
        <f t="shared" si="6162"/>
        <v>951048000.00000024</v>
      </c>
      <c r="AY881">
        <f t="shared" si="6034"/>
        <v>15850.800000000001</v>
      </c>
      <c r="AZ881">
        <f t="shared" si="6035"/>
        <v>31701.600000000002</v>
      </c>
      <c r="BA881">
        <f t="shared" si="6036"/>
        <v>181152</v>
      </c>
      <c r="BB881">
        <f t="shared" si="6037"/>
        <v>7925.4000000000005</v>
      </c>
      <c r="BC881">
        <f t="shared" si="6163"/>
        <v>951048000.00000024</v>
      </c>
      <c r="BD881">
        <f t="shared" si="6038"/>
        <v>0.29411764705882354</v>
      </c>
      <c r="BE881" s="27">
        <f t="shared" si="6164"/>
        <v>2690864587.454401</v>
      </c>
      <c r="BF881" s="30">
        <f t="shared" si="6039"/>
        <v>0.53520000000000001</v>
      </c>
      <c r="BG881" s="27"/>
      <c r="BH881" s="27"/>
      <c r="BI881" s="27"/>
      <c r="CA881" s="20">
        <f t="shared" si="6040"/>
        <v>585</v>
      </c>
      <c r="CB881" s="20">
        <f t="shared" si="6041"/>
        <v>58500</v>
      </c>
    </row>
    <row r="882" spans="1:80" x14ac:dyDescent="0.15">
      <c r="A882">
        <v>9806</v>
      </c>
      <c r="B882" s="3" t="s">
        <v>124</v>
      </c>
      <c r="C882" s="4" t="s">
        <v>109</v>
      </c>
      <c r="D882" s="6" t="s">
        <v>120</v>
      </c>
      <c r="E882" s="5">
        <v>1</v>
      </c>
      <c r="F882" s="7" t="s">
        <v>147</v>
      </c>
      <c r="G882" s="5">
        <v>3</v>
      </c>
      <c r="H882" s="7" t="s">
        <v>192</v>
      </c>
      <c r="I882" s="5">
        <v>0</v>
      </c>
      <c r="J882" s="7" t="s">
        <v>149</v>
      </c>
      <c r="K882">
        <v>6</v>
      </c>
      <c r="L882">
        <v>1.5</v>
      </c>
      <c r="M882" s="5">
        <v>1.5</v>
      </c>
      <c r="N882" s="5">
        <v>10</v>
      </c>
      <c r="O882" s="5">
        <f t="shared" si="6021"/>
        <v>168365</v>
      </c>
      <c r="P882" s="5">
        <f t="shared" si="6022"/>
        <v>959616000</v>
      </c>
      <c r="Q882" s="5">
        <f t="shared" si="6023"/>
        <v>15993</v>
      </c>
      <c r="R882" s="5">
        <v>0</v>
      </c>
      <c r="S882" s="5">
        <v>0</v>
      </c>
      <c r="T882" s="5">
        <v>0</v>
      </c>
      <c r="U882" s="5">
        <v>0</v>
      </c>
      <c r="V882" s="5">
        <v>0</v>
      </c>
      <c r="W882" s="5">
        <v>70061</v>
      </c>
      <c r="X882" s="6" t="s">
        <v>184</v>
      </c>
      <c r="Y882" s="5">
        <v>300</v>
      </c>
      <c r="Z882" s="5">
        <v>1</v>
      </c>
      <c r="AA882" s="5">
        <v>556440877</v>
      </c>
      <c r="AB882" s="16" t="s">
        <v>111</v>
      </c>
      <c r="AC882" s="7" t="s">
        <v>112</v>
      </c>
      <c r="AD882" s="7" t="s">
        <v>112</v>
      </c>
      <c r="AE882" s="7" t="s">
        <v>112</v>
      </c>
      <c r="AF882" s="6" t="s">
        <v>113</v>
      </c>
      <c r="AG882" s="26" t="str">
        <f t="shared" ref="AG882" si="6354">CM$9</f>
        <v>4,33,28,33,6,4,33,28,33,6</v>
      </c>
      <c r="AH882" s="26" t="str">
        <f t="shared" ref="AH882" si="6355">CN$9</f>
        <v>0,6,0,6,1,0,6,0,6,1</v>
      </c>
      <c r="AI882" s="26" t="str">
        <f t="shared" ref="AI882" si="6356">CO$9</f>
        <v>0,0,0,0,1,0,0,0,0,1</v>
      </c>
      <c r="AJ882" s="26" t="str">
        <f t="shared" ref="AJ882" si="6357">CP$9</f>
        <v>0,0,0,0,5,0,0,0,0,5</v>
      </c>
      <c r="AK882" s="26" t="str">
        <f t="shared" ref="AK882" si="6358">CQ$9</f>
        <v>200,1,1000,2,5,200,1,1000,2,5</v>
      </c>
      <c r="AL882" s="26" t="str">
        <f t="shared" ref="AL882" si="6359">CR$9</f>
        <v>5,5,5,5,5,5,5,5,5,5</v>
      </c>
      <c r="AM882" s="7">
        <v>2001</v>
      </c>
      <c r="AO882">
        <f t="shared" ref="AO882" si="6360">AQ882*100+6</f>
        <v>9806</v>
      </c>
      <c r="AP882">
        <v>878</v>
      </c>
      <c r="AQ882">
        <f t="shared" si="6031"/>
        <v>98</v>
      </c>
      <c r="AR882">
        <v>14</v>
      </c>
      <c r="AS882" s="17">
        <f t="shared" si="6112"/>
        <v>550</v>
      </c>
      <c r="AT882">
        <v>13</v>
      </c>
      <c r="AU882">
        <f t="shared" si="6032"/>
        <v>38</v>
      </c>
      <c r="AV882">
        <v>150</v>
      </c>
      <c r="AW882">
        <f t="shared" si="6033"/>
        <v>168365.99807999999</v>
      </c>
      <c r="AX882">
        <f t="shared" si="6162"/>
        <v>959616000</v>
      </c>
      <c r="AY882">
        <f t="shared" si="6034"/>
        <v>15993.6</v>
      </c>
      <c r="AZ882">
        <f t="shared" si="6035"/>
        <v>31987.200000000001</v>
      </c>
      <c r="BA882">
        <f t="shared" si="6036"/>
        <v>182784</v>
      </c>
      <c r="BB882">
        <f t="shared" si="6037"/>
        <v>7996.8</v>
      </c>
      <c r="BC882">
        <f t="shared" si="6163"/>
        <v>959616000</v>
      </c>
      <c r="BD882">
        <f t="shared" si="6038"/>
        <v>0.29411764705882348</v>
      </c>
      <c r="BE882" s="27">
        <f t="shared" si="6164"/>
        <v>2739567030.6816006</v>
      </c>
      <c r="BF882" s="30">
        <f t="shared" si="6039"/>
        <v>0.53520000000000001</v>
      </c>
      <c r="BG882" s="27"/>
      <c r="BH882" s="27"/>
      <c r="BI882" s="27"/>
      <c r="CA882" s="20">
        <f t="shared" si="6040"/>
        <v>585</v>
      </c>
      <c r="CB882" s="20">
        <f t="shared" si="6041"/>
        <v>58500</v>
      </c>
    </row>
    <row r="883" spans="1:80" x14ac:dyDescent="0.15">
      <c r="A883">
        <v>9807</v>
      </c>
      <c r="B883" s="3" t="s">
        <v>126</v>
      </c>
      <c r="C883" s="4" t="s">
        <v>109</v>
      </c>
      <c r="D883" s="4" t="s">
        <v>110</v>
      </c>
      <c r="E883" s="5">
        <v>2</v>
      </c>
      <c r="F883" s="7" t="s">
        <v>143</v>
      </c>
      <c r="G883" s="5">
        <v>3</v>
      </c>
      <c r="H883" s="7" t="s">
        <v>193</v>
      </c>
      <c r="I883" s="5">
        <v>0</v>
      </c>
      <c r="J883" s="5">
        <v>0</v>
      </c>
      <c r="K883">
        <v>2</v>
      </c>
      <c r="L883">
        <v>1.5</v>
      </c>
      <c r="M883" s="5">
        <v>1.5</v>
      </c>
      <c r="N883" s="5">
        <v>10</v>
      </c>
      <c r="O883" s="5">
        <f t="shared" si="6021"/>
        <v>169869</v>
      </c>
      <c r="P883" s="5">
        <f t="shared" si="6022"/>
        <v>968184000</v>
      </c>
      <c r="Q883" s="5">
        <f t="shared" si="6023"/>
        <v>16136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70071</v>
      </c>
      <c r="X883" s="6" t="s">
        <v>185</v>
      </c>
      <c r="Y883" s="5">
        <v>300</v>
      </c>
      <c r="Z883" s="5">
        <v>1</v>
      </c>
      <c r="AA883" s="5">
        <v>566989285</v>
      </c>
      <c r="AB883" s="16" t="s">
        <v>111</v>
      </c>
      <c r="AC883" s="7" t="s">
        <v>112</v>
      </c>
      <c r="AD883" s="7" t="s">
        <v>112</v>
      </c>
      <c r="AE883" s="7" t="s">
        <v>112</v>
      </c>
      <c r="AF883" s="6" t="s">
        <v>113</v>
      </c>
      <c r="AG883" s="26" t="str">
        <f t="shared" ref="AG883" si="6361">CM$10</f>
        <v>4,14,28,14,6,4,14,28,14,6</v>
      </c>
      <c r="AH883" s="26" t="str">
        <f t="shared" ref="AH883" si="6362">CN$10</f>
        <v>0,0,0,0,1,0,0,0,0,1</v>
      </c>
      <c r="AI883" s="26" t="str">
        <f t="shared" ref="AI883" si="6363">CO$10</f>
        <v>0,0,0,0,1,0,0,0,0,1</v>
      </c>
      <c r="AJ883" s="26" t="str">
        <f t="shared" ref="AJ883" si="6364">CP$10</f>
        <v>0,0,0,0,5,0,0,0,0,5</v>
      </c>
      <c r="AK883" s="26" t="str">
        <f t="shared" ref="AK883" si="6365">CQ$10</f>
        <v>200,1,1000,2,5,200,1,1000,2,5</v>
      </c>
      <c r="AL883" s="26" t="str">
        <f t="shared" ref="AL883" si="6366">CR$10</f>
        <v>5,5,5,5,5,5,5,5,5,5</v>
      </c>
      <c r="AM883" s="7">
        <v>2001</v>
      </c>
      <c r="AO883">
        <f t="shared" ref="AO883" si="6367">AQ883*100+7</f>
        <v>9807</v>
      </c>
      <c r="AP883">
        <v>879</v>
      </c>
      <c r="AQ883">
        <f t="shared" si="6031"/>
        <v>98</v>
      </c>
      <c r="AR883">
        <v>14</v>
      </c>
      <c r="AS883" s="17">
        <f t="shared" si="6112"/>
        <v>555</v>
      </c>
      <c r="AT883">
        <v>13</v>
      </c>
      <c r="AU883">
        <f t="shared" si="6032"/>
        <v>38</v>
      </c>
      <c r="AV883">
        <v>150</v>
      </c>
      <c r="AW883">
        <f t="shared" si="6033"/>
        <v>169869.26592000001</v>
      </c>
      <c r="AX883">
        <f t="shared" si="6162"/>
        <v>968184000.00000024</v>
      </c>
      <c r="AY883">
        <f t="shared" si="6034"/>
        <v>16136.400000000001</v>
      </c>
      <c r="AZ883">
        <f t="shared" si="6035"/>
        <v>32272.800000000003</v>
      </c>
      <c r="BA883">
        <f t="shared" si="6036"/>
        <v>184416</v>
      </c>
      <c r="BB883">
        <f t="shared" si="6037"/>
        <v>8068.2000000000007</v>
      </c>
      <c r="BC883">
        <f t="shared" si="6163"/>
        <v>968184000.00000024</v>
      </c>
      <c r="BD883">
        <f t="shared" si="6038"/>
        <v>0.29411764705882348</v>
      </c>
      <c r="BE883" s="27">
        <f t="shared" si="6164"/>
        <v>2788706267.1216011</v>
      </c>
      <c r="BF883" s="30">
        <f t="shared" si="6039"/>
        <v>0.53520000000000001</v>
      </c>
      <c r="BG883" s="27"/>
      <c r="BH883" s="27"/>
      <c r="BI883" s="27"/>
      <c r="CA883" s="20">
        <f t="shared" si="6040"/>
        <v>585</v>
      </c>
      <c r="CB883" s="20">
        <f t="shared" si="6041"/>
        <v>58500</v>
      </c>
    </row>
    <row r="884" spans="1:80" x14ac:dyDescent="0.15">
      <c r="A884">
        <v>9808</v>
      </c>
      <c r="B884" s="3" t="s">
        <v>128</v>
      </c>
      <c r="C884" s="4" t="s">
        <v>109</v>
      </c>
      <c r="D884" s="4" t="s">
        <v>110</v>
      </c>
      <c r="E884" s="5">
        <v>5</v>
      </c>
      <c r="F884" s="7" t="s">
        <v>129</v>
      </c>
      <c r="G884" s="5">
        <v>2</v>
      </c>
      <c r="H884" s="7" t="s">
        <v>130</v>
      </c>
      <c r="I884" s="5">
        <v>0</v>
      </c>
      <c r="J884" s="5">
        <v>0</v>
      </c>
      <c r="K884">
        <v>2</v>
      </c>
      <c r="L884">
        <v>1.5</v>
      </c>
      <c r="M884" s="5">
        <v>1.5</v>
      </c>
      <c r="N884" s="5">
        <v>10</v>
      </c>
      <c r="O884" s="5">
        <f t="shared" si="6021"/>
        <v>171372</v>
      </c>
      <c r="P884" s="5">
        <f t="shared" si="6022"/>
        <v>976752000</v>
      </c>
      <c r="Q884" s="5">
        <f t="shared" si="6023"/>
        <v>16279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70081</v>
      </c>
      <c r="X884" s="6" t="s">
        <v>186</v>
      </c>
      <c r="Y884" s="5">
        <v>300</v>
      </c>
      <c r="Z884" s="5">
        <v>1</v>
      </c>
      <c r="AA884" s="5">
        <v>577636739</v>
      </c>
      <c r="AB884" s="16" t="s">
        <v>111</v>
      </c>
      <c r="AC884" s="7" t="s">
        <v>112</v>
      </c>
      <c r="AD884" s="7" t="s">
        <v>112</v>
      </c>
      <c r="AE884" s="7" t="s">
        <v>112</v>
      </c>
      <c r="AF884" s="6" t="s">
        <v>113</v>
      </c>
      <c r="AG884" s="26" t="str">
        <f t="shared" ref="AG884" si="6368">CM$11</f>
        <v>4,28,6,28,6,4,28,6,28,6</v>
      </c>
      <c r="AH884" s="26" t="str">
        <f t="shared" ref="AH884" si="6369">CN$11</f>
        <v>0,0,1,0,1,0,0,1,0,1</v>
      </c>
      <c r="AI884" s="26" t="str">
        <f t="shared" ref="AI884" si="6370">CO$11</f>
        <v>0,0,1,0,1,0,0,1,0,1</v>
      </c>
      <c r="AJ884" s="26" t="str">
        <f t="shared" ref="AJ884" si="6371">CP$11</f>
        <v>0,0,5,0,5,0,0,5,0,5</v>
      </c>
      <c r="AK884" s="26" t="str">
        <f t="shared" ref="AK884" si="6372">CQ$11</f>
        <v>100,1000,5,1500,5,200,1000,5,1500,5</v>
      </c>
      <c r="AL884" s="26" t="str">
        <f t="shared" ref="AL884" si="6373">CR$11</f>
        <v>5,5,5,5,5,5,5,5,5,5</v>
      </c>
      <c r="AM884" s="7">
        <v>2001</v>
      </c>
      <c r="AO884">
        <f t="shared" ref="AO884" si="6374">AQ884*100+8</f>
        <v>9808</v>
      </c>
      <c r="AP884">
        <v>880</v>
      </c>
      <c r="AQ884">
        <f t="shared" si="6031"/>
        <v>98</v>
      </c>
      <c r="AR884">
        <v>14</v>
      </c>
      <c r="AS884" s="17">
        <f t="shared" si="6112"/>
        <v>560</v>
      </c>
      <c r="AT884">
        <v>13</v>
      </c>
      <c r="AU884">
        <f t="shared" si="6032"/>
        <v>38</v>
      </c>
      <c r="AV884">
        <v>150</v>
      </c>
      <c r="AW884">
        <f t="shared" si="6033"/>
        <v>171372.53376000002</v>
      </c>
      <c r="AX884">
        <f t="shared" si="6162"/>
        <v>976752000</v>
      </c>
      <c r="AY884">
        <f t="shared" si="6034"/>
        <v>16279.2</v>
      </c>
      <c r="AZ884">
        <f t="shared" si="6035"/>
        <v>32558.400000000001</v>
      </c>
      <c r="BA884">
        <f t="shared" si="6036"/>
        <v>186048</v>
      </c>
      <c r="BB884">
        <f t="shared" si="6037"/>
        <v>8139.6</v>
      </c>
      <c r="BC884">
        <f t="shared" si="6163"/>
        <v>976752000</v>
      </c>
      <c r="BD884">
        <f t="shared" si="6038"/>
        <v>0.29411764705882348</v>
      </c>
      <c r="BE884" s="27">
        <f t="shared" si="6164"/>
        <v>2838282296.7743998</v>
      </c>
      <c r="BF884" s="30">
        <f t="shared" si="6039"/>
        <v>0.53520000000000001</v>
      </c>
      <c r="BG884" s="27"/>
      <c r="BH884" s="27"/>
      <c r="BI884" s="27"/>
      <c r="CA884" s="20">
        <f t="shared" si="6040"/>
        <v>585</v>
      </c>
      <c r="CB884" s="20">
        <f t="shared" si="6041"/>
        <v>58500</v>
      </c>
    </row>
    <row r="885" spans="1:80" x14ac:dyDescent="0.15">
      <c r="A885">
        <v>9809</v>
      </c>
      <c r="B885" s="3" t="s">
        <v>132</v>
      </c>
      <c r="C885" s="4" t="s">
        <v>109</v>
      </c>
      <c r="D885" s="4" t="s">
        <v>110</v>
      </c>
      <c r="E885" s="5">
        <v>5</v>
      </c>
      <c r="F885" s="7" t="s">
        <v>140</v>
      </c>
      <c r="G885" s="5">
        <v>3</v>
      </c>
      <c r="H885" s="7" t="s">
        <v>140</v>
      </c>
      <c r="I885" s="5">
        <v>0</v>
      </c>
      <c r="J885" s="7">
        <v>0</v>
      </c>
      <c r="K885">
        <v>6</v>
      </c>
      <c r="L885">
        <v>1.5</v>
      </c>
      <c r="M885" s="5">
        <v>1.5</v>
      </c>
      <c r="N885" s="5">
        <v>10</v>
      </c>
      <c r="O885" s="5">
        <f t="shared" si="6021"/>
        <v>172875</v>
      </c>
      <c r="P885" s="5">
        <f t="shared" si="6022"/>
        <v>985320000</v>
      </c>
      <c r="Q885" s="5">
        <f t="shared" si="6023"/>
        <v>16422</v>
      </c>
      <c r="R885" s="5">
        <v>0</v>
      </c>
      <c r="S885" s="5">
        <v>0</v>
      </c>
      <c r="T885" s="5">
        <v>0</v>
      </c>
      <c r="U885" s="5">
        <v>0</v>
      </c>
      <c r="V885" s="5">
        <v>0</v>
      </c>
      <c r="W885" s="5">
        <v>70091</v>
      </c>
      <c r="X885" s="6" t="s">
        <v>187</v>
      </c>
      <c r="Y885" s="5">
        <v>300</v>
      </c>
      <c r="Z885" s="5">
        <v>1</v>
      </c>
      <c r="AA885" s="5">
        <v>588383238</v>
      </c>
      <c r="AB885" s="16" t="s">
        <v>111</v>
      </c>
      <c r="AC885" s="7" t="s">
        <v>112</v>
      </c>
      <c r="AD885" s="7" t="s">
        <v>112</v>
      </c>
      <c r="AE885" s="7" t="s">
        <v>112</v>
      </c>
      <c r="AF885" s="6" t="s">
        <v>113</v>
      </c>
      <c r="AG885" s="26" t="str">
        <f t="shared" ref="AG885" si="6375">CM$12</f>
        <v>4,33,28,33,6,4,33,28,33,6</v>
      </c>
      <c r="AH885" s="26" t="str">
        <f t="shared" ref="AH885" si="6376">CN$12</f>
        <v>0,5,0,5,1,0,5,0,5,1</v>
      </c>
      <c r="AI885" s="26" t="str">
        <f t="shared" ref="AI885" si="6377">CO$12</f>
        <v>0,0,0,0,1,0,0,0,0,1</v>
      </c>
      <c r="AJ885" s="26" t="str">
        <f t="shared" ref="AJ885" si="6378">CP$12</f>
        <v>0,0,0,0,5,0,0,0,0,5</v>
      </c>
      <c r="AK885" s="26" t="str">
        <f t="shared" ref="AK885" si="6379">CQ$12</f>
        <v>100,1,1000,2,5,200,1,1000,2,5</v>
      </c>
      <c r="AL885" s="26" t="str">
        <f t="shared" ref="AL885" si="6380">CR$12</f>
        <v>5,5,5,5,5,5,5,5,5,5</v>
      </c>
      <c r="AM885" s="7">
        <v>2001</v>
      </c>
      <c r="AO885">
        <f t="shared" ref="AO885" si="6381">AQ885*100+9</f>
        <v>9809</v>
      </c>
      <c r="AP885">
        <v>881</v>
      </c>
      <c r="AQ885">
        <f t="shared" si="6031"/>
        <v>98</v>
      </c>
      <c r="AR885">
        <v>14</v>
      </c>
      <c r="AS885" s="17">
        <f t="shared" si="6112"/>
        <v>565</v>
      </c>
      <c r="AT885">
        <v>13</v>
      </c>
      <c r="AU885">
        <f t="shared" si="6032"/>
        <v>38</v>
      </c>
      <c r="AV885">
        <v>150</v>
      </c>
      <c r="AW885">
        <f t="shared" si="6033"/>
        <v>172875.80160000001</v>
      </c>
      <c r="AX885">
        <f t="shared" si="6162"/>
        <v>985320000</v>
      </c>
      <c r="AY885">
        <f t="shared" si="6034"/>
        <v>16422</v>
      </c>
      <c r="AZ885">
        <f t="shared" si="6035"/>
        <v>32844</v>
      </c>
      <c r="BA885">
        <f t="shared" si="6036"/>
        <v>187680</v>
      </c>
      <c r="BB885">
        <f t="shared" si="6037"/>
        <v>8211</v>
      </c>
      <c r="BC885">
        <f t="shared" si="6163"/>
        <v>985320000</v>
      </c>
      <c r="BD885">
        <f t="shared" si="6038"/>
        <v>0.29411764705882354</v>
      </c>
      <c r="BE885" s="27">
        <f t="shared" si="6164"/>
        <v>2888295119.6399999</v>
      </c>
      <c r="BF885" s="30">
        <f t="shared" si="6039"/>
        <v>0.53520000000000001</v>
      </c>
      <c r="BG885" s="27"/>
      <c r="BH885" s="27"/>
      <c r="BI885" s="27"/>
      <c r="CA885" s="20">
        <f t="shared" si="6040"/>
        <v>585</v>
      </c>
      <c r="CB885" s="20">
        <f t="shared" si="6041"/>
        <v>58500</v>
      </c>
    </row>
    <row r="886" spans="1:80" x14ac:dyDescent="0.15">
      <c r="A886">
        <v>9901</v>
      </c>
      <c r="B886" s="3" t="s">
        <v>108</v>
      </c>
      <c r="C886" s="4" t="s">
        <v>109</v>
      </c>
      <c r="D886" s="4" t="s">
        <v>110</v>
      </c>
      <c r="E886" s="5">
        <v>3</v>
      </c>
      <c r="F886" s="7" t="s">
        <v>141</v>
      </c>
      <c r="G886" s="5">
        <v>2.5</v>
      </c>
      <c r="H886" s="7" t="s">
        <v>194</v>
      </c>
      <c r="I886" s="5">
        <v>0</v>
      </c>
      <c r="J886" s="5">
        <v>0</v>
      </c>
      <c r="K886">
        <v>2</v>
      </c>
      <c r="L886">
        <v>1.5</v>
      </c>
      <c r="M886" s="5">
        <v>1.5</v>
      </c>
      <c r="N886" s="5">
        <v>10</v>
      </c>
      <c r="O886" s="5">
        <f t="shared" si="6021"/>
        <v>162606</v>
      </c>
      <c r="P886" s="5">
        <f t="shared" si="6022"/>
        <v>925344000</v>
      </c>
      <c r="Q886" s="5">
        <f t="shared" si="6023"/>
        <v>15422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70011</v>
      </c>
      <c r="X886" s="6" t="s">
        <v>179</v>
      </c>
      <c r="Y886" s="5">
        <v>300</v>
      </c>
      <c r="Z886" s="5">
        <v>1</v>
      </c>
      <c r="AA886" s="5">
        <v>599228784</v>
      </c>
      <c r="AB886" s="16" t="s">
        <v>111</v>
      </c>
      <c r="AC886" s="7" t="s">
        <v>112</v>
      </c>
      <c r="AD886" s="7" t="s">
        <v>112</v>
      </c>
      <c r="AE886" s="7" t="s">
        <v>112</v>
      </c>
      <c r="AF886" s="6" t="s">
        <v>113</v>
      </c>
      <c r="AG886" s="26" t="str">
        <f t="shared" ref="AG886" si="6382">CM$4</f>
        <v>4,33,28,33,6,4,33,28,33,6</v>
      </c>
      <c r="AH886" s="26" t="str">
        <f t="shared" ref="AH886" si="6383">CN$4</f>
        <v>0,8,0,8,1,0,8,0,8,1</v>
      </c>
      <c r="AI886" s="26" t="str">
        <f t="shared" ref="AI886" si="6384">CO$4</f>
        <v>0,0,0,0,1,0,0,0,0,1</v>
      </c>
      <c r="AJ886" s="26" t="str">
        <f t="shared" ref="AJ886" si="6385">CP$4</f>
        <v>0,0,0,0,5,0,0,0,0,5</v>
      </c>
      <c r="AK886" s="26" t="str">
        <f t="shared" ref="AK886" si="6386">CQ$4</f>
        <v>100,1,1000,2,5,200,1,1000,2,5</v>
      </c>
      <c r="AL886" s="26" t="str">
        <f t="shared" ref="AL886" si="6387">CR$4</f>
        <v>5,5,5,5,5,5,5,5,5,5</v>
      </c>
      <c r="AM886" s="7">
        <v>2001</v>
      </c>
      <c r="AO886">
        <f t="shared" ref="AO886" si="6388">AQ886*100+1</f>
        <v>9901</v>
      </c>
      <c r="AP886">
        <v>882</v>
      </c>
      <c r="AQ886">
        <f t="shared" si="6031"/>
        <v>99</v>
      </c>
      <c r="AR886">
        <v>14</v>
      </c>
      <c r="AS886" s="17">
        <f t="shared" si="6112"/>
        <v>530</v>
      </c>
      <c r="AT886">
        <v>13</v>
      </c>
      <c r="AU886">
        <f t="shared" si="6032"/>
        <v>38</v>
      </c>
      <c r="AV886">
        <v>150</v>
      </c>
      <c r="AW886">
        <f t="shared" si="6033"/>
        <v>162606.73535999996</v>
      </c>
      <c r="AX886">
        <f t="shared" si="6162"/>
        <v>925344000.00000024</v>
      </c>
      <c r="AY886">
        <f t="shared" si="6034"/>
        <v>15422.400000000001</v>
      </c>
      <c r="AZ886">
        <f t="shared" si="6035"/>
        <v>30844.800000000003</v>
      </c>
      <c r="BA886">
        <f t="shared" si="6036"/>
        <v>176256</v>
      </c>
      <c r="BB886">
        <f t="shared" si="6037"/>
        <v>7711.2000000000007</v>
      </c>
      <c r="BC886">
        <f t="shared" si="6163"/>
        <v>925344000.00000024</v>
      </c>
      <c r="BD886">
        <f t="shared" si="6038"/>
        <v>0.29411764705882348</v>
      </c>
      <c r="BE886" s="27">
        <f t="shared" si="6164"/>
        <v>2547378017.0496006</v>
      </c>
      <c r="BF886" s="30">
        <f t="shared" si="6039"/>
        <v>0.53759999999999997</v>
      </c>
      <c r="BG886" s="27"/>
      <c r="BH886" s="27"/>
      <c r="BI886" s="27"/>
      <c r="CA886" s="20">
        <f t="shared" si="6040"/>
        <v>590</v>
      </c>
      <c r="CB886" s="20">
        <f t="shared" si="6041"/>
        <v>59000</v>
      </c>
    </row>
    <row r="887" spans="1:80" x14ac:dyDescent="0.15">
      <c r="A887">
        <v>9902</v>
      </c>
      <c r="B887" s="3" t="s">
        <v>115</v>
      </c>
      <c r="C887" s="4" t="s">
        <v>109</v>
      </c>
      <c r="D887" s="6" t="s">
        <v>110</v>
      </c>
      <c r="E887" s="5">
        <v>3</v>
      </c>
      <c r="F887" s="7" t="s">
        <v>142</v>
      </c>
      <c r="G887" s="5">
        <v>3</v>
      </c>
      <c r="H887" s="7" t="s">
        <v>188</v>
      </c>
      <c r="I887" s="5">
        <v>0</v>
      </c>
      <c r="J887" s="5">
        <v>0</v>
      </c>
      <c r="K887">
        <v>2</v>
      </c>
      <c r="L887">
        <v>1.5</v>
      </c>
      <c r="M887" s="5">
        <v>1.5</v>
      </c>
      <c r="N887" s="5">
        <v>10</v>
      </c>
      <c r="O887" s="5">
        <f t="shared" si="6021"/>
        <v>164112</v>
      </c>
      <c r="P887" s="5">
        <f t="shared" si="6022"/>
        <v>933912000</v>
      </c>
      <c r="Q887" s="5">
        <f t="shared" si="6023"/>
        <v>15565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70021</v>
      </c>
      <c r="X887" s="6" t="s">
        <v>180</v>
      </c>
      <c r="Y887" s="5">
        <v>300</v>
      </c>
      <c r="Z887" s="5">
        <v>1</v>
      </c>
      <c r="AA887" s="5">
        <v>525389931</v>
      </c>
      <c r="AB887" s="16" t="s">
        <v>111</v>
      </c>
      <c r="AC887" s="7" t="s">
        <v>112</v>
      </c>
      <c r="AD887" s="7" t="s">
        <v>112</v>
      </c>
      <c r="AE887" s="7" t="s">
        <v>112</v>
      </c>
      <c r="AF887" s="6" t="s">
        <v>113</v>
      </c>
      <c r="AG887" s="26" t="str">
        <f t="shared" ref="AG887" si="6389">CM$5</f>
        <v>4,33,28,33,6,4,33,28,33,6</v>
      </c>
      <c r="AH887" s="26" t="str">
        <f t="shared" ref="AH887" si="6390">CN$5</f>
        <v>0,7,0,7,1,0,7,0,7,1</v>
      </c>
      <c r="AI887" s="26" t="str">
        <f t="shared" ref="AI887" si="6391">CO$5</f>
        <v>0,0,0,0,1,0,0,0,0,1</v>
      </c>
      <c r="AJ887" s="26" t="str">
        <f t="shared" ref="AJ887" si="6392">CP$5</f>
        <v>0,0,0,0,5,0,0,0,0,5</v>
      </c>
      <c r="AK887" s="26" t="str">
        <f t="shared" ref="AK887" si="6393">CQ$5</f>
        <v>100,1,1000,2,5,200,1,1000,2,5</v>
      </c>
      <c r="AL887" s="26" t="str">
        <f t="shared" ref="AL887" si="6394">CR$5</f>
        <v>5,5,5,5,5,5,5,5,5,5</v>
      </c>
      <c r="AM887" s="7">
        <v>2001</v>
      </c>
      <c r="AO887">
        <f t="shared" ref="AO887" si="6395">AQ887*100+2</f>
        <v>9902</v>
      </c>
      <c r="AP887">
        <v>883</v>
      </c>
      <c r="AQ887">
        <f t="shared" si="6031"/>
        <v>99</v>
      </c>
      <c r="AR887">
        <v>14</v>
      </c>
      <c r="AS887" s="17">
        <f t="shared" si="6112"/>
        <v>535</v>
      </c>
      <c r="AT887">
        <v>13</v>
      </c>
      <c r="AU887">
        <f t="shared" si="6032"/>
        <v>38</v>
      </c>
      <c r="AV887">
        <v>150</v>
      </c>
      <c r="AW887">
        <f t="shared" si="6033"/>
        <v>164112.35327999998</v>
      </c>
      <c r="AX887">
        <f t="shared" si="6162"/>
        <v>933912000</v>
      </c>
      <c r="AY887">
        <f t="shared" si="6034"/>
        <v>15565.2</v>
      </c>
      <c r="AZ887">
        <f t="shared" si="6035"/>
        <v>31130.400000000001</v>
      </c>
      <c r="BA887">
        <f t="shared" si="6036"/>
        <v>177888</v>
      </c>
      <c r="BB887">
        <f t="shared" si="6037"/>
        <v>7782.6</v>
      </c>
      <c r="BC887">
        <f t="shared" si="6163"/>
        <v>933912000</v>
      </c>
      <c r="BD887">
        <f t="shared" si="6038"/>
        <v>0.29411764705882348</v>
      </c>
      <c r="BE887" s="27">
        <f t="shared" si="6164"/>
        <v>2594770080.6384001</v>
      </c>
      <c r="BF887" s="30">
        <f t="shared" si="6039"/>
        <v>0.53759999999999997</v>
      </c>
      <c r="BG887" s="27"/>
      <c r="BH887" s="27"/>
      <c r="BI887" s="27"/>
      <c r="CA887" s="20">
        <f t="shared" si="6040"/>
        <v>590</v>
      </c>
      <c r="CB887" s="20">
        <f t="shared" si="6041"/>
        <v>59000</v>
      </c>
    </row>
    <row r="888" spans="1:80" x14ac:dyDescent="0.15">
      <c r="A888">
        <v>9903</v>
      </c>
      <c r="B888" s="3" t="s">
        <v>117</v>
      </c>
      <c r="C888" s="4" t="s">
        <v>109</v>
      </c>
      <c r="D888" s="4" t="s">
        <v>110</v>
      </c>
      <c r="E888" s="5">
        <v>1</v>
      </c>
      <c r="F888" s="7" t="s">
        <v>144</v>
      </c>
      <c r="G888" s="5">
        <v>3</v>
      </c>
      <c r="H888" s="7" t="s">
        <v>189</v>
      </c>
      <c r="I888" s="5">
        <v>0</v>
      </c>
      <c r="J888" s="2">
        <v>0</v>
      </c>
      <c r="K888">
        <v>6</v>
      </c>
      <c r="L888">
        <v>1.5</v>
      </c>
      <c r="M888" s="5">
        <v>1.5</v>
      </c>
      <c r="N888" s="5">
        <v>10</v>
      </c>
      <c r="O888" s="5">
        <f t="shared" si="6021"/>
        <v>165617</v>
      </c>
      <c r="P888" s="5">
        <f t="shared" si="6022"/>
        <v>942480000</v>
      </c>
      <c r="Q888" s="5">
        <f t="shared" si="6023"/>
        <v>15708</v>
      </c>
      <c r="R888" s="5">
        <v>0</v>
      </c>
      <c r="S888" s="5">
        <v>0</v>
      </c>
      <c r="T888" s="5">
        <v>0</v>
      </c>
      <c r="U888" s="5">
        <v>0</v>
      </c>
      <c r="V888" s="5">
        <v>0</v>
      </c>
      <c r="W888" s="5">
        <v>70031</v>
      </c>
      <c r="X888" s="6" t="s">
        <v>181</v>
      </c>
      <c r="Y888" s="5">
        <v>300</v>
      </c>
      <c r="Z888" s="5">
        <v>1</v>
      </c>
      <c r="AA888" s="5">
        <v>535641201</v>
      </c>
      <c r="AB888" s="16" t="s">
        <v>111</v>
      </c>
      <c r="AC888" s="7" t="s">
        <v>112</v>
      </c>
      <c r="AD888" s="7" t="s">
        <v>112</v>
      </c>
      <c r="AE888" s="7" t="s">
        <v>112</v>
      </c>
      <c r="AF888" s="6" t="s">
        <v>113</v>
      </c>
      <c r="AG888" s="26" t="str">
        <f t="shared" ref="AG888" si="6396">CM$6</f>
        <v>4,28,6,28,6,4,28,6,28,6</v>
      </c>
      <c r="AH888" s="26" t="str">
        <f t="shared" ref="AH888" si="6397">CN$6</f>
        <v>0,0,1,0,1,0,0,1,0,1</v>
      </c>
      <c r="AI888" s="26" t="str">
        <f t="shared" ref="AI888" si="6398">CO$6</f>
        <v>0,0,0,0,1,0,0,0,0,1</v>
      </c>
      <c r="AJ888" s="26" t="str">
        <f t="shared" ref="AJ888" si="6399">CP$6</f>
        <v>0,0,5,0,5,0,0,5,0,5</v>
      </c>
      <c r="AK888" s="26" t="str">
        <f t="shared" ref="AK888" si="6400">CQ$6</f>
        <v>100,1000,5,1500,5,200,1000,5,1500,5</v>
      </c>
      <c r="AL888" s="26" t="str">
        <f t="shared" ref="AL888" si="6401">CR$6</f>
        <v>5,5,5,5,5,5,5,5,5,5</v>
      </c>
      <c r="AM888" s="7">
        <v>2001</v>
      </c>
      <c r="AO888">
        <f t="shared" ref="AO888" si="6402">AQ888*100+3</f>
        <v>9903</v>
      </c>
      <c r="AP888">
        <v>884</v>
      </c>
      <c r="AQ888">
        <f t="shared" si="6031"/>
        <v>99</v>
      </c>
      <c r="AR888">
        <v>14</v>
      </c>
      <c r="AS888" s="17">
        <f t="shared" si="6112"/>
        <v>540</v>
      </c>
      <c r="AT888">
        <v>13</v>
      </c>
      <c r="AU888">
        <f t="shared" si="6032"/>
        <v>38</v>
      </c>
      <c r="AV888">
        <v>150</v>
      </c>
      <c r="AW888">
        <f t="shared" si="6033"/>
        <v>165617.97119999997</v>
      </c>
      <c r="AX888">
        <f t="shared" si="6162"/>
        <v>942480000</v>
      </c>
      <c r="AY888">
        <f t="shared" si="6034"/>
        <v>15708</v>
      </c>
      <c r="AZ888">
        <f t="shared" si="6035"/>
        <v>31416</v>
      </c>
      <c r="BA888">
        <f t="shared" si="6036"/>
        <v>179520</v>
      </c>
      <c r="BB888">
        <f t="shared" si="6037"/>
        <v>7854</v>
      </c>
      <c r="BC888">
        <f t="shared" si="6163"/>
        <v>942480000</v>
      </c>
      <c r="BD888">
        <f t="shared" si="6038"/>
        <v>0.29411764705882354</v>
      </c>
      <c r="BE888" s="27">
        <f t="shared" si="6164"/>
        <v>2642598937.4400001</v>
      </c>
      <c r="BF888" s="30">
        <f t="shared" si="6039"/>
        <v>0.53759999999999997</v>
      </c>
      <c r="BG888" s="27"/>
      <c r="BH888" s="27"/>
      <c r="BI888" s="27"/>
      <c r="CA888" s="20">
        <f t="shared" si="6040"/>
        <v>590</v>
      </c>
      <c r="CB888" s="20">
        <f t="shared" si="6041"/>
        <v>59000</v>
      </c>
    </row>
    <row r="889" spans="1:80" x14ac:dyDescent="0.15">
      <c r="A889">
        <v>9904</v>
      </c>
      <c r="B889" s="3" t="s">
        <v>119</v>
      </c>
      <c r="C889" s="4" t="s">
        <v>109</v>
      </c>
      <c r="D889" s="6" t="s">
        <v>120</v>
      </c>
      <c r="E889" s="5">
        <v>3</v>
      </c>
      <c r="F889" s="7" t="s">
        <v>145</v>
      </c>
      <c r="G889" s="5">
        <v>3</v>
      </c>
      <c r="H889" s="7" t="s">
        <v>190</v>
      </c>
      <c r="I889" s="5">
        <v>0</v>
      </c>
      <c r="J889" s="5">
        <v>0</v>
      </c>
      <c r="K889">
        <v>2</v>
      </c>
      <c r="L889">
        <v>1.5</v>
      </c>
      <c r="M889" s="5">
        <v>1.5</v>
      </c>
      <c r="N889" s="5">
        <v>10</v>
      </c>
      <c r="O889" s="5">
        <f t="shared" si="6021"/>
        <v>167123</v>
      </c>
      <c r="P889" s="5">
        <f t="shared" si="6022"/>
        <v>951048000</v>
      </c>
      <c r="Q889" s="5">
        <f t="shared" si="6023"/>
        <v>15850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70041</v>
      </c>
      <c r="X889" s="6" t="s">
        <v>182</v>
      </c>
      <c r="Y889" s="5">
        <v>300</v>
      </c>
      <c r="Z889" s="5">
        <v>1</v>
      </c>
      <c r="AA889" s="5">
        <v>545991516</v>
      </c>
      <c r="AB889" s="16" t="s">
        <v>111</v>
      </c>
      <c r="AC889" s="7" t="s">
        <v>112</v>
      </c>
      <c r="AD889" s="7" t="s">
        <v>112</v>
      </c>
      <c r="AE889" s="7" t="s">
        <v>112</v>
      </c>
      <c r="AF889" s="6" t="s">
        <v>113</v>
      </c>
      <c r="AG889" s="26" t="str">
        <f t="shared" ref="AG889" si="6403">CM$7</f>
        <v>4,14,28,14,6,4,14,28,14,6</v>
      </c>
      <c r="AH889" s="26" t="str">
        <f t="shared" ref="AH889" si="6404">CN$7</f>
        <v>0,0,0,0,1,0,0,0,0,1</v>
      </c>
      <c r="AI889" s="26" t="str">
        <f t="shared" ref="AI889" si="6405">CO$7</f>
        <v>0,0,0,0,1,0,0,0,0,1</v>
      </c>
      <c r="AJ889" s="26" t="str">
        <f t="shared" ref="AJ889" si="6406">CP$7</f>
        <v>0,0,0,0,5,0,0,0,0,5</v>
      </c>
      <c r="AK889" s="26" t="str">
        <f t="shared" ref="AK889" si="6407">CQ$7</f>
        <v>100,1,1000,2,5,200,1,1000,2,5</v>
      </c>
      <c r="AL889" s="26" t="str">
        <f t="shared" ref="AL889" si="6408">CR$7</f>
        <v>5,5,5,5,5,5,5,5,5,5</v>
      </c>
      <c r="AM889" s="7">
        <v>2001</v>
      </c>
      <c r="AO889">
        <f t="shared" ref="AO889" si="6409">AQ889*100+4</f>
        <v>9904</v>
      </c>
      <c r="AP889">
        <v>885</v>
      </c>
      <c r="AQ889">
        <f t="shared" si="6031"/>
        <v>99</v>
      </c>
      <c r="AR889">
        <v>14</v>
      </c>
      <c r="AS889" s="17">
        <f t="shared" si="6112"/>
        <v>545</v>
      </c>
      <c r="AT889">
        <v>13</v>
      </c>
      <c r="AU889">
        <f t="shared" si="6032"/>
        <v>38</v>
      </c>
      <c r="AV889">
        <v>150</v>
      </c>
      <c r="AW889">
        <f t="shared" si="6033"/>
        <v>167123.58911999999</v>
      </c>
      <c r="AX889">
        <f t="shared" si="6162"/>
        <v>951048000.00000024</v>
      </c>
      <c r="AY889">
        <f t="shared" si="6034"/>
        <v>15850.800000000001</v>
      </c>
      <c r="AZ889">
        <f t="shared" si="6035"/>
        <v>31701.600000000002</v>
      </c>
      <c r="BA889">
        <f t="shared" si="6036"/>
        <v>181152</v>
      </c>
      <c r="BB889">
        <f t="shared" si="6037"/>
        <v>7925.4000000000005</v>
      </c>
      <c r="BC889">
        <f t="shared" si="6163"/>
        <v>951048000.00000024</v>
      </c>
      <c r="BD889">
        <f t="shared" si="6038"/>
        <v>0.29411764705882354</v>
      </c>
      <c r="BE889" s="27">
        <f t="shared" si="6164"/>
        <v>2690864587.454401</v>
      </c>
      <c r="BF889" s="30">
        <f t="shared" si="6039"/>
        <v>0.53759999999999997</v>
      </c>
      <c r="BG889" s="27"/>
      <c r="BH889" s="27"/>
      <c r="BI889" s="27"/>
      <c r="CA889" s="20">
        <f t="shared" si="6040"/>
        <v>590</v>
      </c>
      <c r="CB889" s="20">
        <f t="shared" si="6041"/>
        <v>59000</v>
      </c>
    </row>
    <row r="890" spans="1:80" x14ac:dyDescent="0.15">
      <c r="A890">
        <v>9905</v>
      </c>
      <c r="B890" s="3" t="s">
        <v>122</v>
      </c>
      <c r="C890" s="4" t="s">
        <v>109</v>
      </c>
      <c r="D890" s="4" t="s">
        <v>110</v>
      </c>
      <c r="E890" s="5">
        <v>2</v>
      </c>
      <c r="F890" s="7" t="s">
        <v>146</v>
      </c>
      <c r="G890" s="5">
        <v>3</v>
      </c>
      <c r="H890" s="7" t="s">
        <v>191</v>
      </c>
      <c r="I890" s="5">
        <v>0</v>
      </c>
      <c r="J890" s="7" t="s">
        <v>148</v>
      </c>
      <c r="K890">
        <v>6</v>
      </c>
      <c r="L890">
        <v>1.5</v>
      </c>
      <c r="M890" s="5">
        <v>1.5</v>
      </c>
      <c r="N890" s="5">
        <v>10</v>
      </c>
      <c r="O890" s="5">
        <f t="shared" si="6021"/>
        <v>168629</v>
      </c>
      <c r="P890" s="5">
        <f t="shared" si="6022"/>
        <v>959616000</v>
      </c>
      <c r="Q890" s="5">
        <f t="shared" si="6023"/>
        <v>15993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70051</v>
      </c>
      <c r="X890" s="6" t="s">
        <v>183</v>
      </c>
      <c r="Y890" s="5">
        <v>300</v>
      </c>
      <c r="Z890" s="5">
        <v>1</v>
      </c>
      <c r="AA890" s="5">
        <v>556440877</v>
      </c>
      <c r="AB890" s="16" t="s">
        <v>111</v>
      </c>
      <c r="AC890" s="7" t="s">
        <v>112</v>
      </c>
      <c r="AD890" s="7" t="s">
        <v>112</v>
      </c>
      <c r="AE890" s="7" t="s">
        <v>112</v>
      </c>
      <c r="AF890" s="6" t="s">
        <v>113</v>
      </c>
      <c r="AG890" s="26" t="str">
        <f t="shared" ref="AG890" si="6410">CM$8</f>
        <v>4,19,28,19,6,4,19,28,19,6</v>
      </c>
      <c r="AH890" s="26" t="str">
        <f t="shared" ref="AH890" si="6411">CN$8</f>
        <v>0,0,0,0,1,0,0,0,0,1</v>
      </c>
      <c r="AI890" s="26" t="str">
        <f t="shared" ref="AI890" si="6412">CO$8</f>
        <v>0,0,0,0,1,0,0,0,0,1</v>
      </c>
      <c r="AJ890" s="26" t="str">
        <f t="shared" ref="AJ890" si="6413">CP$8</f>
        <v>0,0,0,0,5,0,0,0,0,5</v>
      </c>
      <c r="AK890" s="26" t="str">
        <f t="shared" ref="AK890" si="6414">CQ$8</f>
        <v>200,100,1000,200,5,200,100,1000,200,5</v>
      </c>
      <c r="AL890" s="26" t="str">
        <f t="shared" ref="AL890" si="6415">CR$8</f>
        <v>5,5,5,5,5,5,5,5,5,5</v>
      </c>
      <c r="AM890" s="7">
        <v>2001</v>
      </c>
      <c r="AO890">
        <f t="shared" ref="AO890" si="6416">AQ890*100+5</f>
        <v>9905</v>
      </c>
      <c r="AP890">
        <v>886</v>
      </c>
      <c r="AQ890">
        <f t="shared" si="6031"/>
        <v>99</v>
      </c>
      <c r="AR890">
        <v>14</v>
      </c>
      <c r="AS890" s="17">
        <f t="shared" si="6112"/>
        <v>550</v>
      </c>
      <c r="AT890">
        <v>13</v>
      </c>
      <c r="AU890">
        <f t="shared" si="6032"/>
        <v>38</v>
      </c>
      <c r="AV890">
        <v>150</v>
      </c>
      <c r="AW890">
        <f t="shared" si="6033"/>
        <v>168629.20703999998</v>
      </c>
      <c r="AX890">
        <f t="shared" si="6162"/>
        <v>959616000</v>
      </c>
      <c r="AY890">
        <f t="shared" si="6034"/>
        <v>15993.6</v>
      </c>
      <c r="AZ890">
        <f t="shared" si="6035"/>
        <v>31987.200000000001</v>
      </c>
      <c r="BA890">
        <f t="shared" si="6036"/>
        <v>182784</v>
      </c>
      <c r="BB890">
        <f t="shared" si="6037"/>
        <v>7996.8</v>
      </c>
      <c r="BC890">
        <f t="shared" si="6163"/>
        <v>959616000</v>
      </c>
      <c r="BD890">
        <f t="shared" si="6038"/>
        <v>0.29411764705882348</v>
      </c>
      <c r="BE890" s="27">
        <f t="shared" si="6164"/>
        <v>2739567030.6816006</v>
      </c>
      <c r="BF890" s="30">
        <f t="shared" si="6039"/>
        <v>0.53759999999999997</v>
      </c>
      <c r="BG890" s="27"/>
      <c r="BH890" s="27"/>
      <c r="BI890" s="27"/>
      <c r="CA890" s="20">
        <f t="shared" si="6040"/>
        <v>590</v>
      </c>
      <c r="CB890" s="20">
        <f t="shared" si="6041"/>
        <v>59000</v>
      </c>
    </row>
    <row r="891" spans="1:80" x14ac:dyDescent="0.15">
      <c r="A891">
        <v>9906</v>
      </c>
      <c r="B891" s="3" t="s">
        <v>124</v>
      </c>
      <c r="C891" s="4" t="s">
        <v>109</v>
      </c>
      <c r="D891" s="6" t="s">
        <v>120</v>
      </c>
      <c r="E891" s="5">
        <v>1</v>
      </c>
      <c r="F891" s="7" t="s">
        <v>147</v>
      </c>
      <c r="G891" s="5">
        <v>3</v>
      </c>
      <c r="H891" s="7" t="s">
        <v>192</v>
      </c>
      <c r="I891" s="5">
        <v>0</v>
      </c>
      <c r="J891" s="7" t="s">
        <v>149</v>
      </c>
      <c r="K891">
        <v>6</v>
      </c>
      <c r="L891">
        <v>1.5</v>
      </c>
      <c r="M891" s="5">
        <v>1.5</v>
      </c>
      <c r="N891" s="5">
        <v>10</v>
      </c>
      <c r="O891" s="5">
        <f t="shared" si="6021"/>
        <v>170134</v>
      </c>
      <c r="P891" s="5">
        <f t="shared" si="6022"/>
        <v>968184000</v>
      </c>
      <c r="Q891" s="5">
        <f t="shared" si="6023"/>
        <v>16136</v>
      </c>
      <c r="R891" s="5">
        <v>0</v>
      </c>
      <c r="S891" s="5">
        <v>0</v>
      </c>
      <c r="T891" s="5">
        <v>0</v>
      </c>
      <c r="U891" s="5">
        <v>0</v>
      </c>
      <c r="V891" s="5">
        <v>0</v>
      </c>
      <c r="W891" s="5">
        <v>70061</v>
      </c>
      <c r="X891" s="6" t="s">
        <v>184</v>
      </c>
      <c r="Y891" s="5">
        <v>300</v>
      </c>
      <c r="Z891" s="5">
        <v>1</v>
      </c>
      <c r="AA891" s="5">
        <v>566989285</v>
      </c>
      <c r="AB891" s="16" t="s">
        <v>111</v>
      </c>
      <c r="AC891" s="7" t="s">
        <v>112</v>
      </c>
      <c r="AD891" s="7" t="s">
        <v>112</v>
      </c>
      <c r="AE891" s="7" t="s">
        <v>112</v>
      </c>
      <c r="AF891" s="6" t="s">
        <v>113</v>
      </c>
      <c r="AG891" s="26" t="str">
        <f t="shared" ref="AG891" si="6417">CM$9</f>
        <v>4,33,28,33,6,4,33,28,33,6</v>
      </c>
      <c r="AH891" s="26" t="str">
        <f t="shared" ref="AH891" si="6418">CN$9</f>
        <v>0,6,0,6,1,0,6,0,6,1</v>
      </c>
      <c r="AI891" s="26" t="str">
        <f t="shared" ref="AI891" si="6419">CO$9</f>
        <v>0,0,0,0,1,0,0,0,0,1</v>
      </c>
      <c r="AJ891" s="26" t="str">
        <f t="shared" ref="AJ891" si="6420">CP$9</f>
        <v>0,0,0,0,5,0,0,0,0,5</v>
      </c>
      <c r="AK891" s="26" t="str">
        <f t="shared" ref="AK891" si="6421">CQ$9</f>
        <v>200,1,1000,2,5,200,1,1000,2,5</v>
      </c>
      <c r="AL891" s="26" t="str">
        <f t="shared" ref="AL891" si="6422">CR$9</f>
        <v>5,5,5,5,5,5,5,5,5,5</v>
      </c>
      <c r="AM891" s="7">
        <v>2001</v>
      </c>
      <c r="AO891">
        <f t="shared" ref="AO891" si="6423">AQ891*100+6</f>
        <v>9906</v>
      </c>
      <c r="AP891">
        <v>887</v>
      </c>
      <c r="AQ891">
        <f t="shared" si="6031"/>
        <v>99</v>
      </c>
      <c r="AR891">
        <v>14</v>
      </c>
      <c r="AS891" s="17">
        <f t="shared" si="6112"/>
        <v>555</v>
      </c>
      <c r="AT891">
        <v>13</v>
      </c>
      <c r="AU891">
        <f t="shared" si="6032"/>
        <v>38</v>
      </c>
      <c r="AV891">
        <v>150</v>
      </c>
      <c r="AW891">
        <f t="shared" si="6033"/>
        <v>170134.82495999997</v>
      </c>
      <c r="AX891">
        <f t="shared" si="6162"/>
        <v>968184000.00000024</v>
      </c>
      <c r="AY891">
        <f t="shared" si="6034"/>
        <v>16136.400000000001</v>
      </c>
      <c r="AZ891">
        <f t="shared" si="6035"/>
        <v>32272.800000000003</v>
      </c>
      <c r="BA891">
        <f t="shared" si="6036"/>
        <v>184416</v>
      </c>
      <c r="BB891">
        <f t="shared" si="6037"/>
        <v>8068.2000000000007</v>
      </c>
      <c r="BC891">
        <f t="shared" si="6163"/>
        <v>968184000.00000024</v>
      </c>
      <c r="BD891">
        <f t="shared" si="6038"/>
        <v>0.29411764705882348</v>
      </c>
      <c r="BE891" s="27">
        <f t="shared" si="6164"/>
        <v>2788706267.1216011</v>
      </c>
      <c r="BF891" s="30">
        <f t="shared" si="6039"/>
        <v>0.53759999999999997</v>
      </c>
      <c r="BG891" s="27"/>
      <c r="BH891" s="27"/>
      <c r="BI891" s="27"/>
      <c r="CA891" s="20">
        <f t="shared" si="6040"/>
        <v>590</v>
      </c>
      <c r="CB891" s="20">
        <f t="shared" si="6041"/>
        <v>59000</v>
      </c>
    </row>
    <row r="892" spans="1:80" x14ac:dyDescent="0.15">
      <c r="A892">
        <v>9907</v>
      </c>
      <c r="B892" s="3" t="s">
        <v>126</v>
      </c>
      <c r="C892" s="4" t="s">
        <v>109</v>
      </c>
      <c r="D892" s="4" t="s">
        <v>110</v>
      </c>
      <c r="E892" s="5">
        <v>2</v>
      </c>
      <c r="F892" s="7" t="s">
        <v>143</v>
      </c>
      <c r="G892" s="5">
        <v>3</v>
      </c>
      <c r="H892" s="7" t="s">
        <v>193</v>
      </c>
      <c r="I892" s="5">
        <v>0</v>
      </c>
      <c r="J892" s="5">
        <v>0</v>
      </c>
      <c r="K892">
        <v>2</v>
      </c>
      <c r="L892">
        <v>1.5</v>
      </c>
      <c r="M892" s="5">
        <v>1.5</v>
      </c>
      <c r="N892" s="5">
        <v>10</v>
      </c>
      <c r="O892" s="5">
        <f t="shared" si="6021"/>
        <v>171640</v>
      </c>
      <c r="P892" s="5">
        <f t="shared" si="6022"/>
        <v>976752000</v>
      </c>
      <c r="Q892" s="5">
        <f t="shared" si="6023"/>
        <v>16279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70071</v>
      </c>
      <c r="X892" s="6" t="s">
        <v>185</v>
      </c>
      <c r="Y892" s="5">
        <v>300</v>
      </c>
      <c r="Z892" s="5">
        <v>1</v>
      </c>
      <c r="AA892" s="5">
        <v>577636739</v>
      </c>
      <c r="AB892" s="16" t="s">
        <v>111</v>
      </c>
      <c r="AC892" s="7" t="s">
        <v>112</v>
      </c>
      <c r="AD892" s="7" t="s">
        <v>112</v>
      </c>
      <c r="AE892" s="7" t="s">
        <v>112</v>
      </c>
      <c r="AF892" s="6" t="s">
        <v>113</v>
      </c>
      <c r="AG892" s="26" t="str">
        <f t="shared" ref="AG892" si="6424">CM$10</f>
        <v>4,14,28,14,6,4,14,28,14,6</v>
      </c>
      <c r="AH892" s="26" t="str">
        <f t="shared" ref="AH892" si="6425">CN$10</f>
        <v>0,0,0,0,1,0,0,0,0,1</v>
      </c>
      <c r="AI892" s="26" t="str">
        <f t="shared" ref="AI892" si="6426">CO$10</f>
        <v>0,0,0,0,1,0,0,0,0,1</v>
      </c>
      <c r="AJ892" s="26" t="str">
        <f t="shared" ref="AJ892" si="6427">CP$10</f>
        <v>0,0,0,0,5,0,0,0,0,5</v>
      </c>
      <c r="AK892" s="26" t="str">
        <f t="shared" ref="AK892" si="6428">CQ$10</f>
        <v>200,1,1000,2,5,200,1,1000,2,5</v>
      </c>
      <c r="AL892" s="26" t="str">
        <f t="shared" ref="AL892" si="6429">CR$10</f>
        <v>5,5,5,5,5,5,5,5,5,5</v>
      </c>
      <c r="AM892" s="7">
        <v>2001</v>
      </c>
      <c r="AO892">
        <f t="shared" ref="AO892" si="6430">AQ892*100+7</f>
        <v>9907</v>
      </c>
      <c r="AP892">
        <v>888</v>
      </c>
      <c r="AQ892">
        <f t="shared" si="6031"/>
        <v>99</v>
      </c>
      <c r="AR892">
        <v>14</v>
      </c>
      <c r="AS892" s="17">
        <f t="shared" si="6112"/>
        <v>560</v>
      </c>
      <c r="AT892">
        <v>13</v>
      </c>
      <c r="AU892">
        <f t="shared" si="6032"/>
        <v>38</v>
      </c>
      <c r="AV892">
        <v>150</v>
      </c>
      <c r="AW892">
        <f t="shared" si="6033"/>
        <v>171640.44287999999</v>
      </c>
      <c r="AX892">
        <f t="shared" si="6162"/>
        <v>976752000</v>
      </c>
      <c r="AY892">
        <f t="shared" si="6034"/>
        <v>16279.2</v>
      </c>
      <c r="AZ892">
        <f t="shared" si="6035"/>
        <v>32558.400000000001</v>
      </c>
      <c r="BA892">
        <f t="shared" si="6036"/>
        <v>186048</v>
      </c>
      <c r="BB892">
        <f t="shared" si="6037"/>
        <v>8139.6</v>
      </c>
      <c r="BC892">
        <f t="shared" si="6163"/>
        <v>976752000</v>
      </c>
      <c r="BD892">
        <f t="shared" si="6038"/>
        <v>0.29411764705882348</v>
      </c>
      <c r="BE892" s="27">
        <f t="shared" si="6164"/>
        <v>2838282296.7743998</v>
      </c>
      <c r="BF892" s="30">
        <f t="shared" si="6039"/>
        <v>0.53759999999999997</v>
      </c>
      <c r="BG892" s="27"/>
      <c r="BH892" s="27"/>
      <c r="BI892" s="27"/>
      <c r="CA892" s="20">
        <f t="shared" si="6040"/>
        <v>590</v>
      </c>
      <c r="CB892" s="20">
        <f t="shared" si="6041"/>
        <v>59000</v>
      </c>
    </row>
    <row r="893" spans="1:80" x14ac:dyDescent="0.15">
      <c r="A893">
        <v>9908</v>
      </c>
      <c r="B893" s="3" t="s">
        <v>128</v>
      </c>
      <c r="C893" s="4" t="s">
        <v>109</v>
      </c>
      <c r="D893" s="4" t="s">
        <v>110</v>
      </c>
      <c r="E893" s="5">
        <v>5</v>
      </c>
      <c r="F893" s="7" t="s">
        <v>129</v>
      </c>
      <c r="G893" s="5">
        <v>2</v>
      </c>
      <c r="H893" s="7" t="s">
        <v>130</v>
      </c>
      <c r="I893" s="5">
        <v>0</v>
      </c>
      <c r="J893" s="5">
        <v>0</v>
      </c>
      <c r="K893">
        <v>2</v>
      </c>
      <c r="L893">
        <v>1.5</v>
      </c>
      <c r="M893" s="5">
        <v>1.5</v>
      </c>
      <c r="N893" s="5">
        <v>10</v>
      </c>
      <c r="O893" s="5">
        <f t="shared" si="6021"/>
        <v>173146</v>
      </c>
      <c r="P893" s="5">
        <f t="shared" si="6022"/>
        <v>985320000</v>
      </c>
      <c r="Q893" s="5">
        <f t="shared" si="6023"/>
        <v>16422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70081</v>
      </c>
      <c r="X893" s="6" t="s">
        <v>186</v>
      </c>
      <c r="Y893" s="5">
        <v>300</v>
      </c>
      <c r="Z893" s="5">
        <v>1</v>
      </c>
      <c r="AA893" s="5">
        <v>588383238</v>
      </c>
      <c r="AB893" s="16" t="s">
        <v>111</v>
      </c>
      <c r="AC893" s="7" t="s">
        <v>112</v>
      </c>
      <c r="AD893" s="7" t="s">
        <v>112</v>
      </c>
      <c r="AE893" s="7" t="s">
        <v>112</v>
      </c>
      <c r="AF893" s="6" t="s">
        <v>113</v>
      </c>
      <c r="AG893" s="26" t="str">
        <f t="shared" ref="AG893" si="6431">CM$11</f>
        <v>4,28,6,28,6,4,28,6,28,6</v>
      </c>
      <c r="AH893" s="26" t="str">
        <f t="shared" ref="AH893" si="6432">CN$11</f>
        <v>0,0,1,0,1,0,0,1,0,1</v>
      </c>
      <c r="AI893" s="26" t="str">
        <f t="shared" ref="AI893" si="6433">CO$11</f>
        <v>0,0,1,0,1,0,0,1,0,1</v>
      </c>
      <c r="AJ893" s="26" t="str">
        <f t="shared" ref="AJ893" si="6434">CP$11</f>
        <v>0,0,5,0,5,0,0,5,0,5</v>
      </c>
      <c r="AK893" s="26" t="str">
        <f t="shared" ref="AK893" si="6435">CQ$11</f>
        <v>100,1000,5,1500,5,200,1000,5,1500,5</v>
      </c>
      <c r="AL893" s="26" t="str">
        <f t="shared" ref="AL893" si="6436">CR$11</f>
        <v>5,5,5,5,5,5,5,5,5,5</v>
      </c>
      <c r="AM893" s="7">
        <v>2001</v>
      </c>
      <c r="AO893">
        <f t="shared" ref="AO893" si="6437">AQ893*100+8</f>
        <v>9908</v>
      </c>
      <c r="AP893">
        <v>889</v>
      </c>
      <c r="AQ893">
        <f t="shared" si="6031"/>
        <v>99</v>
      </c>
      <c r="AR893">
        <v>14</v>
      </c>
      <c r="AS893" s="17">
        <f t="shared" si="6112"/>
        <v>565</v>
      </c>
      <c r="AT893">
        <v>13</v>
      </c>
      <c r="AU893">
        <f t="shared" si="6032"/>
        <v>38</v>
      </c>
      <c r="AV893">
        <v>150</v>
      </c>
      <c r="AW893">
        <f t="shared" si="6033"/>
        <v>173146.06079999998</v>
      </c>
      <c r="AX893">
        <f t="shared" si="6162"/>
        <v>985320000</v>
      </c>
      <c r="AY893">
        <f t="shared" si="6034"/>
        <v>16422</v>
      </c>
      <c r="AZ893">
        <f t="shared" si="6035"/>
        <v>32844</v>
      </c>
      <c r="BA893">
        <f t="shared" si="6036"/>
        <v>187680</v>
      </c>
      <c r="BB893">
        <f t="shared" si="6037"/>
        <v>8211</v>
      </c>
      <c r="BC893">
        <f t="shared" si="6163"/>
        <v>985320000</v>
      </c>
      <c r="BD893">
        <f t="shared" si="6038"/>
        <v>0.29411764705882354</v>
      </c>
      <c r="BE893" s="27">
        <f t="shared" si="6164"/>
        <v>2888295119.6399999</v>
      </c>
      <c r="BF893" s="30">
        <f t="shared" si="6039"/>
        <v>0.53759999999999997</v>
      </c>
      <c r="BG893" s="27"/>
      <c r="BH893" s="27"/>
      <c r="BI893" s="27"/>
      <c r="CA893" s="20">
        <f t="shared" si="6040"/>
        <v>590</v>
      </c>
      <c r="CB893" s="20">
        <f t="shared" si="6041"/>
        <v>59000</v>
      </c>
    </row>
    <row r="894" spans="1:80" x14ac:dyDescent="0.15">
      <c r="A894">
        <v>9909</v>
      </c>
      <c r="B894" s="3" t="s">
        <v>132</v>
      </c>
      <c r="C894" s="4" t="s">
        <v>109</v>
      </c>
      <c r="D894" s="4" t="s">
        <v>110</v>
      </c>
      <c r="E894" s="5">
        <v>5</v>
      </c>
      <c r="F894" s="7" t="s">
        <v>140</v>
      </c>
      <c r="G894" s="5">
        <v>3</v>
      </c>
      <c r="H894" s="7" t="s">
        <v>140</v>
      </c>
      <c r="I894" s="5">
        <v>0</v>
      </c>
      <c r="J894" s="7">
        <v>0</v>
      </c>
      <c r="K894">
        <v>6</v>
      </c>
      <c r="L894">
        <v>1.5</v>
      </c>
      <c r="M894" s="5">
        <v>1.5</v>
      </c>
      <c r="N894" s="5">
        <v>10</v>
      </c>
      <c r="O894" s="5">
        <f t="shared" si="6021"/>
        <v>174651</v>
      </c>
      <c r="P894" s="5">
        <f t="shared" si="6022"/>
        <v>993888000</v>
      </c>
      <c r="Q894" s="5">
        <f t="shared" si="6023"/>
        <v>16564</v>
      </c>
      <c r="R894" s="5">
        <v>0</v>
      </c>
      <c r="S894" s="5">
        <v>0</v>
      </c>
      <c r="T894" s="5">
        <v>0</v>
      </c>
      <c r="U894" s="5">
        <v>0</v>
      </c>
      <c r="V894" s="5">
        <v>0</v>
      </c>
      <c r="W894" s="5">
        <v>70091</v>
      </c>
      <c r="X894" s="6" t="s">
        <v>187</v>
      </c>
      <c r="Y894" s="5">
        <v>300</v>
      </c>
      <c r="Z894" s="5">
        <v>1</v>
      </c>
      <c r="AA894" s="5">
        <v>599228784</v>
      </c>
      <c r="AB894" s="16" t="s">
        <v>111</v>
      </c>
      <c r="AC894" s="7" t="s">
        <v>112</v>
      </c>
      <c r="AD894" s="7" t="s">
        <v>112</v>
      </c>
      <c r="AE894" s="7" t="s">
        <v>112</v>
      </c>
      <c r="AF894" s="6" t="s">
        <v>113</v>
      </c>
      <c r="AG894" s="26" t="str">
        <f t="shared" ref="AG894" si="6438">CM$12</f>
        <v>4,33,28,33,6,4,33,28,33,6</v>
      </c>
      <c r="AH894" s="26" t="str">
        <f t="shared" ref="AH894" si="6439">CN$12</f>
        <v>0,5,0,5,1,0,5,0,5,1</v>
      </c>
      <c r="AI894" s="26" t="str">
        <f t="shared" ref="AI894" si="6440">CO$12</f>
        <v>0,0,0,0,1,0,0,0,0,1</v>
      </c>
      <c r="AJ894" s="26" t="str">
        <f t="shared" ref="AJ894" si="6441">CP$12</f>
        <v>0,0,0,0,5,0,0,0,0,5</v>
      </c>
      <c r="AK894" s="26" t="str">
        <f t="shared" ref="AK894" si="6442">CQ$12</f>
        <v>100,1,1000,2,5,200,1,1000,2,5</v>
      </c>
      <c r="AL894" s="26" t="str">
        <f t="shared" ref="AL894" si="6443">CR$12</f>
        <v>5,5,5,5,5,5,5,5,5,5</v>
      </c>
      <c r="AM894" s="7">
        <v>2001</v>
      </c>
      <c r="AO894">
        <f t="shared" ref="AO894" si="6444">AQ894*100+9</f>
        <v>9909</v>
      </c>
      <c r="AP894">
        <v>890</v>
      </c>
      <c r="AQ894">
        <f t="shared" si="6031"/>
        <v>99</v>
      </c>
      <c r="AR894">
        <v>14</v>
      </c>
      <c r="AS894" s="17">
        <f t="shared" si="6112"/>
        <v>570</v>
      </c>
      <c r="AT894">
        <v>13</v>
      </c>
      <c r="AU894">
        <f t="shared" si="6032"/>
        <v>38</v>
      </c>
      <c r="AV894">
        <v>150</v>
      </c>
      <c r="AW894">
        <f t="shared" si="6033"/>
        <v>174651.67871999997</v>
      </c>
      <c r="AX894">
        <f t="shared" si="6162"/>
        <v>993888000</v>
      </c>
      <c r="AY894">
        <f t="shared" si="6034"/>
        <v>16564.8</v>
      </c>
      <c r="AZ894">
        <f t="shared" si="6035"/>
        <v>33129.599999999999</v>
      </c>
      <c r="BA894">
        <f t="shared" si="6036"/>
        <v>189312</v>
      </c>
      <c r="BB894">
        <f t="shared" si="6037"/>
        <v>8282.4</v>
      </c>
      <c r="BC894">
        <f t="shared" si="6163"/>
        <v>993888000</v>
      </c>
      <c r="BD894">
        <f t="shared" si="6038"/>
        <v>0.29411764705882354</v>
      </c>
      <c r="BE894" s="27">
        <f t="shared" si="6164"/>
        <v>2938744735.7184005</v>
      </c>
      <c r="BF894" s="30">
        <f t="shared" si="6039"/>
        <v>0.53759999999999997</v>
      </c>
      <c r="BG894" s="27"/>
      <c r="BH894" s="27"/>
      <c r="BI894" s="27"/>
      <c r="CA894" s="20">
        <f t="shared" si="6040"/>
        <v>590</v>
      </c>
      <c r="CB894" s="20">
        <f t="shared" si="6041"/>
        <v>59000</v>
      </c>
    </row>
    <row r="895" spans="1:80" x14ac:dyDescent="0.15">
      <c r="A895">
        <v>10001</v>
      </c>
      <c r="B895" s="3" t="s">
        <v>108</v>
      </c>
      <c r="C895" s="4" t="s">
        <v>109</v>
      </c>
      <c r="D895" s="4" t="s">
        <v>110</v>
      </c>
      <c r="E895" s="5">
        <v>3</v>
      </c>
      <c r="F895" s="7" t="s">
        <v>141</v>
      </c>
      <c r="G895" s="5">
        <v>2.5</v>
      </c>
      <c r="H895" s="7" t="s">
        <v>194</v>
      </c>
      <c r="I895" s="5">
        <v>0</v>
      </c>
      <c r="J895" s="5">
        <v>0</v>
      </c>
      <c r="K895">
        <v>2</v>
      </c>
      <c r="L895">
        <v>1.5</v>
      </c>
      <c r="M895" s="5">
        <v>1.5</v>
      </c>
      <c r="N895" s="5">
        <v>10</v>
      </c>
      <c r="O895" s="5">
        <f t="shared" si="6021"/>
        <v>164368</v>
      </c>
      <c r="P895" s="5">
        <f t="shared" si="6022"/>
        <v>933912000</v>
      </c>
      <c r="Q895" s="5">
        <f t="shared" si="6023"/>
        <v>15565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70011</v>
      </c>
      <c r="X895" s="6" t="s">
        <v>179</v>
      </c>
      <c r="Y895" s="5">
        <v>300</v>
      </c>
      <c r="Z895" s="5">
        <v>1</v>
      </c>
      <c r="AA895" s="5">
        <v>610173376</v>
      </c>
      <c r="AB895" s="16" t="s">
        <v>111</v>
      </c>
      <c r="AC895" s="7" t="s">
        <v>112</v>
      </c>
      <c r="AD895" s="7" t="s">
        <v>112</v>
      </c>
      <c r="AE895" s="7" t="s">
        <v>112</v>
      </c>
      <c r="AF895" s="6" t="s">
        <v>113</v>
      </c>
      <c r="AG895" s="26" t="str">
        <f t="shared" ref="AG895" si="6445">CM$4</f>
        <v>4,33,28,33,6,4,33,28,33,6</v>
      </c>
      <c r="AH895" s="26" t="str">
        <f t="shared" ref="AH895" si="6446">CN$4</f>
        <v>0,8,0,8,1,0,8,0,8,1</v>
      </c>
      <c r="AI895" s="26" t="str">
        <f t="shared" ref="AI895" si="6447">CO$4</f>
        <v>0,0,0,0,1,0,0,0,0,1</v>
      </c>
      <c r="AJ895" s="26" t="str">
        <f t="shared" ref="AJ895" si="6448">CP$4</f>
        <v>0,0,0,0,5,0,0,0,0,5</v>
      </c>
      <c r="AK895" s="26" t="str">
        <f t="shared" ref="AK895" si="6449">CQ$4</f>
        <v>100,1,1000,2,5,200,1,1000,2,5</v>
      </c>
      <c r="AL895" s="26" t="str">
        <f t="shared" ref="AL895" si="6450">CR$4</f>
        <v>5,5,5,5,5,5,5,5,5,5</v>
      </c>
      <c r="AM895" s="7">
        <v>2001</v>
      </c>
      <c r="AO895">
        <f t="shared" ref="AO895" si="6451">AQ895*100+1</f>
        <v>10001</v>
      </c>
      <c r="AP895">
        <v>891</v>
      </c>
      <c r="AQ895">
        <f t="shared" si="6031"/>
        <v>100</v>
      </c>
      <c r="AR895">
        <v>14</v>
      </c>
      <c r="AS895" s="17">
        <f t="shared" si="6112"/>
        <v>535</v>
      </c>
      <c r="AT895">
        <v>13</v>
      </c>
      <c r="AU895">
        <f t="shared" si="6032"/>
        <v>40</v>
      </c>
      <c r="AV895">
        <v>150</v>
      </c>
      <c r="AW895">
        <f t="shared" si="6033"/>
        <v>164368.51200000002</v>
      </c>
      <c r="AX895">
        <f t="shared" si="6162"/>
        <v>933912000</v>
      </c>
      <c r="AY895">
        <f t="shared" si="6034"/>
        <v>15565.2</v>
      </c>
      <c r="AZ895">
        <f t="shared" si="6035"/>
        <v>31130.400000000001</v>
      </c>
      <c r="BA895">
        <f t="shared" si="6036"/>
        <v>177888</v>
      </c>
      <c r="BB895">
        <f t="shared" si="6037"/>
        <v>7782.6</v>
      </c>
      <c r="BC895">
        <f t="shared" si="6163"/>
        <v>933912000</v>
      </c>
      <c r="BD895">
        <f t="shared" si="6038"/>
        <v>0.29411764705882348</v>
      </c>
      <c r="BE895" s="27">
        <f t="shared" si="6164"/>
        <v>2594770080.6384001</v>
      </c>
      <c r="BF895" s="30">
        <f t="shared" si="6039"/>
        <v>0.54</v>
      </c>
      <c r="BG895" s="27"/>
      <c r="BH895" s="27"/>
      <c r="BI895" s="27"/>
      <c r="CA895" s="20">
        <f t="shared" si="6040"/>
        <v>595</v>
      </c>
      <c r="CB895" s="20">
        <f t="shared" si="6041"/>
        <v>59500</v>
      </c>
    </row>
    <row r="896" spans="1:80" x14ac:dyDescent="0.15">
      <c r="A896">
        <v>10002</v>
      </c>
      <c r="B896" s="3" t="s">
        <v>115</v>
      </c>
      <c r="C896" s="4" t="s">
        <v>109</v>
      </c>
      <c r="D896" s="6" t="s">
        <v>110</v>
      </c>
      <c r="E896" s="5">
        <v>3</v>
      </c>
      <c r="F896" s="7" t="s">
        <v>142</v>
      </c>
      <c r="G896" s="5">
        <v>3</v>
      </c>
      <c r="H896" s="7" t="s">
        <v>188</v>
      </c>
      <c r="I896" s="5">
        <v>0</v>
      </c>
      <c r="J896" s="5">
        <v>0</v>
      </c>
      <c r="K896">
        <v>2</v>
      </c>
      <c r="L896">
        <v>1.5</v>
      </c>
      <c r="M896" s="5">
        <v>1.5</v>
      </c>
      <c r="N896" s="5">
        <v>10</v>
      </c>
      <c r="O896" s="5">
        <f t="shared" si="6021"/>
        <v>165876</v>
      </c>
      <c r="P896" s="5">
        <f t="shared" si="6022"/>
        <v>942480000</v>
      </c>
      <c r="Q896" s="5">
        <f t="shared" si="6023"/>
        <v>15708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70021</v>
      </c>
      <c r="X896" s="6" t="s">
        <v>180</v>
      </c>
      <c r="Y896" s="5">
        <v>300</v>
      </c>
      <c r="Z896" s="5">
        <v>1</v>
      </c>
      <c r="AA896" s="5">
        <v>535641201</v>
      </c>
      <c r="AB896" s="16" t="s">
        <v>111</v>
      </c>
      <c r="AC896" s="7" t="s">
        <v>112</v>
      </c>
      <c r="AD896" s="7" t="s">
        <v>112</v>
      </c>
      <c r="AE896" s="7" t="s">
        <v>112</v>
      </c>
      <c r="AF896" s="6" t="s">
        <v>113</v>
      </c>
      <c r="AG896" s="26" t="str">
        <f t="shared" ref="AG896" si="6452">CM$5</f>
        <v>4,33,28,33,6,4,33,28,33,6</v>
      </c>
      <c r="AH896" s="26" t="str">
        <f t="shared" ref="AH896" si="6453">CN$5</f>
        <v>0,7,0,7,1,0,7,0,7,1</v>
      </c>
      <c r="AI896" s="26" t="str">
        <f t="shared" ref="AI896" si="6454">CO$5</f>
        <v>0,0,0,0,1,0,0,0,0,1</v>
      </c>
      <c r="AJ896" s="26" t="str">
        <f t="shared" ref="AJ896" si="6455">CP$5</f>
        <v>0,0,0,0,5,0,0,0,0,5</v>
      </c>
      <c r="AK896" s="26" t="str">
        <f t="shared" ref="AK896" si="6456">CQ$5</f>
        <v>100,1,1000,2,5,200,1,1000,2,5</v>
      </c>
      <c r="AL896" s="26" t="str">
        <f t="shared" ref="AL896" si="6457">CR$5</f>
        <v>5,5,5,5,5,5,5,5,5,5</v>
      </c>
      <c r="AM896" s="7">
        <v>2001</v>
      </c>
      <c r="AO896">
        <f t="shared" ref="AO896" si="6458">AQ896*100+2</f>
        <v>10002</v>
      </c>
      <c r="AP896">
        <v>892</v>
      </c>
      <c r="AQ896">
        <f t="shared" si="6031"/>
        <v>100</v>
      </c>
      <c r="AR896">
        <v>14</v>
      </c>
      <c r="AS896" s="17">
        <f t="shared" si="6112"/>
        <v>540</v>
      </c>
      <c r="AT896">
        <v>13</v>
      </c>
      <c r="AU896">
        <f t="shared" si="6032"/>
        <v>40</v>
      </c>
      <c r="AV896">
        <v>150</v>
      </c>
      <c r="AW896">
        <f t="shared" si="6033"/>
        <v>165876.48000000001</v>
      </c>
      <c r="AX896">
        <f t="shared" si="6162"/>
        <v>942480000</v>
      </c>
      <c r="AY896">
        <f t="shared" si="6034"/>
        <v>15708</v>
      </c>
      <c r="AZ896">
        <f t="shared" si="6035"/>
        <v>31416</v>
      </c>
      <c r="BA896">
        <f t="shared" si="6036"/>
        <v>179520</v>
      </c>
      <c r="BB896">
        <f t="shared" si="6037"/>
        <v>7854</v>
      </c>
      <c r="BC896">
        <f t="shared" si="6163"/>
        <v>942480000</v>
      </c>
      <c r="BD896">
        <f t="shared" si="6038"/>
        <v>0.29411764705882354</v>
      </c>
      <c r="BE896" s="27">
        <f t="shared" si="6164"/>
        <v>2642598937.4400001</v>
      </c>
      <c r="BF896" s="30">
        <f t="shared" si="6039"/>
        <v>0.54</v>
      </c>
      <c r="BG896" s="27"/>
      <c r="BH896" s="27"/>
      <c r="BI896" s="27"/>
      <c r="CA896" s="20">
        <f t="shared" si="6040"/>
        <v>595</v>
      </c>
      <c r="CB896" s="20">
        <f t="shared" si="6041"/>
        <v>59500</v>
      </c>
    </row>
    <row r="897" spans="1:80" x14ac:dyDescent="0.15">
      <c r="A897">
        <v>10003</v>
      </c>
      <c r="B897" s="3" t="s">
        <v>117</v>
      </c>
      <c r="C897" s="4" t="s">
        <v>109</v>
      </c>
      <c r="D897" s="4" t="s">
        <v>110</v>
      </c>
      <c r="E897" s="5">
        <v>1</v>
      </c>
      <c r="F897" s="7" t="s">
        <v>144</v>
      </c>
      <c r="G897" s="5">
        <v>3</v>
      </c>
      <c r="H897" s="7" t="s">
        <v>189</v>
      </c>
      <c r="I897" s="5">
        <v>0</v>
      </c>
      <c r="J897" s="2">
        <v>0</v>
      </c>
      <c r="K897">
        <v>6</v>
      </c>
      <c r="L897">
        <v>1.5</v>
      </c>
      <c r="M897" s="5">
        <v>1.5</v>
      </c>
      <c r="N897" s="5">
        <v>10</v>
      </c>
      <c r="O897" s="5">
        <f t="shared" si="6021"/>
        <v>167384</v>
      </c>
      <c r="P897" s="5">
        <f t="shared" si="6022"/>
        <v>951048000</v>
      </c>
      <c r="Q897" s="5">
        <f t="shared" si="6023"/>
        <v>15850</v>
      </c>
      <c r="R897" s="5">
        <v>0</v>
      </c>
      <c r="S897" s="5">
        <v>0</v>
      </c>
      <c r="T897" s="5">
        <v>0</v>
      </c>
      <c r="U897" s="5">
        <v>0</v>
      </c>
      <c r="V897" s="5">
        <v>0</v>
      </c>
      <c r="W897" s="5">
        <v>70031</v>
      </c>
      <c r="X897" s="6" t="s">
        <v>181</v>
      </c>
      <c r="Y897" s="5">
        <v>300</v>
      </c>
      <c r="Z897" s="5">
        <v>1</v>
      </c>
      <c r="AA897" s="5">
        <v>545991516</v>
      </c>
      <c r="AB897" s="16" t="s">
        <v>111</v>
      </c>
      <c r="AC897" s="7" t="s">
        <v>112</v>
      </c>
      <c r="AD897" s="7" t="s">
        <v>112</v>
      </c>
      <c r="AE897" s="7" t="s">
        <v>112</v>
      </c>
      <c r="AF897" s="6" t="s">
        <v>113</v>
      </c>
      <c r="AG897" s="26" t="str">
        <f t="shared" ref="AG897" si="6459">CM$6</f>
        <v>4,28,6,28,6,4,28,6,28,6</v>
      </c>
      <c r="AH897" s="26" t="str">
        <f t="shared" ref="AH897" si="6460">CN$6</f>
        <v>0,0,1,0,1,0,0,1,0,1</v>
      </c>
      <c r="AI897" s="26" t="str">
        <f t="shared" ref="AI897" si="6461">CO$6</f>
        <v>0,0,0,0,1,0,0,0,0,1</v>
      </c>
      <c r="AJ897" s="26" t="str">
        <f t="shared" ref="AJ897" si="6462">CP$6</f>
        <v>0,0,5,0,5,0,0,5,0,5</v>
      </c>
      <c r="AK897" s="26" t="str">
        <f t="shared" ref="AK897" si="6463">CQ$6</f>
        <v>100,1000,5,1500,5,200,1000,5,1500,5</v>
      </c>
      <c r="AL897" s="26" t="str">
        <f t="shared" ref="AL897" si="6464">CR$6</f>
        <v>5,5,5,5,5,5,5,5,5,5</v>
      </c>
      <c r="AM897" s="7">
        <v>2001</v>
      </c>
      <c r="AO897">
        <f t="shared" ref="AO897" si="6465">AQ897*100+3</f>
        <v>10003</v>
      </c>
      <c r="AP897">
        <v>893</v>
      </c>
      <c r="AQ897">
        <f t="shared" si="6031"/>
        <v>100</v>
      </c>
      <c r="AR897">
        <v>14</v>
      </c>
      <c r="AS897" s="17">
        <f t="shared" si="6112"/>
        <v>545</v>
      </c>
      <c r="AT897">
        <v>13</v>
      </c>
      <c r="AU897">
        <f t="shared" si="6032"/>
        <v>40</v>
      </c>
      <c r="AV897">
        <v>150</v>
      </c>
      <c r="AW897">
        <f t="shared" si="6033"/>
        <v>167384.448</v>
      </c>
      <c r="AX897">
        <f t="shared" si="6162"/>
        <v>951048000.00000024</v>
      </c>
      <c r="AY897">
        <f t="shared" si="6034"/>
        <v>15850.800000000001</v>
      </c>
      <c r="AZ897">
        <f t="shared" si="6035"/>
        <v>31701.600000000002</v>
      </c>
      <c r="BA897">
        <f t="shared" si="6036"/>
        <v>181152</v>
      </c>
      <c r="BB897">
        <f t="shared" si="6037"/>
        <v>7925.4000000000005</v>
      </c>
      <c r="BC897">
        <f t="shared" si="6163"/>
        <v>951048000.00000024</v>
      </c>
      <c r="BD897">
        <f t="shared" si="6038"/>
        <v>0.29411764705882354</v>
      </c>
      <c r="BE897" s="27">
        <f t="shared" si="6164"/>
        <v>2690864587.454401</v>
      </c>
      <c r="BF897" s="30">
        <f t="shared" si="6039"/>
        <v>0.54</v>
      </c>
      <c r="BG897" s="27"/>
      <c r="BH897" s="27"/>
      <c r="BI897" s="27"/>
      <c r="CA897" s="20">
        <f t="shared" si="6040"/>
        <v>595</v>
      </c>
      <c r="CB897" s="20">
        <f t="shared" si="6041"/>
        <v>59500</v>
      </c>
    </row>
    <row r="898" spans="1:80" x14ac:dyDescent="0.15">
      <c r="A898">
        <v>10004</v>
      </c>
      <c r="B898" s="3" t="s">
        <v>119</v>
      </c>
      <c r="C898" s="4" t="s">
        <v>109</v>
      </c>
      <c r="D898" s="6" t="s">
        <v>120</v>
      </c>
      <c r="E898" s="5">
        <v>3</v>
      </c>
      <c r="F898" s="7" t="s">
        <v>145</v>
      </c>
      <c r="G898" s="5">
        <v>3</v>
      </c>
      <c r="H898" s="7" t="s">
        <v>190</v>
      </c>
      <c r="I898" s="5">
        <v>0</v>
      </c>
      <c r="J898" s="5">
        <v>0</v>
      </c>
      <c r="K898">
        <v>2</v>
      </c>
      <c r="L898">
        <v>1.5</v>
      </c>
      <c r="M898" s="5">
        <v>1.5</v>
      </c>
      <c r="N898" s="5">
        <v>10</v>
      </c>
      <c r="O898" s="5">
        <f t="shared" si="6021"/>
        <v>168892</v>
      </c>
      <c r="P898" s="5">
        <f t="shared" si="6022"/>
        <v>959616000</v>
      </c>
      <c r="Q898" s="5">
        <f t="shared" si="6023"/>
        <v>15993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70041</v>
      </c>
      <c r="X898" s="6" t="s">
        <v>182</v>
      </c>
      <c r="Y898" s="5">
        <v>300</v>
      </c>
      <c r="Z898" s="5">
        <v>1</v>
      </c>
      <c r="AA898" s="5">
        <v>556440877</v>
      </c>
      <c r="AB898" s="16" t="s">
        <v>111</v>
      </c>
      <c r="AC898" s="7" t="s">
        <v>112</v>
      </c>
      <c r="AD898" s="7" t="s">
        <v>112</v>
      </c>
      <c r="AE898" s="7" t="s">
        <v>112</v>
      </c>
      <c r="AF898" s="6" t="s">
        <v>113</v>
      </c>
      <c r="AG898" s="26" t="str">
        <f t="shared" ref="AG898" si="6466">CM$7</f>
        <v>4,14,28,14,6,4,14,28,14,6</v>
      </c>
      <c r="AH898" s="26" t="str">
        <f t="shared" ref="AH898" si="6467">CN$7</f>
        <v>0,0,0,0,1,0,0,0,0,1</v>
      </c>
      <c r="AI898" s="26" t="str">
        <f t="shared" ref="AI898" si="6468">CO$7</f>
        <v>0,0,0,0,1,0,0,0,0,1</v>
      </c>
      <c r="AJ898" s="26" t="str">
        <f t="shared" ref="AJ898" si="6469">CP$7</f>
        <v>0,0,0,0,5,0,0,0,0,5</v>
      </c>
      <c r="AK898" s="26" t="str">
        <f t="shared" ref="AK898" si="6470">CQ$7</f>
        <v>100,1,1000,2,5,200,1,1000,2,5</v>
      </c>
      <c r="AL898" s="26" t="str">
        <f t="shared" ref="AL898" si="6471">CR$7</f>
        <v>5,5,5,5,5,5,5,5,5,5</v>
      </c>
      <c r="AM898" s="7">
        <v>2001</v>
      </c>
      <c r="AO898">
        <f t="shared" ref="AO898" si="6472">AQ898*100+4</f>
        <v>10004</v>
      </c>
      <c r="AP898">
        <v>894</v>
      </c>
      <c r="AQ898">
        <f t="shared" si="6031"/>
        <v>100</v>
      </c>
      <c r="AR898">
        <v>14</v>
      </c>
      <c r="AS898" s="17">
        <f t="shared" si="6112"/>
        <v>550</v>
      </c>
      <c r="AT898">
        <v>13</v>
      </c>
      <c r="AU898">
        <f t="shared" si="6032"/>
        <v>40</v>
      </c>
      <c r="AV898">
        <v>150</v>
      </c>
      <c r="AW898">
        <f t="shared" si="6033"/>
        <v>168892.416</v>
      </c>
      <c r="AX898">
        <f t="shared" si="6162"/>
        <v>959616000</v>
      </c>
      <c r="AY898">
        <f t="shared" si="6034"/>
        <v>15993.6</v>
      </c>
      <c r="AZ898">
        <f t="shared" si="6035"/>
        <v>31987.200000000001</v>
      </c>
      <c r="BA898">
        <f t="shared" si="6036"/>
        <v>182784</v>
      </c>
      <c r="BB898">
        <f t="shared" si="6037"/>
        <v>7996.8</v>
      </c>
      <c r="BC898">
        <f t="shared" si="6163"/>
        <v>959616000</v>
      </c>
      <c r="BD898">
        <f t="shared" si="6038"/>
        <v>0.29411764705882348</v>
      </c>
      <c r="BE898" s="27">
        <f t="shared" si="6164"/>
        <v>2739567030.6816006</v>
      </c>
      <c r="BF898" s="30">
        <f t="shared" si="6039"/>
        <v>0.54</v>
      </c>
      <c r="BG898" s="27"/>
      <c r="BH898" s="27"/>
      <c r="BI898" s="27"/>
      <c r="CA898" s="20">
        <f t="shared" si="6040"/>
        <v>595</v>
      </c>
      <c r="CB898" s="20">
        <f t="shared" si="6041"/>
        <v>59500</v>
      </c>
    </row>
    <row r="899" spans="1:80" x14ac:dyDescent="0.15">
      <c r="A899">
        <v>10005</v>
      </c>
      <c r="B899" s="3" t="s">
        <v>122</v>
      </c>
      <c r="C899" s="4" t="s">
        <v>109</v>
      </c>
      <c r="D899" s="4" t="s">
        <v>110</v>
      </c>
      <c r="E899" s="5">
        <v>2</v>
      </c>
      <c r="F899" s="7" t="s">
        <v>146</v>
      </c>
      <c r="G899" s="5">
        <v>3</v>
      </c>
      <c r="H899" s="7" t="s">
        <v>191</v>
      </c>
      <c r="I899" s="5">
        <v>0</v>
      </c>
      <c r="J899" s="7" t="s">
        <v>148</v>
      </c>
      <c r="K899">
        <v>6</v>
      </c>
      <c r="L899">
        <v>1.5</v>
      </c>
      <c r="M899" s="5">
        <v>1.5</v>
      </c>
      <c r="N899" s="5">
        <v>10</v>
      </c>
      <c r="O899" s="5">
        <f t="shared" si="6021"/>
        <v>170400</v>
      </c>
      <c r="P899" s="5">
        <f t="shared" si="6022"/>
        <v>968184000</v>
      </c>
      <c r="Q899" s="5">
        <f t="shared" si="6023"/>
        <v>16136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70051</v>
      </c>
      <c r="X899" s="6" t="s">
        <v>183</v>
      </c>
      <c r="Y899" s="5">
        <v>300</v>
      </c>
      <c r="Z899" s="5">
        <v>1</v>
      </c>
      <c r="AA899" s="5">
        <v>566989285</v>
      </c>
      <c r="AB899" s="16" t="s">
        <v>111</v>
      </c>
      <c r="AC899" s="7" t="s">
        <v>112</v>
      </c>
      <c r="AD899" s="7" t="s">
        <v>112</v>
      </c>
      <c r="AE899" s="7" t="s">
        <v>112</v>
      </c>
      <c r="AF899" s="6" t="s">
        <v>113</v>
      </c>
      <c r="AG899" s="26" t="str">
        <f t="shared" ref="AG899" si="6473">CM$8</f>
        <v>4,19,28,19,6,4,19,28,19,6</v>
      </c>
      <c r="AH899" s="26" t="str">
        <f t="shared" ref="AH899" si="6474">CN$8</f>
        <v>0,0,0,0,1,0,0,0,0,1</v>
      </c>
      <c r="AI899" s="26" t="str">
        <f t="shared" ref="AI899" si="6475">CO$8</f>
        <v>0,0,0,0,1,0,0,0,0,1</v>
      </c>
      <c r="AJ899" s="26" t="str">
        <f t="shared" ref="AJ899" si="6476">CP$8</f>
        <v>0,0,0,0,5,0,0,0,0,5</v>
      </c>
      <c r="AK899" s="26" t="str">
        <f t="shared" ref="AK899" si="6477">CQ$8</f>
        <v>200,100,1000,200,5,200,100,1000,200,5</v>
      </c>
      <c r="AL899" s="26" t="str">
        <f t="shared" ref="AL899" si="6478">CR$8</f>
        <v>5,5,5,5,5,5,5,5,5,5</v>
      </c>
      <c r="AM899" s="7">
        <v>2001</v>
      </c>
      <c r="AO899">
        <f t="shared" ref="AO899" si="6479">AQ899*100+5</f>
        <v>10005</v>
      </c>
      <c r="AP899">
        <v>895</v>
      </c>
      <c r="AQ899">
        <f t="shared" si="6031"/>
        <v>100</v>
      </c>
      <c r="AR899">
        <v>14</v>
      </c>
      <c r="AS899" s="17">
        <f t="shared" si="6112"/>
        <v>555</v>
      </c>
      <c r="AT899">
        <v>13</v>
      </c>
      <c r="AU899">
        <f t="shared" si="6032"/>
        <v>40</v>
      </c>
      <c r="AV899">
        <v>150</v>
      </c>
      <c r="AW899">
        <f t="shared" si="6033"/>
        <v>170400.38399999999</v>
      </c>
      <c r="AX899">
        <f t="shared" si="6162"/>
        <v>968184000.00000024</v>
      </c>
      <c r="AY899">
        <f t="shared" si="6034"/>
        <v>16136.400000000001</v>
      </c>
      <c r="AZ899">
        <f t="shared" si="6035"/>
        <v>32272.800000000003</v>
      </c>
      <c r="BA899">
        <f t="shared" si="6036"/>
        <v>184416</v>
      </c>
      <c r="BB899">
        <f t="shared" si="6037"/>
        <v>8068.2000000000007</v>
      </c>
      <c r="BC899">
        <f t="shared" si="6163"/>
        <v>968184000.00000024</v>
      </c>
      <c r="BD899">
        <f t="shared" si="6038"/>
        <v>0.29411764705882348</v>
      </c>
      <c r="BE899" s="27">
        <f t="shared" si="6164"/>
        <v>2788706267.1216011</v>
      </c>
      <c r="BF899" s="30">
        <f t="shared" si="6039"/>
        <v>0.54</v>
      </c>
      <c r="BG899" s="27"/>
      <c r="BH899" s="27"/>
      <c r="BI899" s="27"/>
      <c r="CA899" s="20">
        <f t="shared" si="6040"/>
        <v>595</v>
      </c>
      <c r="CB899" s="20">
        <f t="shared" si="6041"/>
        <v>59500</v>
      </c>
    </row>
    <row r="900" spans="1:80" x14ac:dyDescent="0.15">
      <c r="A900">
        <v>10006</v>
      </c>
      <c r="B900" s="3" t="s">
        <v>124</v>
      </c>
      <c r="C900" s="4" t="s">
        <v>109</v>
      </c>
      <c r="D900" s="6" t="s">
        <v>120</v>
      </c>
      <c r="E900" s="5">
        <v>1</v>
      </c>
      <c r="F900" s="7" t="s">
        <v>147</v>
      </c>
      <c r="G900" s="5">
        <v>3</v>
      </c>
      <c r="H900" s="7" t="s">
        <v>192</v>
      </c>
      <c r="I900" s="5">
        <v>0</v>
      </c>
      <c r="J900" s="7" t="s">
        <v>149</v>
      </c>
      <c r="K900">
        <v>6</v>
      </c>
      <c r="L900">
        <v>1.5</v>
      </c>
      <c r="M900" s="5">
        <v>1.5</v>
      </c>
      <c r="N900" s="5">
        <v>10</v>
      </c>
      <c r="O900" s="5">
        <f t="shared" si="6021"/>
        <v>171908</v>
      </c>
      <c r="P900" s="5">
        <f t="shared" si="6022"/>
        <v>976752000</v>
      </c>
      <c r="Q900" s="5">
        <f t="shared" si="6023"/>
        <v>16279</v>
      </c>
      <c r="R900" s="5">
        <v>0</v>
      </c>
      <c r="S900" s="5">
        <v>0</v>
      </c>
      <c r="T900" s="5">
        <v>0</v>
      </c>
      <c r="U900" s="5">
        <v>0</v>
      </c>
      <c r="V900" s="5">
        <v>0</v>
      </c>
      <c r="W900" s="5">
        <v>70061</v>
      </c>
      <c r="X900" s="6" t="s">
        <v>184</v>
      </c>
      <c r="Y900" s="5">
        <v>300</v>
      </c>
      <c r="Z900" s="5">
        <v>1</v>
      </c>
      <c r="AA900" s="5">
        <v>577636739</v>
      </c>
      <c r="AB900" s="16" t="s">
        <v>111</v>
      </c>
      <c r="AC900" s="7" t="s">
        <v>112</v>
      </c>
      <c r="AD900" s="7" t="s">
        <v>112</v>
      </c>
      <c r="AE900" s="7" t="s">
        <v>112</v>
      </c>
      <c r="AF900" s="6" t="s">
        <v>113</v>
      </c>
      <c r="AG900" s="26" t="str">
        <f t="shared" ref="AG900" si="6480">CM$9</f>
        <v>4,33,28,33,6,4,33,28,33,6</v>
      </c>
      <c r="AH900" s="26" t="str">
        <f t="shared" ref="AH900" si="6481">CN$9</f>
        <v>0,6,0,6,1,0,6,0,6,1</v>
      </c>
      <c r="AI900" s="26" t="str">
        <f t="shared" ref="AI900" si="6482">CO$9</f>
        <v>0,0,0,0,1,0,0,0,0,1</v>
      </c>
      <c r="AJ900" s="26" t="str">
        <f t="shared" ref="AJ900" si="6483">CP$9</f>
        <v>0,0,0,0,5,0,0,0,0,5</v>
      </c>
      <c r="AK900" s="26" t="str">
        <f t="shared" ref="AK900" si="6484">CQ$9</f>
        <v>200,1,1000,2,5,200,1,1000,2,5</v>
      </c>
      <c r="AL900" s="26" t="str">
        <f t="shared" ref="AL900" si="6485">CR$9</f>
        <v>5,5,5,5,5,5,5,5,5,5</v>
      </c>
      <c r="AM900" s="7">
        <v>2001</v>
      </c>
      <c r="AO900">
        <f t="shared" ref="AO900" si="6486">AQ900*100+6</f>
        <v>10006</v>
      </c>
      <c r="AP900">
        <v>896</v>
      </c>
      <c r="AQ900">
        <f t="shared" si="6031"/>
        <v>100</v>
      </c>
      <c r="AR900">
        <v>14</v>
      </c>
      <c r="AS900" s="17">
        <f t="shared" si="6112"/>
        <v>560</v>
      </c>
      <c r="AT900">
        <v>13</v>
      </c>
      <c r="AU900">
        <f t="shared" si="6032"/>
        <v>40</v>
      </c>
      <c r="AV900">
        <v>150</v>
      </c>
      <c r="AW900">
        <f t="shared" si="6033"/>
        <v>171908.35200000001</v>
      </c>
      <c r="AX900">
        <f t="shared" si="6162"/>
        <v>976752000</v>
      </c>
      <c r="AY900">
        <f t="shared" si="6034"/>
        <v>16279.2</v>
      </c>
      <c r="AZ900">
        <f t="shared" si="6035"/>
        <v>32558.400000000001</v>
      </c>
      <c r="BA900">
        <f t="shared" si="6036"/>
        <v>186048</v>
      </c>
      <c r="BB900">
        <f t="shared" si="6037"/>
        <v>8139.6</v>
      </c>
      <c r="BC900">
        <f t="shared" si="6163"/>
        <v>976752000</v>
      </c>
      <c r="BD900">
        <f t="shared" si="6038"/>
        <v>0.29411764705882348</v>
      </c>
      <c r="BE900" s="27">
        <f t="shared" si="6164"/>
        <v>2838282296.7743998</v>
      </c>
      <c r="BF900" s="30">
        <f t="shared" si="6039"/>
        <v>0.54</v>
      </c>
      <c r="BG900" s="27"/>
      <c r="BH900" s="27"/>
      <c r="BI900" s="27"/>
      <c r="CA900" s="20">
        <f t="shared" si="6040"/>
        <v>595</v>
      </c>
      <c r="CB900" s="20">
        <f t="shared" si="6041"/>
        <v>59500</v>
      </c>
    </row>
    <row r="901" spans="1:80" x14ac:dyDescent="0.15">
      <c r="A901">
        <v>10007</v>
      </c>
      <c r="B901" s="3" t="s">
        <v>126</v>
      </c>
      <c r="C901" s="4" t="s">
        <v>109</v>
      </c>
      <c r="D901" s="4" t="s">
        <v>110</v>
      </c>
      <c r="E901" s="5">
        <v>2</v>
      </c>
      <c r="F901" s="7" t="s">
        <v>143</v>
      </c>
      <c r="G901" s="5">
        <v>3</v>
      </c>
      <c r="H901" s="7" t="s">
        <v>193</v>
      </c>
      <c r="I901" s="5">
        <v>0</v>
      </c>
      <c r="J901" s="5">
        <v>0</v>
      </c>
      <c r="K901">
        <v>2</v>
      </c>
      <c r="L901">
        <v>1.5</v>
      </c>
      <c r="M901" s="5">
        <v>1.5</v>
      </c>
      <c r="N901" s="5">
        <v>10</v>
      </c>
      <c r="O901" s="5">
        <f t="shared" ref="O901:O903" si="6487">FLOOR(AW901,1)</f>
        <v>173416</v>
      </c>
      <c r="P901" s="5">
        <f t="shared" ref="P901:P903" si="6488">FLOOR(BC901,1)</f>
        <v>985320000</v>
      </c>
      <c r="Q901" s="5">
        <f t="shared" ref="Q901:Q903" si="6489">FLOOR(AY901,1)</f>
        <v>16422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70071</v>
      </c>
      <c r="X901" s="6" t="s">
        <v>185</v>
      </c>
      <c r="Y901" s="5">
        <v>300</v>
      </c>
      <c r="Z901" s="5">
        <v>1</v>
      </c>
      <c r="AA901" s="5">
        <v>588383238</v>
      </c>
      <c r="AB901" s="16" t="s">
        <v>111</v>
      </c>
      <c r="AC901" s="7" t="s">
        <v>112</v>
      </c>
      <c r="AD901" s="7" t="s">
        <v>112</v>
      </c>
      <c r="AE901" s="7" t="s">
        <v>112</v>
      </c>
      <c r="AF901" s="6" t="s">
        <v>113</v>
      </c>
      <c r="AG901" s="26" t="str">
        <f t="shared" ref="AG901" si="6490">CM$10</f>
        <v>4,14,28,14,6,4,14,28,14,6</v>
      </c>
      <c r="AH901" s="26" t="str">
        <f t="shared" ref="AH901" si="6491">CN$10</f>
        <v>0,0,0,0,1,0,0,0,0,1</v>
      </c>
      <c r="AI901" s="26" t="str">
        <f t="shared" ref="AI901" si="6492">CO$10</f>
        <v>0,0,0,0,1,0,0,0,0,1</v>
      </c>
      <c r="AJ901" s="26" t="str">
        <f t="shared" ref="AJ901" si="6493">CP$10</f>
        <v>0,0,0,0,5,0,0,0,0,5</v>
      </c>
      <c r="AK901" s="26" t="str">
        <f t="shared" ref="AK901" si="6494">CQ$10</f>
        <v>200,1,1000,2,5,200,1,1000,2,5</v>
      </c>
      <c r="AL901" s="26" t="str">
        <f t="shared" ref="AL901" si="6495">CR$10</f>
        <v>5,5,5,5,5,5,5,5,5,5</v>
      </c>
      <c r="AM901" s="7">
        <v>2001</v>
      </c>
      <c r="AO901">
        <f t="shared" ref="AO901" si="6496">AQ901*100+7</f>
        <v>10007</v>
      </c>
      <c r="AP901">
        <v>897</v>
      </c>
      <c r="AQ901">
        <f t="shared" ref="AQ901:AQ903" si="6497">FLOOR(AP901/9+1,1)</f>
        <v>100</v>
      </c>
      <c r="AR901">
        <v>14</v>
      </c>
      <c r="AS901" s="17">
        <f t="shared" si="6112"/>
        <v>565</v>
      </c>
      <c r="AT901">
        <v>13</v>
      </c>
      <c r="AU901">
        <f t="shared" ref="AU901:AU903" si="6498">20+FLOOR(AQ901/10,1)*2</f>
        <v>40</v>
      </c>
      <c r="AV901">
        <v>150</v>
      </c>
      <c r="AW901">
        <f t="shared" ref="AW901:AW903" si="6499">BA901*0.6*(1+BF901)</f>
        <v>173416.32000000001</v>
      </c>
      <c r="AX901">
        <f t="shared" si="6162"/>
        <v>985320000</v>
      </c>
      <c r="AY901">
        <f t="shared" ref="AY901:AY903" si="6500">BB901*2</f>
        <v>16422</v>
      </c>
      <c r="AZ901">
        <f t="shared" ref="AZ901:AZ903" si="6501">(INDEX($BO$2:$BO$15,MATCH($AR901,$BK$2:$BK$15,0))+INDEX($BP$2:$BP$15,MATCH($AR901,$BK$2:$BK$15,0))*$AS901)*(1+INDEX($BZ$2:$BZ$15,MATCH($AT901,$BX$2:$BX$15,0)))</f>
        <v>32844</v>
      </c>
      <c r="BA901">
        <f t="shared" ref="BA901:BA903" si="6502">INDEX($BQ$2:$BQ$15,MATCH($AR901,$BK$2:$BK$15,0))+INDEX($BR$2:$BR$15,MATCH($AR901,$BK$2:$BK$15,0))*$AS901</f>
        <v>187680</v>
      </c>
      <c r="BB901">
        <f t="shared" ref="BB901:BB903" si="6503">(INDEX($BS$2:$BS$15,MATCH($AR901,$BK$2:$BK$15,0))+INDEX($BT$2:$BT$15,MATCH($AR901,$BK$2:$BK$15,0))*$AS901)*(1+INDEX($BZ$2:$BZ$15,MATCH($AT901,$BX$2:$BX$15,0)))</f>
        <v>8211</v>
      </c>
      <c r="BC901">
        <f t="shared" si="6163"/>
        <v>985320000</v>
      </c>
      <c r="BD901">
        <f t="shared" ref="BD901:BD903" si="6504">1/(1+AZ901*3/(5*BB901))</f>
        <v>0.29411764705882354</v>
      </c>
      <c r="BE901" s="27">
        <f t="shared" si="6164"/>
        <v>2888295119.6399999</v>
      </c>
      <c r="BF901" s="30">
        <f t="shared" ref="BF901:BF903" si="6505">0.3+AQ901*0.0024</f>
        <v>0.54</v>
      </c>
      <c r="BG901" s="27"/>
      <c r="BH901" s="27"/>
      <c r="BI901" s="27"/>
      <c r="CA901" s="20">
        <f t="shared" ref="CA901:CA903" si="6506">$CA$2+(AQ901-1)*5</f>
        <v>595</v>
      </c>
      <c r="CB901" s="20">
        <f t="shared" ref="CB901:CB903" si="6507">$CB$2+(AQ901-1)*500</f>
        <v>59500</v>
      </c>
    </row>
    <row r="902" spans="1:80" x14ac:dyDescent="0.15">
      <c r="A902">
        <v>10008</v>
      </c>
      <c r="B902" s="3" t="s">
        <v>128</v>
      </c>
      <c r="C902" s="4" t="s">
        <v>109</v>
      </c>
      <c r="D902" s="4" t="s">
        <v>110</v>
      </c>
      <c r="E902" s="5">
        <v>5</v>
      </c>
      <c r="F902" s="7" t="s">
        <v>129</v>
      </c>
      <c r="G902" s="5">
        <v>2</v>
      </c>
      <c r="H902" s="7" t="s">
        <v>130</v>
      </c>
      <c r="I902" s="5">
        <v>0</v>
      </c>
      <c r="J902" s="5">
        <v>0</v>
      </c>
      <c r="K902">
        <v>2</v>
      </c>
      <c r="L902">
        <v>1.5</v>
      </c>
      <c r="M902" s="5">
        <v>1.5</v>
      </c>
      <c r="N902" s="5">
        <v>10</v>
      </c>
      <c r="O902" s="5">
        <f t="shared" si="6487"/>
        <v>174924</v>
      </c>
      <c r="P902" s="5">
        <f t="shared" si="6488"/>
        <v>993888000</v>
      </c>
      <c r="Q902" s="5">
        <f t="shared" si="6489"/>
        <v>16564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70081</v>
      </c>
      <c r="X902" s="6" t="s">
        <v>186</v>
      </c>
      <c r="Y902" s="5">
        <v>300</v>
      </c>
      <c r="Z902" s="5">
        <v>1</v>
      </c>
      <c r="AA902" s="5">
        <v>599228784</v>
      </c>
      <c r="AB902" s="16" t="s">
        <v>111</v>
      </c>
      <c r="AC902" s="7" t="s">
        <v>112</v>
      </c>
      <c r="AD902" s="7" t="s">
        <v>112</v>
      </c>
      <c r="AE902" s="7" t="s">
        <v>112</v>
      </c>
      <c r="AF902" s="6" t="s">
        <v>113</v>
      </c>
      <c r="AG902" s="26" t="str">
        <f t="shared" ref="AG902" si="6508">CM$11</f>
        <v>4,28,6,28,6,4,28,6,28,6</v>
      </c>
      <c r="AH902" s="26" t="str">
        <f t="shared" ref="AH902" si="6509">CN$11</f>
        <v>0,0,1,0,1,0,0,1,0,1</v>
      </c>
      <c r="AI902" s="26" t="str">
        <f t="shared" ref="AI902" si="6510">CO$11</f>
        <v>0,0,1,0,1,0,0,1,0,1</v>
      </c>
      <c r="AJ902" s="26" t="str">
        <f t="shared" ref="AJ902" si="6511">CP$11</f>
        <v>0,0,5,0,5,0,0,5,0,5</v>
      </c>
      <c r="AK902" s="26" t="str">
        <f t="shared" ref="AK902" si="6512">CQ$11</f>
        <v>100,1000,5,1500,5,200,1000,5,1500,5</v>
      </c>
      <c r="AL902" s="26" t="str">
        <f t="shared" ref="AL902" si="6513">CR$11</f>
        <v>5,5,5,5,5,5,5,5,5,5</v>
      </c>
      <c r="AM902" s="7">
        <v>2001</v>
      </c>
      <c r="AO902">
        <f t="shared" ref="AO902" si="6514">AQ902*100+8</f>
        <v>10008</v>
      </c>
      <c r="AP902">
        <v>898</v>
      </c>
      <c r="AQ902">
        <f t="shared" si="6497"/>
        <v>100</v>
      </c>
      <c r="AR902">
        <v>14</v>
      </c>
      <c r="AS902" s="17">
        <f t="shared" si="6112"/>
        <v>570</v>
      </c>
      <c r="AT902">
        <v>13</v>
      </c>
      <c r="AU902">
        <f t="shared" si="6498"/>
        <v>40</v>
      </c>
      <c r="AV902">
        <v>150</v>
      </c>
      <c r="AW902">
        <f t="shared" si="6499"/>
        <v>174924.288</v>
      </c>
      <c r="AX902">
        <f t="shared" si="6162"/>
        <v>993888000</v>
      </c>
      <c r="AY902">
        <f t="shared" si="6500"/>
        <v>16564.8</v>
      </c>
      <c r="AZ902">
        <f t="shared" si="6501"/>
        <v>33129.599999999999</v>
      </c>
      <c r="BA902">
        <f t="shared" si="6502"/>
        <v>189312</v>
      </c>
      <c r="BB902">
        <f t="shared" si="6503"/>
        <v>8282.4</v>
      </c>
      <c r="BC902">
        <f t="shared" si="6163"/>
        <v>993888000</v>
      </c>
      <c r="BD902">
        <f t="shared" si="6504"/>
        <v>0.29411764705882354</v>
      </c>
      <c r="BE902" s="27">
        <f t="shared" si="6164"/>
        <v>2938744735.7184005</v>
      </c>
      <c r="BF902" s="30">
        <f t="shared" si="6505"/>
        <v>0.54</v>
      </c>
      <c r="BG902" s="27"/>
      <c r="BH902" s="27"/>
      <c r="BI902" s="27"/>
      <c r="CA902" s="20">
        <f t="shared" si="6506"/>
        <v>595</v>
      </c>
      <c r="CB902" s="20">
        <f t="shared" si="6507"/>
        <v>59500</v>
      </c>
    </row>
    <row r="903" spans="1:80" x14ac:dyDescent="0.15">
      <c r="A903">
        <v>10009</v>
      </c>
      <c r="B903" s="3" t="s">
        <v>132</v>
      </c>
      <c r="C903" s="4" t="s">
        <v>109</v>
      </c>
      <c r="D903" s="4" t="s">
        <v>110</v>
      </c>
      <c r="E903" s="5">
        <v>5</v>
      </c>
      <c r="F903" s="7" t="s">
        <v>140</v>
      </c>
      <c r="G903" s="5">
        <v>3</v>
      </c>
      <c r="H903" s="7" t="s">
        <v>140</v>
      </c>
      <c r="I903" s="5">
        <v>0</v>
      </c>
      <c r="J903" s="7">
        <v>0</v>
      </c>
      <c r="K903">
        <v>6</v>
      </c>
      <c r="L903">
        <v>1.5</v>
      </c>
      <c r="M903" s="5">
        <v>1.5</v>
      </c>
      <c r="N903" s="5">
        <v>10</v>
      </c>
      <c r="O903" s="5">
        <f t="shared" si="6487"/>
        <v>176432</v>
      </c>
      <c r="P903" s="5">
        <f t="shared" si="6488"/>
        <v>1002456000</v>
      </c>
      <c r="Q903" s="5">
        <f t="shared" si="6489"/>
        <v>16707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70091</v>
      </c>
      <c r="X903" s="6" t="s">
        <v>187</v>
      </c>
      <c r="Y903" s="5">
        <v>300</v>
      </c>
      <c r="Z903" s="5">
        <v>1</v>
      </c>
      <c r="AA903" s="5">
        <v>610173376</v>
      </c>
      <c r="AB903" s="16" t="s">
        <v>111</v>
      </c>
      <c r="AC903" s="7" t="s">
        <v>112</v>
      </c>
      <c r="AD903" s="7" t="s">
        <v>112</v>
      </c>
      <c r="AE903" s="7" t="s">
        <v>112</v>
      </c>
      <c r="AF903" s="6" t="s">
        <v>113</v>
      </c>
      <c r="AG903" s="26" t="str">
        <f t="shared" ref="AG903" si="6515">CM$12</f>
        <v>4,33,28,33,6,4,33,28,33,6</v>
      </c>
      <c r="AH903" s="26" t="str">
        <f t="shared" ref="AH903" si="6516">CN$12</f>
        <v>0,5,0,5,1,0,5,0,5,1</v>
      </c>
      <c r="AI903" s="26" t="str">
        <f t="shared" ref="AI903" si="6517">CO$12</f>
        <v>0,0,0,0,1,0,0,0,0,1</v>
      </c>
      <c r="AJ903" s="26" t="str">
        <f t="shared" ref="AJ903" si="6518">CP$12</f>
        <v>0,0,0,0,5,0,0,0,0,5</v>
      </c>
      <c r="AK903" s="26" t="str">
        <f t="shared" ref="AK903" si="6519">CQ$12</f>
        <v>100,1,1000,2,5,200,1,1000,2,5</v>
      </c>
      <c r="AL903" s="26" t="str">
        <f t="shared" ref="AL903" si="6520">CR$12</f>
        <v>5,5,5,5,5,5,5,5,5,5</v>
      </c>
      <c r="AM903" s="7">
        <v>2001</v>
      </c>
      <c r="AO903">
        <f t="shared" ref="AO903" si="6521">AQ903*100+9</f>
        <v>10009</v>
      </c>
      <c r="AP903">
        <v>899</v>
      </c>
      <c r="AQ903">
        <f t="shared" si="6497"/>
        <v>100</v>
      </c>
      <c r="AR903">
        <v>14</v>
      </c>
      <c r="AS903" s="17">
        <f t="shared" si="6112"/>
        <v>575</v>
      </c>
      <c r="AT903">
        <v>13</v>
      </c>
      <c r="AU903">
        <f t="shared" si="6498"/>
        <v>40</v>
      </c>
      <c r="AV903">
        <v>150</v>
      </c>
      <c r="AW903">
        <f t="shared" si="6499"/>
        <v>176432.25599999999</v>
      </c>
      <c r="AX903">
        <f t="shared" si="6162"/>
        <v>1002456000.0000002</v>
      </c>
      <c r="AY903">
        <f t="shared" si="6500"/>
        <v>16707.600000000002</v>
      </c>
      <c r="AZ903">
        <f t="shared" si="6501"/>
        <v>33415.200000000004</v>
      </c>
      <c r="BA903">
        <f t="shared" si="6502"/>
        <v>190944</v>
      </c>
      <c r="BB903">
        <f t="shared" si="6503"/>
        <v>8353.8000000000011</v>
      </c>
      <c r="BC903">
        <f t="shared" si="6163"/>
        <v>1002456000.0000002</v>
      </c>
      <c r="BD903">
        <f t="shared" si="6504"/>
        <v>0.29411764705882354</v>
      </c>
      <c r="BE903" s="27">
        <f t="shared" si="6164"/>
        <v>2989631145.0096011</v>
      </c>
      <c r="BF903" s="30">
        <f t="shared" si="6505"/>
        <v>0.54</v>
      </c>
      <c r="BG903" s="27"/>
      <c r="BH903" s="27"/>
      <c r="BI903" s="27"/>
      <c r="CA903" s="20">
        <f t="shared" si="6506"/>
        <v>595</v>
      </c>
      <c r="CB903" s="20">
        <f t="shared" si="6507"/>
        <v>59500</v>
      </c>
    </row>
  </sheetData>
  <autoFilter ref="A2:CT903" xr:uid="{B71C0A90-5C47-4511-8967-EA734E69DE03}"/>
  <mergeCells count="10">
    <mergeCell ref="CC44:CC53"/>
    <mergeCell ref="CC54:CC63"/>
    <mergeCell ref="CC64:CC73"/>
    <mergeCell ref="CC74:CC83"/>
    <mergeCell ref="CC84:CC93"/>
    <mergeCell ref="CC4:CC13"/>
    <mergeCell ref="CC14:CC23"/>
    <mergeCell ref="CC24:CC33"/>
    <mergeCell ref="CC34:CC43"/>
    <mergeCell ref="CC1:CK1"/>
  </mergeCells>
  <phoneticPr fontId="8" type="noConversion"/>
  <conditionalFormatting sqref="A1:A3">
    <cfRule type="duplicateValues" dxfId="1" priority="2"/>
    <cfRule type="duplicateValues" dxfId="0" priority="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guild_monster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2021-01-25T06:58:19Z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