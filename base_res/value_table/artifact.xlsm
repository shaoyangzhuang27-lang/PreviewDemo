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801"/>
  <workbookPr/>
  <mc:AlternateContent xmlns:mc="http://schemas.openxmlformats.org/markup-compatibility/2006">
    <mc:Choice Requires="x15">
      <x15ac:absPath xmlns:x15ac="http://schemas.microsoft.com/office/spreadsheetml/2010/11/ac" url="G:\Cavalry\config\input\"/>
    </mc:Choice>
  </mc:AlternateContent>
  <xr:revisionPtr revIDLastSave="0" documentId="13_ncr:1_{52E89178-927D-4CDB-911D-46C5780B6F9D}" xr6:coauthVersionLast="46" xr6:coauthVersionMax="46" xr10:uidLastSave="{00000000-0000-0000-0000-000000000000}"/>
  <bookViews>
    <workbookView xWindow="-120" yWindow="-120" windowWidth="29040" windowHeight="15840" xr2:uid="{00000000-000D-0000-FFFF-FFFF00000000}"/>
  </bookViews>
  <sheets>
    <sheet name="artifact" sheetId="1" r:id="rId1"/>
  </sheets>
  <calcPr calcId="191029"/>
</workbook>
</file>

<file path=xl/calcChain.xml><?xml version="1.0" encoding="utf-8"?>
<calcChain xmlns="http://schemas.openxmlformats.org/spreadsheetml/2006/main">
  <c r="I10" i="1" l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5" i="1"/>
  <c r="I6" i="1"/>
  <c r="I7" i="1"/>
  <c r="I8" i="1"/>
  <c r="I9" i="1"/>
  <c r="I4" i="1"/>
  <c r="M2" i="1"/>
  <c r="S123" i="1"/>
  <c r="T123" i="1"/>
  <c r="R123" i="1"/>
  <c r="T5" i="1"/>
  <c r="T6" i="1"/>
  <c r="T7" i="1"/>
  <c r="T8" i="1"/>
  <c r="T9" i="1"/>
  <c r="T10" i="1"/>
  <c r="T11" i="1"/>
  <c r="T12" i="1"/>
  <c r="T13" i="1"/>
  <c r="T14" i="1"/>
  <c r="T15" i="1"/>
  <c r="T16" i="1"/>
  <c r="T17" i="1"/>
  <c r="T18" i="1"/>
  <c r="T19" i="1"/>
  <c r="T20" i="1"/>
  <c r="T21" i="1"/>
  <c r="T22" i="1"/>
  <c r="T23" i="1"/>
  <c r="T24" i="1"/>
  <c r="T25" i="1"/>
  <c r="T26" i="1"/>
  <c r="T27" i="1"/>
  <c r="T28" i="1"/>
  <c r="T29" i="1"/>
  <c r="T30" i="1"/>
  <c r="T31" i="1"/>
  <c r="T32" i="1"/>
  <c r="T33" i="1"/>
  <c r="T34" i="1"/>
  <c r="T35" i="1"/>
  <c r="T36" i="1"/>
  <c r="T37" i="1"/>
  <c r="T38" i="1"/>
  <c r="T39" i="1"/>
  <c r="T40" i="1"/>
  <c r="T41" i="1"/>
  <c r="T42" i="1"/>
  <c r="T43" i="1"/>
  <c r="T44" i="1"/>
  <c r="T45" i="1"/>
  <c r="T46" i="1"/>
  <c r="T47" i="1"/>
  <c r="T48" i="1"/>
  <c r="T49" i="1"/>
  <c r="T50" i="1"/>
  <c r="T51" i="1"/>
  <c r="T52" i="1"/>
  <c r="T53" i="1"/>
  <c r="T54" i="1"/>
  <c r="T55" i="1"/>
  <c r="T56" i="1"/>
  <c r="T57" i="1"/>
  <c r="T58" i="1"/>
  <c r="T59" i="1"/>
  <c r="T60" i="1"/>
  <c r="T61" i="1"/>
  <c r="T62" i="1"/>
  <c r="T63" i="1"/>
  <c r="T64" i="1"/>
  <c r="T65" i="1"/>
  <c r="T66" i="1"/>
  <c r="T67" i="1"/>
  <c r="T68" i="1"/>
  <c r="T69" i="1"/>
  <c r="T70" i="1"/>
  <c r="T71" i="1"/>
  <c r="T72" i="1"/>
  <c r="T73" i="1"/>
  <c r="T74" i="1"/>
  <c r="T75" i="1"/>
  <c r="T76" i="1"/>
  <c r="T77" i="1"/>
  <c r="T78" i="1"/>
  <c r="T79" i="1"/>
  <c r="T80" i="1"/>
  <c r="T81" i="1"/>
  <c r="T82" i="1"/>
  <c r="T83" i="1"/>
  <c r="T84" i="1"/>
  <c r="T85" i="1"/>
  <c r="T86" i="1"/>
  <c r="T87" i="1"/>
  <c r="T88" i="1"/>
  <c r="T89" i="1"/>
  <c r="T90" i="1"/>
  <c r="T91" i="1"/>
  <c r="T92" i="1"/>
  <c r="T93" i="1"/>
  <c r="T94" i="1"/>
  <c r="T95" i="1"/>
  <c r="T96" i="1"/>
  <c r="T97" i="1"/>
  <c r="T98" i="1"/>
  <c r="T99" i="1"/>
  <c r="T100" i="1"/>
  <c r="T101" i="1"/>
  <c r="T102" i="1"/>
  <c r="T103" i="1"/>
  <c r="T104" i="1"/>
  <c r="T105" i="1"/>
  <c r="T106" i="1"/>
  <c r="T107" i="1"/>
  <c r="T108" i="1"/>
  <c r="T109" i="1"/>
  <c r="T110" i="1"/>
  <c r="T111" i="1"/>
  <c r="T112" i="1"/>
  <c r="T113" i="1"/>
  <c r="T114" i="1"/>
  <c r="T115" i="1"/>
  <c r="T116" i="1"/>
  <c r="T117" i="1"/>
  <c r="T118" i="1"/>
  <c r="T119" i="1"/>
  <c r="T120" i="1"/>
  <c r="T121" i="1"/>
  <c r="T122" i="1"/>
  <c r="T4" i="1"/>
  <c r="S5" i="1"/>
  <c r="S6" i="1"/>
  <c r="S7" i="1"/>
  <c r="S8" i="1"/>
  <c r="S9" i="1"/>
  <c r="S10" i="1"/>
  <c r="S11" i="1"/>
  <c r="S12" i="1"/>
  <c r="S13" i="1"/>
  <c r="S14" i="1"/>
  <c r="S15" i="1"/>
  <c r="S16" i="1"/>
  <c r="S17" i="1"/>
  <c r="S18" i="1"/>
  <c r="S19" i="1"/>
  <c r="S20" i="1"/>
  <c r="S21" i="1"/>
  <c r="S22" i="1"/>
  <c r="S23" i="1"/>
  <c r="S24" i="1"/>
  <c r="S25" i="1"/>
  <c r="S26" i="1"/>
  <c r="S27" i="1"/>
  <c r="S28" i="1"/>
  <c r="S29" i="1"/>
  <c r="S30" i="1"/>
  <c r="S31" i="1"/>
  <c r="S32" i="1"/>
  <c r="S33" i="1"/>
  <c r="S34" i="1"/>
  <c r="S35" i="1"/>
  <c r="S36" i="1"/>
  <c r="S37" i="1"/>
  <c r="S38" i="1"/>
  <c r="S39" i="1"/>
  <c r="S40" i="1"/>
  <c r="S41" i="1"/>
  <c r="S42" i="1"/>
  <c r="S43" i="1"/>
  <c r="S44" i="1"/>
  <c r="S45" i="1"/>
  <c r="S46" i="1"/>
  <c r="S47" i="1"/>
  <c r="S48" i="1"/>
  <c r="S49" i="1"/>
  <c r="S50" i="1"/>
  <c r="S51" i="1"/>
  <c r="S52" i="1"/>
  <c r="S53" i="1"/>
  <c r="S54" i="1"/>
  <c r="S55" i="1"/>
  <c r="S56" i="1"/>
  <c r="S57" i="1"/>
  <c r="S58" i="1"/>
  <c r="S59" i="1"/>
  <c r="S60" i="1"/>
  <c r="S61" i="1"/>
  <c r="S62" i="1"/>
  <c r="S63" i="1"/>
  <c r="S64" i="1"/>
  <c r="S65" i="1"/>
  <c r="S66" i="1"/>
  <c r="S67" i="1"/>
  <c r="S68" i="1"/>
  <c r="S69" i="1"/>
  <c r="S70" i="1"/>
  <c r="S71" i="1"/>
  <c r="S72" i="1"/>
  <c r="S73" i="1"/>
  <c r="S74" i="1"/>
  <c r="S75" i="1"/>
  <c r="S76" i="1"/>
  <c r="S77" i="1"/>
  <c r="S78" i="1"/>
  <c r="S79" i="1"/>
  <c r="S80" i="1"/>
  <c r="S81" i="1"/>
  <c r="S82" i="1"/>
  <c r="S83" i="1"/>
  <c r="S84" i="1"/>
  <c r="S85" i="1"/>
  <c r="S86" i="1"/>
  <c r="S87" i="1"/>
  <c r="S88" i="1"/>
  <c r="S89" i="1"/>
  <c r="S90" i="1"/>
  <c r="S91" i="1"/>
  <c r="S92" i="1"/>
  <c r="S93" i="1"/>
  <c r="S94" i="1"/>
  <c r="S95" i="1"/>
  <c r="S96" i="1"/>
  <c r="S97" i="1"/>
  <c r="S98" i="1"/>
  <c r="S99" i="1"/>
  <c r="S100" i="1"/>
  <c r="S101" i="1"/>
  <c r="S102" i="1"/>
  <c r="S103" i="1"/>
  <c r="S104" i="1"/>
  <c r="S105" i="1"/>
  <c r="S106" i="1"/>
  <c r="S107" i="1"/>
  <c r="S108" i="1"/>
  <c r="S109" i="1"/>
  <c r="S110" i="1"/>
  <c r="S111" i="1"/>
  <c r="S112" i="1"/>
  <c r="S113" i="1"/>
  <c r="S114" i="1"/>
  <c r="S115" i="1"/>
  <c r="S116" i="1"/>
  <c r="S117" i="1"/>
  <c r="S118" i="1"/>
  <c r="S119" i="1"/>
  <c r="S120" i="1"/>
  <c r="S121" i="1"/>
  <c r="S122" i="1"/>
  <c r="S4" i="1"/>
  <c r="R5" i="1"/>
  <c r="R6" i="1"/>
  <c r="R7" i="1"/>
  <c r="R8" i="1"/>
  <c r="R9" i="1"/>
  <c r="R10" i="1"/>
  <c r="R11" i="1"/>
  <c r="R12" i="1"/>
  <c r="R13" i="1"/>
  <c r="R14" i="1"/>
  <c r="R15" i="1"/>
  <c r="R16" i="1"/>
  <c r="R17" i="1"/>
  <c r="R18" i="1"/>
  <c r="R19" i="1"/>
  <c r="R20" i="1"/>
  <c r="R21" i="1"/>
  <c r="R22" i="1"/>
  <c r="R23" i="1"/>
  <c r="R24" i="1"/>
  <c r="R25" i="1"/>
  <c r="R26" i="1"/>
  <c r="R27" i="1"/>
  <c r="R28" i="1"/>
  <c r="R29" i="1"/>
  <c r="R30" i="1"/>
  <c r="R31" i="1"/>
  <c r="R32" i="1"/>
  <c r="R33" i="1"/>
  <c r="R34" i="1"/>
  <c r="R35" i="1"/>
  <c r="R36" i="1"/>
  <c r="R37" i="1"/>
  <c r="R38" i="1"/>
  <c r="R39" i="1"/>
  <c r="R40" i="1"/>
  <c r="R41" i="1"/>
  <c r="R42" i="1"/>
  <c r="R43" i="1"/>
  <c r="R44" i="1"/>
  <c r="R45" i="1"/>
  <c r="R46" i="1"/>
  <c r="R47" i="1"/>
  <c r="R48" i="1"/>
  <c r="R49" i="1"/>
  <c r="R50" i="1"/>
  <c r="R51" i="1"/>
  <c r="R52" i="1"/>
  <c r="R53" i="1"/>
  <c r="R54" i="1"/>
  <c r="R55" i="1"/>
  <c r="R56" i="1"/>
  <c r="R57" i="1"/>
  <c r="R58" i="1"/>
  <c r="R59" i="1"/>
  <c r="R60" i="1"/>
  <c r="R61" i="1"/>
  <c r="R62" i="1"/>
  <c r="R63" i="1"/>
  <c r="R64" i="1"/>
  <c r="R65" i="1"/>
  <c r="R66" i="1"/>
  <c r="R67" i="1"/>
  <c r="R68" i="1"/>
  <c r="R69" i="1"/>
  <c r="R70" i="1"/>
  <c r="R71" i="1"/>
  <c r="R72" i="1"/>
  <c r="R73" i="1"/>
  <c r="R74" i="1"/>
  <c r="R75" i="1"/>
  <c r="R76" i="1"/>
  <c r="R77" i="1"/>
  <c r="R78" i="1"/>
  <c r="R79" i="1"/>
  <c r="R80" i="1"/>
  <c r="R81" i="1"/>
  <c r="R82" i="1"/>
  <c r="R83" i="1"/>
  <c r="R84" i="1"/>
  <c r="R85" i="1"/>
  <c r="R86" i="1"/>
  <c r="R87" i="1"/>
  <c r="R88" i="1"/>
  <c r="R89" i="1"/>
  <c r="R90" i="1"/>
  <c r="R91" i="1"/>
  <c r="R92" i="1"/>
  <c r="R93" i="1"/>
  <c r="R94" i="1"/>
  <c r="R95" i="1"/>
  <c r="R96" i="1"/>
  <c r="R97" i="1"/>
  <c r="R98" i="1"/>
  <c r="R99" i="1"/>
  <c r="R100" i="1"/>
  <c r="R101" i="1"/>
  <c r="R102" i="1"/>
  <c r="R103" i="1"/>
  <c r="R104" i="1"/>
  <c r="R105" i="1"/>
  <c r="R106" i="1"/>
  <c r="R107" i="1"/>
  <c r="R108" i="1"/>
  <c r="R109" i="1"/>
  <c r="R110" i="1"/>
  <c r="R111" i="1"/>
  <c r="R112" i="1"/>
  <c r="R113" i="1"/>
  <c r="R114" i="1"/>
  <c r="R115" i="1"/>
  <c r="R116" i="1"/>
  <c r="R117" i="1"/>
  <c r="R118" i="1"/>
  <c r="R119" i="1"/>
  <c r="R120" i="1"/>
  <c r="R121" i="1"/>
  <c r="R122" i="1"/>
  <c r="R4" i="1"/>
</calcChain>
</file>

<file path=xl/sharedStrings.xml><?xml version="1.0" encoding="utf-8"?>
<sst xmlns="http://schemas.openxmlformats.org/spreadsheetml/2006/main" count="696" uniqueCount="124">
  <si>
    <t>id</t>
  </si>
  <si>
    <t>name</t>
  </si>
  <si>
    <t>image</t>
  </si>
  <si>
    <t>quality</t>
  </si>
  <si>
    <t>pro_type</t>
  </si>
  <si>
    <t>pro_num</t>
  </si>
  <si>
    <t>talent_id</t>
  </si>
  <si>
    <t>next_id</t>
  </si>
  <si>
    <t>weight</t>
  </si>
  <si>
    <t>int32</t>
  </si>
  <si>
    <t>string</t>
  </si>
  <si>
    <r>
      <rPr>
        <sz val="11"/>
        <color theme="1"/>
        <rFont val="宋体"/>
        <family val="3"/>
        <charset val="134"/>
        <scheme val="minor"/>
      </rPr>
      <t>i</t>
    </r>
    <r>
      <rPr>
        <sz val="11"/>
        <color theme="1"/>
        <rFont val="宋体"/>
        <family val="3"/>
        <charset val="134"/>
        <scheme val="minor"/>
      </rPr>
      <t>nt32</t>
    </r>
  </si>
  <si>
    <r>
      <rPr>
        <sz val="11"/>
        <color theme="1"/>
        <rFont val="宋体"/>
        <family val="3"/>
        <charset val="134"/>
        <scheme val="minor"/>
      </rPr>
      <t>list&lt;</t>
    </r>
    <r>
      <rPr>
        <sz val="11"/>
        <color theme="1"/>
        <rFont val="宋体"/>
        <family val="3"/>
        <charset val="134"/>
        <scheme val="minor"/>
      </rPr>
      <t>int32</t>
    </r>
    <r>
      <rPr>
        <sz val="11"/>
        <color theme="1"/>
        <rFont val="宋体"/>
        <family val="3"/>
        <charset val="134"/>
        <scheme val="minor"/>
      </rPr>
      <t>&gt;</t>
    </r>
  </si>
  <si>
    <t>list&lt;float32&gt;</t>
  </si>
  <si>
    <t>ID</t>
  </si>
  <si>
    <t>名称</t>
  </si>
  <si>
    <t>图标</t>
  </si>
  <si>
    <t>品质</t>
  </si>
  <si>
    <t>属性类型</t>
  </si>
  <si>
    <t>属性值</t>
  </si>
  <si>
    <t>天赋ID</t>
  </si>
  <si>
    <t>升品质后的ID</t>
  </si>
  <si>
    <t>权值</t>
  </si>
  <si>
    <t>反伤神器</t>
  </si>
  <si>
    <t>1,2</t>
  </si>
  <si>
    <t>2,2</t>
  </si>
  <si>
    <t>4,4</t>
  </si>
  <si>
    <t>6,6</t>
  </si>
  <si>
    <t>8,8</t>
  </si>
  <si>
    <t>10,10</t>
  </si>
  <si>
    <t>12,12</t>
  </si>
  <si>
    <t>克制战士</t>
  </si>
  <si>
    <t>破甲神器</t>
  </si>
  <si>
    <t>2,7</t>
  </si>
  <si>
    <t>克制法师</t>
  </si>
  <si>
    <t>克制牧师</t>
  </si>
  <si>
    <t>克制游侠</t>
  </si>
  <si>
    <t>克制刺客</t>
  </si>
  <si>
    <t>急速神器</t>
  </si>
  <si>
    <t>2,5</t>
  </si>
  <si>
    <t>防护神器</t>
  </si>
  <si>
    <t>闪避神器</t>
  </si>
  <si>
    <t>减伤神器</t>
  </si>
  <si>
    <t>复活神器</t>
  </si>
  <si>
    <t>眩晕神器</t>
  </si>
  <si>
    <t>冰冻神器</t>
  </si>
  <si>
    <t>石化神器</t>
  </si>
  <si>
    <t>沉默神器</t>
  </si>
  <si>
    <t>减速神器</t>
  </si>
  <si>
    <t>吸血神器</t>
  </si>
  <si>
    <t>分裂神器</t>
  </si>
  <si>
    <t>2,4</t>
  </si>
  <si>
    <t>充能神器</t>
  </si>
  <si>
    <t>2,11</t>
  </si>
  <si>
    <t>4,7</t>
  </si>
  <si>
    <t>6,10</t>
  </si>
  <si>
    <t>8,12</t>
  </si>
  <si>
    <t>10,15</t>
  </si>
  <si>
    <t>12,17</t>
  </si>
  <si>
    <t>DATA_AitiFactName710101</t>
  </si>
  <si>
    <t>亡者板甲</t>
  </si>
  <si>
    <t>DATA_AitiFactName710201</t>
  </si>
  <si>
    <t>龙牙坠饰</t>
  </si>
  <si>
    <t>DATA_AitiFactName710301</t>
  </si>
  <si>
    <t>剔骨之刃</t>
  </si>
  <si>
    <t>DATA_AitiFactName710401</t>
  </si>
  <si>
    <t>思维宝典</t>
  </si>
  <si>
    <t>DATA_AitiFactName710501</t>
  </si>
  <si>
    <t>盲目卷轴</t>
  </si>
  <si>
    <t>DATA_AitiFactName710601</t>
  </si>
  <si>
    <t>禁锢水晶</t>
  </si>
  <si>
    <t>DATA_AitiFactName710701</t>
  </si>
  <si>
    <t>光明号角</t>
  </si>
  <si>
    <t>DATA_AitiFactName710801</t>
  </si>
  <si>
    <t>急速拳套</t>
  </si>
  <si>
    <t>DATA_AitiFactName710901</t>
  </si>
  <si>
    <t>神圣之盾</t>
  </si>
  <si>
    <t>DATA_AitiFactName711001</t>
  </si>
  <si>
    <t>灵巧徽章</t>
  </si>
  <si>
    <t>DATA_AitiFactName711101</t>
  </si>
  <si>
    <t>毁灭王冠</t>
  </si>
  <si>
    <t>DATA_AitiFactName711201</t>
  </si>
  <si>
    <t>十字勋章</t>
  </si>
  <si>
    <t>DATA_AitiFactName711301</t>
  </si>
  <si>
    <t>制裁之锤</t>
  </si>
  <si>
    <t>DATA_AitiFactName711401</t>
  </si>
  <si>
    <t>冰霜指环</t>
  </si>
  <si>
    <t>DATA_AitiFactName711501</t>
  </si>
  <si>
    <t>恶魔之眼</t>
  </si>
  <si>
    <t>DATA_AitiFactName711601</t>
  </si>
  <si>
    <t>正义之手</t>
  </si>
  <si>
    <t>DATA_AitiFactName711701</t>
  </si>
  <si>
    <t>潮汐护符</t>
  </si>
  <si>
    <t>DATA_AitiFactName711801</t>
  </si>
  <si>
    <t>痛苦指环</t>
  </si>
  <si>
    <t>DATA_AitiFactName711901</t>
  </si>
  <si>
    <t>恶魔镰刀</t>
  </si>
  <si>
    <t>DATA_AitiFactName712001</t>
  </si>
  <si>
    <t>心灵之泪</t>
  </si>
  <si>
    <t>language_data表的key</t>
    <phoneticPr fontId="1" type="noConversion"/>
  </si>
  <si>
    <t>命名</t>
    <phoneticPr fontId="1" type="noConversion"/>
  </si>
  <si>
    <t>key_id</t>
    <phoneticPr fontId="1" type="noConversion"/>
  </si>
  <si>
    <t>talentid左5位</t>
    <phoneticPr fontId="1" type="noConversion"/>
  </si>
  <si>
    <t>name_key</t>
    <phoneticPr fontId="1" type="noConversion"/>
  </si>
  <si>
    <t>神器特性</t>
    <phoneticPr fontId="1" type="noConversion"/>
  </si>
  <si>
    <t>作用</t>
    <phoneticPr fontId="1" type="noConversion"/>
  </si>
  <si>
    <t>权值</t>
    <phoneticPr fontId="1" type="noConversion"/>
  </si>
  <si>
    <t>反弹伤害</t>
    <phoneticPr fontId="1" type="noConversion"/>
  </si>
  <si>
    <t>克制战士</t>
    <phoneticPr fontId="1" type="noConversion"/>
  </si>
  <si>
    <t>破甲提升</t>
    <phoneticPr fontId="1" type="noConversion"/>
  </si>
  <si>
    <t>速度提升</t>
    <phoneticPr fontId="1" type="noConversion"/>
  </si>
  <si>
    <t>护甲提升</t>
    <phoneticPr fontId="1" type="noConversion"/>
  </si>
  <si>
    <t>闪避提升</t>
    <phoneticPr fontId="1" type="noConversion"/>
  </si>
  <si>
    <t>免伤提升</t>
    <phoneticPr fontId="1" type="noConversion"/>
  </si>
  <si>
    <t>概率复活</t>
    <phoneticPr fontId="1" type="noConversion"/>
  </si>
  <si>
    <t>概率眩晕</t>
    <phoneticPr fontId="1" type="noConversion"/>
  </si>
  <si>
    <t>概率冰冻</t>
    <phoneticPr fontId="1" type="noConversion"/>
  </si>
  <si>
    <t>概率石化</t>
    <phoneticPr fontId="1" type="noConversion"/>
  </si>
  <si>
    <t>概率沉默</t>
    <phoneticPr fontId="1" type="noConversion"/>
  </si>
  <si>
    <t>速度降低</t>
    <phoneticPr fontId="1" type="noConversion"/>
  </si>
  <si>
    <t>吸血</t>
    <phoneticPr fontId="1" type="noConversion"/>
  </si>
  <si>
    <t>分裂攻击</t>
    <phoneticPr fontId="1" type="noConversion"/>
  </si>
  <si>
    <t>充能</t>
    <phoneticPr fontId="1" type="noConversion"/>
  </si>
  <si>
    <t xml:space="preserve"> 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</si>
</sst>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宋体"/>
      <charset val="134"/>
      <scheme val="minor"/>
    </font>
    <font>
      <sz val="9"/>
      <name val="宋体"/>
      <family val="3"/>
      <charset val="134"/>
      <scheme val="minor"/>
    </font>
    <font>
      <b/>
      <sz val="11"/>
      <color theme="1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sz val="11"/>
      <color indexed="8"/>
      <name val="宋体"/>
      <family val="3"/>
      <charset val="13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6">
    <xf numFmtId="0" fontId="0" fillId="0" borderId="0" xfId="0">
      <alignment vertical="center"/>
    </xf>
    <xf numFmtId="0" fontId="0" fillId="0" borderId="0" xfId="0" applyFont="1" applyAlignment="1"/>
    <xf numFmtId="0" fontId="0" fillId="0" borderId="0" xfId="0" applyAlignment="1"/>
    <xf numFmtId="0" fontId="0" fillId="0" borderId="0" xfId="0" applyNumberFormat="1" applyFont="1" applyAlignment="1">
      <alignment horizontal="left" vertical="center"/>
    </xf>
    <xf numFmtId="0" fontId="0" fillId="0" borderId="0" xfId="0" applyFont="1" applyAlignment="1">
      <alignment horizontal="left"/>
    </xf>
    <xf numFmtId="0" fontId="0" fillId="0" borderId="0" xfId="0" applyFont="1" applyAlignment="1">
      <alignment horizontal="right"/>
    </xf>
    <xf numFmtId="0" fontId="0" fillId="0" borderId="0" xfId="0" applyAlignment="1">
      <alignment horizontal="left" vertical="center"/>
    </xf>
    <xf numFmtId="0" fontId="0" fillId="0" borderId="0" xfId="0" applyFont="1" applyAlignment="1">
      <alignment vertical="center"/>
    </xf>
    <xf numFmtId="49" fontId="0" fillId="0" borderId="0" xfId="0" applyNumberFormat="1" applyFont="1" applyAlignment="1">
      <alignment horizontal="left"/>
    </xf>
    <xf numFmtId="0" fontId="0" fillId="0" borderId="0" xfId="0" applyFont="1">
      <alignment vertical="center"/>
    </xf>
    <xf numFmtId="0" fontId="0" fillId="0" borderId="0" xfId="0" applyAlignment="1">
      <alignment vertical="center"/>
    </xf>
    <xf numFmtId="0" fontId="2" fillId="0" borderId="0" xfId="0" applyFont="1" applyAlignment="1"/>
    <xf numFmtId="0" fontId="2" fillId="0" borderId="0" xfId="0" applyFont="1">
      <alignment vertical="center"/>
    </xf>
    <xf numFmtId="0" fontId="2" fillId="0" borderId="0" xfId="0" applyFont="1" applyAlignment="1">
      <alignment horizontal="right"/>
    </xf>
    <xf numFmtId="0" fontId="4" fillId="0" borderId="0" xfId="0" applyNumberFormat="1" applyFont="1" applyFill="1" applyBorder="1" applyAlignment="1" applyProtection="1"/>
    <xf numFmtId="0" fontId="4" fillId="0" borderId="0" xfId="0" applyNumberFormat="1" applyFont="1" applyFill="1" applyBorder="1" applyAlignment="1" applyProtection="1">
      <alignment vertical="center"/>
    </xf>
  </cellXfs>
  <cellStyles count="1">
    <cellStyle name="常规" xfId="0" builtinId="0"/>
  </cellStyles>
  <dxfs count="17"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T135"/>
  <sheetViews>
    <sheetView tabSelected="1" topLeftCell="A7" zoomScale="90" zoomScaleNormal="90" workbookViewId="0">
      <selection activeCell="H49" sqref="H49"/>
    </sheetView>
  </sheetViews>
  <sheetFormatPr defaultColWidth="9" defaultRowHeight="13.5" x14ac:dyDescent="0.15"/>
  <cols>
    <col min="1" max="1" width="6.5" customWidth="1"/>
    <col min="2" max="2" width="26.125" bestFit="1" customWidth="1"/>
    <col min="3" max="3" width="11.375" customWidth="1"/>
    <col min="4" max="4" width="26.375" customWidth="1"/>
    <col min="5" max="10" width="23.375" customWidth="1"/>
    <col min="11" max="12" width="13.875" customWidth="1"/>
    <col min="13" max="13" width="17.375" customWidth="1"/>
    <col min="14" max="14" width="8.5" bestFit="1" customWidth="1"/>
    <col min="15" max="15" width="26.125" bestFit="1" customWidth="1"/>
    <col min="18" max="18" width="15.25" customWidth="1"/>
    <col min="19" max="19" width="26.125" bestFit="1" customWidth="1"/>
  </cols>
  <sheetData>
    <row r="1" spans="1:20" x14ac:dyDescent="0.1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/>
      <c r="M1">
        <v>10000</v>
      </c>
      <c r="Q1" s="2"/>
      <c r="R1" s="1"/>
      <c r="S1" s="2"/>
      <c r="T1" s="10"/>
    </row>
    <row r="2" spans="1:20" x14ac:dyDescent="0.15">
      <c r="A2" s="2" t="s">
        <v>9</v>
      </c>
      <c r="B2" s="2" t="s">
        <v>10</v>
      </c>
      <c r="C2" s="2" t="s">
        <v>10</v>
      </c>
      <c r="D2" s="1" t="s">
        <v>11</v>
      </c>
      <c r="E2" s="1" t="s">
        <v>12</v>
      </c>
      <c r="F2" s="1" t="s">
        <v>13</v>
      </c>
      <c r="G2" s="1" t="s">
        <v>9</v>
      </c>
      <c r="H2" s="1" t="s">
        <v>9</v>
      </c>
      <c r="I2" s="1" t="s">
        <v>9</v>
      </c>
      <c r="J2" s="1"/>
      <c r="M2">
        <f>SUM(M4:M23)</f>
        <v>1.0000000000000002</v>
      </c>
      <c r="Q2" s="7"/>
      <c r="R2" s="7"/>
      <c r="S2" s="7"/>
      <c r="T2" s="7"/>
    </row>
    <row r="3" spans="1:20" x14ac:dyDescent="0.15">
      <c r="A3" s="2" t="s">
        <v>14</v>
      </c>
      <c r="B3" s="2" t="s">
        <v>15</v>
      </c>
      <c r="C3" s="2" t="s">
        <v>16</v>
      </c>
      <c r="D3" s="1" t="s">
        <v>17</v>
      </c>
      <c r="E3" s="1" t="s">
        <v>18</v>
      </c>
      <c r="F3" s="1" t="s">
        <v>19</v>
      </c>
      <c r="G3" s="1" t="s">
        <v>20</v>
      </c>
      <c r="H3" s="1" t="s">
        <v>21</v>
      </c>
      <c r="I3" s="1" t="s">
        <v>22</v>
      </c>
      <c r="J3" s="1"/>
      <c r="K3" s="11" t="s">
        <v>104</v>
      </c>
      <c r="L3" s="11" t="s">
        <v>105</v>
      </c>
      <c r="M3" s="11" t="s">
        <v>106</v>
      </c>
      <c r="N3" s="13" t="s">
        <v>101</v>
      </c>
      <c r="O3" s="12" t="s">
        <v>99</v>
      </c>
      <c r="P3" s="12" t="s">
        <v>100</v>
      </c>
      <c r="Q3" s="1"/>
      <c r="R3" s="11" t="s">
        <v>102</v>
      </c>
      <c r="S3" s="11" t="s">
        <v>103</v>
      </c>
      <c r="T3" s="11" t="s">
        <v>123</v>
      </c>
    </row>
    <row r="4" spans="1:20" x14ac:dyDescent="0.15">
      <c r="A4">
        <v>101</v>
      </c>
      <c r="B4" s="1" t="s">
        <v>59</v>
      </c>
      <c r="C4" t="s">
        <v>60</v>
      </c>
      <c r="D4" s="1">
        <v>2</v>
      </c>
      <c r="E4" s="3" t="s">
        <v>24</v>
      </c>
      <c r="F4" s="4" t="s">
        <v>25</v>
      </c>
      <c r="G4" s="4">
        <v>710101</v>
      </c>
      <c r="H4">
        <v>102</v>
      </c>
      <c r="I4">
        <f>$M$1*INDEX($M$4:$M$104,MATCH(INT(R4),$N$4:$N$104,0))</f>
        <v>400</v>
      </c>
      <c r="J4" s="8"/>
      <c r="K4" s="1" t="s">
        <v>23</v>
      </c>
      <c r="L4" s="14" t="s">
        <v>107</v>
      </c>
      <c r="M4" s="4">
        <v>0.04</v>
      </c>
      <c r="N4" s="9">
        <v>71010</v>
      </c>
      <c r="O4" t="s">
        <v>59</v>
      </c>
      <c r="P4" t="s">
        <v>60</v>
      </c>
      <c r="R4" t="str">
        <f>LEFT(G4,5)</f>
        <v>71010</v>
      </c>
      <c r="S4" t="str">
        <f>INDEX($O$4:$O$104,MATCH(INT(R4),$N$4:$N$104,0))</f>
        <v>DATA_AitiFactName710101</v>
      </c>
      <c r="T4" t="str">
        <f>INDEX($P$4:$P$104,MATCH(INT(R4),$N$4:$N$104,0))</f>
        <v>亡者板甲</v>
      </c>
    </row>
    <row r="5" spans="1:20" x14ac:dyDescent="0.15">
      <c r="A5">
        <v>102</v>
      </c>
      <c r="B5" s="1" t="s">
        <v>59</v>
      </c>
      <c r="C5" t="s">
        <v>60</v>
      </c>
      <c r="D5" s="1">
        <v>3</v>
      </c>
      <c r="E5" s="3" t="s">
        <v>24</v>
      </c>
      <c r="F5" s="4" t="s">
        <v>26</v>
      </c>
      <c r="G5" s="4">
        <v>710102</v>
      </c>
      <c r="H5">
        <v>103</v>
      </c>
      <c r="I5">
        <f t="shared" ref="I5:I68" si="0">$M$1*INDEX($M$4:$M$104,MATCH(INT(R5),$N$4:$N$104,0))</f>
        <v>400</v>
      </c>
      <c r="J5" s="8"/>
      <c r="K5" s="1" t="s">
        <v>23</v>
      </c>
      <c r="L5" s="14" t="s">
        <v>108</v>
      </c>
      <c r="M5" s="4">
        <v>0.09</v>
      </c>
      <c r="N5" s="1">
        <v>71020</v>
      </c>
      <c r="O5" t="s">
        <v>61</v>
      </c>
      <c r="P5" t="s">
        <v>62</v>
      </c>
      <c r="Q5" s="1"/>
      <c r="R5" t="str">
        <f t="shared" ref="R5:R68" si="1">LEFT(G5,5)</f>
        <v>71010</v>
      </c>
      <c r="S5" t="str">
        <f t="shared" ref="S5:S68" si="2">INDEX($O$4:$O$104,MATCH(INT(R5),$N$4:$N$104,0))</f>
        <v>DATA_AitiFactName710101</v>
      </c>
      <c r="T5" t="str">
        <f t="shared" ref="T5:T68" si="3">INDEX($P$4:$P$104,MATCH(INT(R5),$N$4:$N$104,0))</f>
        <v>亡者板甲</v>
      </c>
    </row>
    <row r="6" spans="1:20" x14ac:dyDescent="0.15">
      <c r="A6">
        <v>103</v>
      </c>
      <c r="B6" s="1" t="s">
        <v>59</v>
      </c>
      <c r="C6" t="s">
        <v>60</v>
      </c>
      <c r="D6" s="1">
        <v>4</v>
      </c>
      <c r="E6" s="3" t="s">
        <v>24</v>
      </c>
      <c r="F6" s="4" t="s">
        <v>27</v>
      </c>
      <c r="G6" s="4">
        <v>710103</v>
      </c>
      <c r="H6">
        <v>104</v>
      </c>
      <c r="I6">
        <f t="shared" si="0"/>
        <v>400</v>
      </c>
      <c r="J6" s="8"/>
      <c r="K6" s="1" t="s">
        <v>23</v>
      </c>
      <c r="L6" s="14" t="s">
        <v>109</v>
      </c>
      <c r="M6" s="4">
        <v>0.03</v>
      </c>
      <c r="N6" s="1">
        <v>71030</v>
      </c>
      <c r="O6" t="s">
        <v>63</v>
      </c>
      <c r="P6" t="s">
        <v>64</v>
      </c>
      <c r="Q6" s="1"/>
      <c r="R6" t="str">
        <f t="shared" si="1"/>
        <v>71010</v>
      </c>
      <c r="S6" t="str">
        <f t="shared" si="2"/>
        <v>DATA_AitiFactName710101</v>
      </c>
      <c r="T6" t="str">
        <f t="shared" si="3"/>
        <v>亡者板甲</v>
      </c>
    </row>
    <row r="7" spans="1:20" x14ac:dyDescent="0.15">
      <c r="A7">
        <v>104</v>
      </c>
      <c r="B7" s="1" t="s">
        <v>59</v>
      </c>
      <c r="C7" t="s">
        <v>60</v>
      </c>
      <c r="D7" s="1">
        <v>5</v>
      </c>
      <c r="E7" s="3" t="s">
        <v>24</v>
      </c>
      <c r="F7" s="4" t="s">
        <v>28</v>
      </c>
      <c r="G7" s="4">
        <v>710104</v>
      </c>
      <c r="H7">
        <v>105</v>
      </c>
      <c r="I7">
        <f t="shared" si="0"/>
        <v>400</v>
      </c>
      <c r="J7" s="8"/>
      <c r="K7" s="1" t="s">
        <v>23</v>
      </c>
      <c r="L7" s="15" t="s">
        <v>34</v>
      </c>
      <c r="M7" s="4">
        <v>0.09</v>
      </c>
      <c r="N7" s="1">
        <v>71040</v>
      </c>
      <c r="O7" t="s">
        <v>65</v>
      </c>
      <c r="P7" t="s">
        <v>66</v>
      </c>
      <c r="Q7" s="1"/>
      <c r="R7" t="str">
        <f t="shared" si="1"/>
        <v>71010</v>
      </c>
      <c r="S7" t="str">
        <f t="shared" si="2"/>
        <v>DATA_AitiFactName710101</v>
      </c>
      <c r="T7" t="str">
        <f t="shared" si="3"/>
        <v>亡者板甲</v>
      </c>
    </row>
    <row r="8" spans="1:20" x14ac:dyDescent="0.15">
      <c r="A8">
        <v>105</v>
      </c>
      <c r="B8" s="1" t="s">
        <v>59</v>
      </c>
      <c r="C8" t="s">
        <v>60</v>
      </c>
      <c r="D8" s="1">
        <v>6</v>
      </c>
      <c r="E8" s="3" t="s">
        <v>24</v>
      </c>
      <c r="F8" s="4" t="s">
        <v>29</v>
      </c>
      <c r="G8" s="4">
        <v>710105</v>
      </c>
      <c r="H8">
        <v>106</v>
      </c>
      <c r="I8">
        <f t="shared" si="0"/>
        <v>400</v>
      </c>
      <c r="J8" s="8"/>
      <c r="K8" s="1" t="s">
        <v>23</v>
      </c>
      <c r="L8" s="15" t="s">
        <v>35</v>
      </c>
      <c r="M8" s="4">
        <v>0.09</v>
      </c>
      <c r="N8" s="1">
        <v>71050</v>
      </c>
      <c r="O8" t="s">
        <v>67</v>
      </c>
      <c r="P8" t="s">
        <v>68</v>
      </c>
      <c r="Q8" s="1"/>
      <c r="R8" t="str">
        <f t="shared" si="1"/>
        <v>71010</v>
      </c>
      <c r="S8" t="str">
        <f t="shared" si="2"/>
        <v>DATA_AitiFactName710101</v>
      </c>
      <c r="T8" t="str">
        <f t="shared" si="3"/>
        <v>亡者板甲</v>
      </c>
    </row>
    <row r="9" spans="1:20" x14ac:dyDescent="0.15">
      <c r="A9">
        <v>106</v>
      </c>
      <c r="B9" s="1" t="s">
        <v>59</v>
      </c>
      <c r="C9" t="s">
        <v>60</v>
      </c>
      <c r="D9" s="1">
        <v>7</v>
      </c>
      <c r="E9" s="3" t="s">
        <v>24</v>
      </c>
      <c r="F9" s="4" t="s">
        <v>30</v>
      </c>
      <c r="G9" s="4">
        <v>710106</v>
      </c>
      <c r="H9" s="5">
        <v>0</v>
      </c>
      <c r="I9">
        <f t="shared" si="0"/>
        <v>400</v>
      </c>
      <c r="J9" s="8"/>
      <c r="K9" s="1" t="s">
        <v>23</v>
      </c>
      <c r="L9" s="15" t="s">
        <v>36</v>
      </c>
      <c r="M9" s="4">
        <v>0.09</v>
      </c>
      <c r="N9" s="1">
        <v>71060</v>
      </c>
      <c r="O9" t="s">
        <v>69</v>
      </c>
      <c r="P9" t="s">
        <v>70</v>
      </c>
      <c r="Q9" s="1"/>
      <c r="R9" t="str">
        <f t="shared" si="1"/>
        <v>71010</v>
      </c>
      <c r="S9" t="str">
        <f t="shared" si="2"/>
        <v>DATA_AitiFactName710101</v>
      </c>
      <c r="T9" t="str">
        <f t="shared" si="3"/>
        <v>亡者板甲</v>
      </c>
    </row>
    <row r="10" spans="1:20" x14ac:dyDescent="0.15">
      <c r="A10">
        <v>201</v>
      </c>
      <c r="B10" s="1" t="s">
        <v>61</v>
      </c>
      <c r="C10" t="s">
        <v>62</v>
      </c>
      <c r="D10" s="1">
        <v>2</v>
      </c>
      <c r="E10" s="3" t="s">
        <v>24</v>
      </c>
      <c r="F10" s="4" t="s">
        <v>25</v>
      </c>
      <c r="G10" s="4">
        <v>710201</v>
      </c>
      <c r="H10">
        <v>202</v>
      </c>
      <c r="I10">
        <f t="shared" si="0"/>
        <v>900</v>
      </c>
      <c r="K10" s="1" t="s">
        <v>31</v>
      </c>
      <c r="L10" s="15" t="s">
        <v>37</v>
      </c>
      <c r="M10" s="4">
        <v>0.09</v>
      </c>
      <c r="N10" s="1">
        <v>71070</v>
      </c>
      <c r="O10" t="s">
        <v>71</v>
      </c>
      <c r="P10" t="s">
        <v>72</v>
      </c>
      <c r="R10" t="str">
        <f t="shared" si="1"/>
        <v>71020</v>
      </c>
      <c r="S10" t="str">
        <f t="shared" si="2"/>
        <v>DATA_AitiFactName710201</v>
      </c>
      <c r="T10" t="str">
        <f t="shared" si="3"/>
        <v>龙牙坠饰</v>
      </c>
    </row>
    <row r="11" spans="1:20" x14ac:dyDescent="0.15">
      <c r="A11">
        <v>202</v>
      </c>
      <c r="B11" s="1" t="s">
        <v>61</v>
      </c>
      <c r="C11" t="s">
        <v>62</v>
      </c>
      <c r="D11" s="1">
        <v>3</v>
      </c>
      <c r="E11" s="3" t="s">
        <v>24</v>
      </c>
      <c r="F11" s="4" t="s">
        <v>26</v>
      </c>
      <c r="G11" s="4">
        <v>710202</v>
      </c>
      <c r="H11">
        <v>203</v>
      </c>
      <c r="I11">
        <f t="shared" si="0"/>
        <v>900</v>
      </c>
      <c r="J11" s="1"/>
      <c r="K11" s="1" t="s">
        <v>31</v>
      </c>
      <c r="L11" s="15" t="s">
        <v>110</v>
      </c>
      <c r="M11" s="4">
        <v>0.06</v>
      </c>
      <c r="N11" s="1">
        <v>71080</v>
      </c>
      <c r="O11" t="s">
        <v>73</v>
      </c>
      <c r="P11" t="s">
        <v>74</v>
      </c>
      <c r="R11" t="str">
        <f t="shared" si="1"/>
        <v>71020</v>
      </c>
      <c r="S11" t="str">
        <f t="shared" si="2"/>
        <v>DATA_AitiFactName710201</v>
      </c>
      <c r="T11" t="str">
        <f t="shared" si="3"/>
        <v>龙牙坠饰</v>
      </c>
    </row>
    <row r="12" spans="1:20" x14ac:dyDescent="0.15">
      <c r="A12">
        <v>203</v>
      </c>
      <c r="B12" s="1" t="s">
        <v>61</v>
      </c>
      <c r="C12" t="s">
        <v>62</v>
      </c>
      <c r="D12" s="1">
        <v>4</v>
      </c>
      <c r="E12" s="3" t="s">
        <v>24</v>
      </c>
      <c r="F12" s="4" t="s">
        <v>27</v>
      </c>
      <c r="G12" s="4">
        <v>710203</v>
      </c>
      <c r="H12">
        <v>204</v>
      </c>
      <c r="I12">
        <f t="shared" si="0"/>
        <v>900</v>
      </c>
      <c r="K12" s="1" t="s">
        <v>31</v>
      </c>
      <c r="L12" s="15" t="s">
        <v>111</v>
      </c>
      <c r="M12" s="4">
        <v>0.06</v>
      </c>
      <c r="N12" s="1">
        <v>71090</v>
      </c>
      <c r="O12" t="s">
        <v>75</v>
      </c>
      <c r="P12" t="s">
        <v>76</v>
      </c>
      <c r="R12" t="str">
        <f t="shared" si="1"/>
        <v>71020</v>
      </c>
      <c r="S12" t="str">
        <f t="shared" si="2"/>
        <v>DATA_AitiFactName710201</v>
      </c>
      <c r="T12" t="str">
        <f t="shared" si="3"/>
        <v>龙牙坠饰</v>
      </c>
    </row>
    <row r="13" spans="1:20" x14ac:dyDescent="0.15">
      <c r="A13">
        <v>204</v>
      </c>
      <c r="B13" s="1" t="s">
        <v>61</v>
      </c>
      <c r="C13" t="s">
        <v>62</v>
      </c>
      <c r="D13" s="1">
        <v>5</v>
      </c>
      <c r="E13" s="3" t="s">
        <v>24</v>
      </c>
      <c r="F13" s="4" t="s">
        <v>28</v>
      </c>
      <c r="G13" s="4">
        <v>710204</v>
      </c>
      <c r="H13">
        <v>205</v>
      </c>
      <c r="I13">
        <f t="shared" si="0"/>
        <v>900</v>
      </c>
      <c r="K13" s="1" t="s">
        <v>31</v>
      </c>
      <c r="L13" s="15" t="s">
        <v>112</v>
      </c>
      <c r="M13" s="4">
        <v>0.06</v>
      </c>
      <c r="N13" s="1">
        <v>71100</v>
      </c>
      <c r="O13" t="s">
        <v>77</v>
      </c>
      <c r="P13" t="s">
        <v>78</v>
      </c>
      <c r="R13" t="str">
        <f t="shared" si="1"/>
        <v>71020</v>
      </c>
      <c r="S13" t="str">
        <f t="shared" si="2"/>
        <v>DATA_AitiFactName710201</v>
      </c>
      <c r="T13" t="str">
        <f t="shared" si="3"/>
        <v>龙牙坠饰</v>
      </c>
    </row>
    <row r="14" spans="1:20" x14ac:dyDescent="0.15">
      <c r="A14">
        <v>205</v>
      </c>
      <c r="B14" s="1" t="s">
        <v>61</v>
      </c>
      <c r="C14" t="s">
        <v>62</v>
      </c>
      <c r="D14" s="1">
        <v>6</v>
      </c>
      <c r="E14" s="3" t="s">
        <v>24</v>
      </c>
      <c r="F14" s="4" t="s">
        <v>29</v>
      </c>
      <c r="G14" s="4">
        <v>710205</v>
      </c>
      <c r="H14">
        <v>206</v>
      </c>
      <c r="I14">
        <f t="shared" si="0"/>
        <v>900</v>
      </c>
      <c r="K14" s="1" t="s">
        <v>31</v>
      </c>
      <c r="L14" s="15" t="s">
        <v>113</v>
      </c>
      <c r="M14" s="4">
        <v>0.06</v>
      </c>
      <c r="N14" s="1">
        <v>71110</v>
      </c>
      <c r="O14" t="s">
        <v>79</v>
      </c>
      <c r="P14" t="s">
        <v>80</v>
      </c>
      <c r="R14" t="str">
        <f t="shared" si="1"/>
        <v>71020</v>
      </c>
      <c r="S14" t="str">
        <f t="shared" si="2"/>
        <v>DATA_AitiFactName710201</v>
      </c>
      <c r="T14" t="str">
        <f t="shared" si="3"/>
        <v>龙牙坠饰</v>
      </c>
    </row>
    <row r="15" spans="1:20" x14ac:dyDescent="0.15">
      <c r="A15">
        <v>206</v>
      </c>
      <c r="B15" s="1" t="s">
        <v>61</v>
      </c>
      <c r="C15" t="s">
        <v>62</v>
      </c>
      <c r="D15" s="1">
        <v>7</v>
      </c>
      <c r="E15" s="3" t="s">
        <v>24</v>
      </c>
      <c r="F15" s="4" t="s">
        <v>30</v>
      </c>
      <c r="G15" s="4">
        <v>710206</v>
      </c>
      <c r="H15">
        <v>0</v>
      </c>
      <c r="I15">
        <f t="shared" si="0"/>
        <v>900</v>
      </c>
      <c r="J15" s="1"/>
      <c r="K15" s="1" t="s">
        <v>31</v>
      </c>
      <c r="L15" s="15" t="s">
        <v>114</v>
      </c>
      <c r="M15" s="4">
        <v>0.01</v>
      </c>
      <c r="N15" s="1">
        <v>71120</v>
      </c>
      <c r="O15" t="s">
        <v>81</v>
      </c>
      <c r="P15" t="s">
        <v>82</v>
      </c>
      <c r="R15" t="str">
        <f t="shared" si="1"/>
        <v>71020</v>
      </c>
      <c r="S15" t="str">
        <f t="shared" si="2"/>
        <v>DATA_AitiFactName710201</v>
      </c>
      <c r="T15" t="str">
        <f t="shared" si="3"/>
        <v>龙牙坠饰</v>
      </c>
    </row>
    <row r="16" spans="1:20" x14ac:dyDescent="0.15">
      <c r="A16">
        <v>301</v>
      </c>
      <c r="B16" s="1" t="s">
        <v>63</v>
      </c>
      <c r="C16" t="s">
        <v>64</v>
      </c>
      <c r="D16" s="1">
        <v>2</v>
      </c>
      <c r="E16" s="1" t="s">
        <v>33</v>
      </c>
      <c r="F16" s="1" t="s">
        <v>25</v>
      </c>
      <c r="G16" s="6">
        <v>710301</v>
      </c>
      <c r="H16">
        <v>302</v>
      </c>
      <c r="I16">
        <f t="shared" si="0"/>
        <v>300</v>
      </c>
      <c r="J16" s="1"/>
      <c r="K16" s="1" t="s">
        <v>32</v>
      </c>
      <c r="L16" s="15" t="s">
        <v>115</v>
      </c>
      <c r="M16" s="4">
        <v>0.02</v>
      </c>
      <c r="N16" s="1">
        <v>71130</v>
      </c>
      <c r="O16" t="s">
        <v>83</v>
      </c>
      <c r="P16" t="s">
        <v>84</v>
      </c>
      <c r="R16" t="str">
        <f t="shared" si="1"/>
        <v>71030</v>
      </c>
      <c r="S16" t="str">
        <f t="shared" si="2"/>
        <v>DATA_AitiFactName710301</v>
      </c>
      <c r="T16" t="str">
        <f t="shared" si="3"/>
        <v>剔骨之刃</v>
      </c>
    </row>
    <row r="17" spans="1:20" x14ac:dyDescent="0.15">
      <c r="A17">
        <v>302</v>
      </c>
      <c r="B17" s="1" t="s">
        <v>63</v>
      </c>
      <c r="C17" t="s">
        <v>64</v>
      </c>
      <c r="D17" s="1">
        <v>3</v>
      </c>
      <c r="E17" s="1" t="s">
        <v>33</v>
      </c>
      <c r="F17" t="s">
        <v>26</v>
      </c>
      <c r="G17" s="6">
        <v>710302</v>
      </c>
      <c r="H17">
        <v>303</v>
      </c>
      <c r="I17">
        <f t="shared" si="0"/>
        <v>300</v>
      </c>
      <c r="K17" s="1" t="s">
        <v>32</v>
      </c>
      <c r="L17" s="15" t="s">
        <v>116</v>
      </c>
      <c r="M17" s="4">
        <v>0.02</v>
      </c>
      <c r="N17" s="1">
        <v>71140</v>
      </c>
      <c r="O17" t="s">
        <v>85</v>
      </c>
      <c r="P17" t="s">
        <v>86</v>
      </c>
      <c r="R17" t="str">
        <f t="shared" si="1"/>
        <v>71030</v>
      </c>
      <c r="S17" t="str">
        <f t="shared" si="2"/>
        <v>DATA_AitiFactName710301</v>
      </c>
      <c r="T17" t="str">
        <f t="shared" si="3"/>
        <v>剔骨之刃</v>
      </c>
    </row>
    <row r="18" spans="1:20" x14ac:dyDescent="0.15">
      <c r="A18">
        <v>303</v>
      </c>
      <c r="B18" s="1" t="s">
        <v>63</v>
      </c>
      <c r="C18" t="s">
        <v>64</v>
      </c>
      <c r="D18" s="1">
        <v>4</v>
      </c>
      <c r="E18" s="1" t="s">
        <v>33</v>
      </c>
      <c r="F18" t="s">
        <v>27</v>
      </c>
      <c r="G18" s="6">
        <v>710303</v>
      </c>
      <c r="H18">
        <v>304</v>
      </c>
      <c r="I18">
        <f t="shared" si="0"/>
        <v>300</v>
      </c>
      <c r="K18" s="1" t="s">
        <v>32</v>
      </c>
      <c r="L18" s="15" t="s">
        <v>117</v>
      </c>
      <c r="M18" s="4">
        <v>0.02</v>
      </c>
      <c r="N18" s="1">
        <v>71150</v>
      </c>
      <c r="O18" t="s">
        <v>87</v>
      </c>
      <c r="P18" t="s">
        <v>88</v>
      </c>
      <c r="R18" t="str">
        <f t="shared" si="1"/>
        <v>71030</v>
      </c>
      <c r="S18" t="str">
        <f t="shared" si="2"/>
        <v>DATA_AitiFactName710301</v>
      </c>
      <c r="T18" t="str">
        <f t="shared" si="3"/>
        <v>剔骨之刃</v>
      </c>
    </row>
    <row r="19" spans="1:20" x14ac:dyDescent="0.15">
      <c r="A19">
        <v>304</v>
      </c>
      <c r="B19" s="1" t="s">
        <v>63</v>
      </c>
      <c r="C19" t="s">
        <v>64</v>
      </c>
      <c r="D19" s="1">
        <v>5</v>
      </c>
      <c r="E19" s="1" t="s">
        <v>33</v>
      </c>
      <c r="F19" t="s">
        <v>28</v>
      </c>
      <c r="G19" s="6">
        <v>710304</v>
      </c>
      <c r="H19">
        <v>305</v>
      </c>
      <c r="I19">
        <f t="shared" si="0"/>
        <v>300</v>
      </c>
      <c r="K19" s="1" t="s">
        <v>32</v>
      </c>
      <c r="L19" s="15" t="s">
        <v>118</v>
      </c>
      <c r="M19" s="4">
        <v>0.02</v>
      </c>
      <c r="N19" s="1">
        <v>71160</v>
      </c>
      <c r="O19" t="s">
        <v>89</v>
      </c>
      <c r="P19" t="s">
        <v>90</v>
      </c>
      <c r="R19" t="str">
        <f t="shared" si="1"/>
        <v>71030</v>
      </c>
      <c r="S19" t="str">
        <f t="shared" si="2"/>
        <v>DATA_AitiFactName710301</v>
      </c>
      <c r="T19" t="str">
        <f t="shared" si="3"/>
        <v>剔骨之刃</v>
      </c>
    </row>
    <row r="20" spans="1:20" x14ac:dyDescent="0.15">
      <c r="A20">
        <v>305</v>
      </c>
      <c r="B20" s="1" t="s">
        <v>63</v>
      </c>
      <c r="C20" t="s">
        <v>64</v>
      </c>
      <c r="D20" s="1">
        <v>6</v>
      </c>
      <c r="E20" s="1" t="s">
        <v>33</v>
      </c>
      <c r="F20" t="s">
        <v>29</v>
      </c>
      <c r="G20" s="6">
        <v>710305</v>
      </c>
      <c r="H20">
        <v>306</v>
      </c>
      <c r="I20">
        <f t="shared" si="0"/>
        <v>300</v>
      </c>
      <c r="K20" s="1" t="s">
        <v>32</v>
      </c>
      <c r="L20" s="15" t="s">
        <v>119</v>
      </c>
      <c r="M20" s="4">
        <v>0.06</v>
      </c>
      <c r="N20" s="1">
        <v>71170</v>
      </c>
      <c r="O20" t="s">
        <v>91</v>
      </c>
      <c r="P20" t="s">
        <v>92</v>
      </c>
      <c r="R20" t="str">
        <f t="shared" si="1"/>
        <v>71030</v>
      </c>
      <c r="S20" t="str">
        <f t="shared" si="2"/>
        <v>DATA_AitiFactName710301</v>
      </c>
      <c r="T20" t="str">
        <f t="shared" si="3"/>
        <v>剔骨之刃</v>
      </c>
    </row>
    <row r="21" spans="1:20" x14ac:dyDescent="0.15">
      <c r="A21">
        <v>306</v>
      </c>
      <c r="B21" s="1" t="s">
        <v>63</v>
      </c>
      <c r="C21" t="s">
        <v>64</v>
      </c>
      <c r="D21" s="1">
        <v>7</v>
      </c>
      <c r="E21" s="1" t="s">
        <v>33</v>
      </c>
      <c r="F21" t="s">
        <v>30</v>
      </c>
      <c r="G21" s="6">
        <v>710306</v>
      </c>
      <c r="H21" s="1">
        <v>0</v>
      </c>
      <c r="I21">
        <f t="shared" si="0"/>
        <v>300</v>
      </c>
      <c r="K21" s="1" t="s">
        <v>32</v>
      </c>
      <c r="L21" s="15" t="s">
        <v>120</v>
      </c>
      <c r="M21" s="4">
        <v>0.03</v>
      </c>
      <c r="N21" s="1">
        <v>71180</v>
      </c>
      <c r="O21" t="s">
        <v>93</v>
      </c>
      <c r="P21" t="s">
        <v>94</v>
      </c>
      <c r="R21" t="str">
        <f t="shared" si="1"/>
        <v>71030</v>
      </c>
      <c r="S21" t="str">
        <f t="shared" si="2"/>
        <v>DATA_AitiFactName710301</v>
      </c>
      <c r="T21" t="str">
        <f t="shared" si="3"/>
        <v>剔骨之刃</v>
      </c>
    </row>
    <row r="22" spans="1:20" x14ac:dyDescent="0.15">
      <c r="A22">
        <v>401</v>
      </c>
      <c r="B22" t="s">
        <v>65</v>
      </c>
      <c r="C22" t="s">
        <v>66</v>
      </c>
      <c r="D22" s="1">
        <v>2</v>
      </c>
      <c r="E22" s="3" t="s">
        <v>24</v>
      </c>
      <c r="F22" s="4" t="s">
        <v>25</v>
      </c>
      <c r="G22" s="6">
        <v>710401</v>
      </c>
      <c r="H22">
        <v>402</v>
      </c>
      <c r="I22">
        <f t="shared" si="0"/>
        <v>900</v>
      </c>
      <c r="K22" t="s">
        <v>34</v>
      </c>
      <c r="L22" s="15" t="s">
        <v>121</v>
      </c>
      <c r="M22" s="4">
        <v>0.04</v>
      </c>
      <c r="N22" s="1">
        <v>71190</v>
      </c>
      <c r="O22" t="s">
        <v>95</v>
      </c>
      <c r="P22" t="s">
        <v>96</v>
      </c>
      <c r="R22" t="str">
        <f t="shared" si="1"/>
        <v>71040</v>
      </c>
      <c r="S22" t="str">
        <f t="shared" si="2"/>
        <v>DATA_AitiFactName710401</v>
      </c>
      <c r="T22" t="str">
        <f t="shared" si="3"/>
        <v>思维宝典</v>
      </c>
    </row>
    <row r="23" spans="1:20" x14ac:dyDescent="0.15">
      <c r="A23">
        <v>402</v>
      </c>
      <c r="B23" t="s">
        <v>65</v>
      </c>
      <c r="C23" t="s">
        <v>66</v>
      </c>
      <c r="D23" s="1">
        <v>3</v>
      </c>
      <c r="E23" s="3" t="s">
        <v>24</v>
      </c>
      <c r="F23" s="4" t="s">
        <v>26</v>
      </c>
      <c r="G23" s="6">
        <v>710402</v>
      </c>
      <c r="H23">
        <v>403</v>
      </c>
      <c r="I23">
        <f t="shared" si="0"/>
        <v>900</v>
      </c>
      <c r="K23" t="s">
        <v>34</v>
      </c>
      <c r="L23" s="15" t="s">
        <v>122</v>
      </c>
      <c r="M23" s="4">
        <v>0.02</v>
      </c>
      <c r="N23" s="1">
        <v>71200</v>
      </c>
      <c r="O23" t="s">
        <v>97</v>
      </c>
      <c r="P23" t="s">
        <v>98</v>
      </c>
      <c r="R23" t="str">
        <f t="shared" si="1"/>
        <v>71040</v>
      </c>
      <c r="S23" t="str">
        <f t="shared" si="2"/>
        <v>DATA_AitiFactName710401</v>
      </c>
      <c r="T23" t="str">
        <f t="shared" si="3"/>
        <v>思维宝典</v>
      </c>
    </row>
    <row r="24" spans="1:20" x14ac:dyDescent="0.15">
      <c r="A24">
        <v>403</v>
      </c>
      <c r="B24" t="s">
        <v>65</v>
      </c>
      <c r="C24" t="s">
        <v>66</v>
      </c>
      <c r="D24" s="1">
        <v>4</v>
      </c>
      <c r="E24" s="3" t="s">
        <v>24</v>
      </c>
      <c r="F24" s="4" t="s">
        <v>27</v>
      </c>
      <c r="G24" s="6">
        <v>710403</v>
      </c>
      <c r="H24">
        <v>404</v>
      </c>
      <c r="I24">
        <f t="shared" si="0"/>
        <v>900</v>
      </c>
      <c r="K24" t="s">
        <v>34</v>
      </c>
      <c r="R24" t="str">
        <f t="shared" si="1"/>
        <v>71040</v>
      </c>
      <c r="S24" t="str">
        <f t="shared" si="2"/>
        <v>DATA_AitiFactName710401</v>
      </c>
      <c r="T24" t="str">
        <f t="shared" si="3"/>
        <v>思维宝典</v>
      </c>
    </row>
    <row r="25" spans="1:20" x14ac:dyDescent="0.15">
      <c r="A25">
        <v>404</v>
      </c>
      <c r="B25" t="s">
        <v>65</v>
      </c>
      <c r="C25" t="s">
        <v>66</v>
      </c>
      <c r="D25" s="1">
        <v>5</v>
      </c>
      <c r="E25" s="3" t="s">
        <v>24</v>
      </c>
      <c r="F25" s="4" t="s">
        <v>28</v>
      </c>
      <c r="G25" s="6">
        <v>710404</v>
      </c>
      <c r="H25">
        <v>405</v>
      </c>
      <c r="I25">
        <f t="shared" si="0"/>
        <v>900</v>
      </c>
      <c r="K25" t="s">
        <v>34</v>
      </c>
      <c r="R25" t="str">
        <f t="shared" si="1"/>
        <v>71040</v>
      </c>
      <c r="S25" t="str">
        <f t="shared" si="2"/>
        <v>DATA_AitiFactName710401</v>
      </c>
      <c r="T25" t="str">
        <f t="shared" si="3"/>
        <v>思维宝典</v>
      </c>
    </row>
    <row r="26" spans="1:20" x14ac:dyDescent="0.15">
      <c r="A26">
        <v>405</v>
      </c>
      <c r="B26" t="s">
        <v>65</v>
      </c>
      <c r="C26" t="s">
        <v>66</v>
      </c>
      <c r="D26" s="1">
        <v>6</v>
      </c>
      <c r="E26" s="3" t="s">
        <v>24</v>
      </c>
      <c r="F26" s="4" t="s">
        <v>29</v>
      </c>
      <c r="G26" s="6">
        <v>710405</v>
      </c>
      <c r="H26">
        <v>406</v>
      </c>
      <c r="I26">
        <f t="shared" si="0"/>
        <v>900</v>
      </c>
      <c r="K26" t="s">
        <v>34</v>
      </c>
      <c r="R26" t="str">
        <f t="shared" si="1"/>
        <v>71040</v>
      </c>
      <c r="S26" t="str">
        <f t="shared" si="2"/>
        <v>DATA_AitiFactName710401</v>
      </c>
      <c r="T26" t="str">
        <f t="shared" si="3"/>
        <v>思维宝典</v>
      </c>
    </row>
    <row r="27" spans="1:20" x14ac:dyDescent="0.15">
      <c r="A27">
        <v>406</v>
      </c>
      <c r="B27" t="s">
        <v>65</v>
      </c>
      <c r="C27" t="s">
        <v>66</v>
      </c>
      <c r="D27" s="1">
        <v>7</v>
      </c>
      <c r="E27" s="3" t="s">
        <v>24</v>
      </c>
      <c r="F27" s="4" t="s">
        <v>30</v>
      </c>
      <c r="G27" s="6">
        <v>710406</v>
      </c>
      <c r="H27">
        <v>0</v>
      </c>
      <c r="I27">
        <f t="shared" si="0"/>
        <v>900</v>
      </c>
      <c r="K27" t="s">
        <v>34</v>
      </c>
      <c r="R27" t="str">
        <f t="shared" si="1"/>
        <v>71040</v>
      </c>
      <c r="S27" t="str">
        <f t="shared" si="2"/>
        <v>DATA_AitiFactName710401</v>
      </c>
      <c r="T27" t="str">
        <f t="shared" si="3"/>
        <v>思维宝典</v>
      </c>
    </row>
    <row r="28" spans="1:20" x14ac:dyDescent="0.15">
      <c r="A28">
        <v>501</v>
      </c>
      <c r="B28" t="s">
        <v>67</v>
      </c>
      <c r="C28" t="s">
        <v>68</v>
      </c>
      <c r="D28" s="1">
        <v>2</v>
      </c>
      <c r="E28" s="3" t="s">
        <v>24</v>
      </c>
      <c r="F28" s="4" t="s">
        <v>25</v>
      </c>
      <c r="G28" s="6">
        <v>710501</v>
      </c>
      <c r="H28">
        <v>502</v>
      </c>
      <c r="I28">
        <f t="shared" si="0"/>
        <v>900</v>
      </c>
      <c r="K28" t="s">
        <v>35</v>
      </c>
      <c r="R28" t="str">
        <f t="shared" si="1"/>
        <v>71050</v>
      </c>
      <c r="S28" t="str">
        <f t="shared" si="2"/>
        <v>DATA_AitiFactName710501</v>
      </c>
      <c r="T28" t="str">
        <f t="shared" si="3"/>
        <v>盲目卷轴</v>
      </c>
    </row>
    <row r="29" spans="1:20" x14ac:dyDescent="0.15">
      <c r="A29">
        <v>502</v>
      </c>
      <c r="B29" t="s">
        <v>67</v>
      </c>
      <c r="C29" t="s">
        <v>68</v>
      </c>
      <c r="D29" s="1">
        <v>3</v>
      </c>
      <c r="E29" s="3" t="s">
        <v>24</v>
      </c>
      <c r="F29" s="4" t="s">
        <v>26</v>
      </c>
      <c r="G29" s="6">
        <v>710502</v>
      </c>
      <c r="H29">
        <v>503</v>
      </c>
      <c r="I29">
        <f t="shared" si="0"/>
        <v>900</v>
      </c>
      <c r="K29" t="s">
        <v>35</v>
      </c>
      <c r="R29" t="str">
        <f t="shared" si="1"/>
        <v>71050</v>
      </c>
      <c r="S29" t="str">
        <f t="shared" si="2"/>
        <v>DATA_AitiFactName710501</v>
      </c>
      <c r="T29" t="str">
        <f t="shared" si="3"/>
        <v>盲目卷轴</v>
      </c>
    </row>
    <row r="30" spans="1:20" x14ac:dyDescent="0.15">
      <c r="A30">
        <v>503</v>
      </c>
      <c r="B30" t="s">
        <v>67</v>
      </c>
      <c r="C30" t="s">
        <v>68</v>
      </c>
      <c r="D30" s="1">
        <v>4</v>
      </c>
      <c r="E30" s="3" t="s">
        <v>24</v>
      </c>
      <c r="F30" s="4" t="s">
        <v>27</v>
      </c>
      <c r="G30" s="6">
        <v>710503</v>
      </c>
      <c r="H30">
        <v>504</v>
      </c>
      <c r="I30">
        <f t="shared" si="0"/>
        <v>900</v>
      </c>
      <c r="K30" t="s">
        <v>35</v>
      </c>
      <c r="R30" t="str">
        <f t="shared" si="1"/>
        <v>71050</v>
      </c>
      <c r="S30" t="str">
        <f t="shared" si="2"/>
        <v>DATA_AitiFactName710501</v>
      </c>
      <c r="T30" t="str">
        <f t="shared" si="3"/>
        <v>盲目卷轴</v>
      </c>
    </row>
    <row r="31" spans="1:20" x14ac:dyDescent="0.15">
      <c r="A31">
        <v>504</v>
      </c>
      <c r="B31" t="s">
        <v>67</v>
      </c>
      <c r="C31" t="s">
        <v>68</v>
      </c>
      <c r="D31" s="1">
        <v>5</v>
      </c>
      <c r="E31" s="3" t="s">
        <v>24</v>
      </c>
      <c r="F31" s="4" t="s">
        <v>28</v>
      </c>
      <c r="G31" s="6">
        <v>710504</v>
      </c>
      <c r="H31">
        <v>505</v>
      </c>
      <c r="I31">
        <f t="shared" si="0"/>
        <v>900</v>
      </c>
      <c r="K31" t="s">
        <v>35</v>
      </c>
      <c r="R31" t="str">
        <f t="shared" si="1"/>
        <v>71050</v>
      </c>
      <c r="S31" t="str">
        <f t="shared" si="2"/>
        <v>DATA_AitiFactName710501</v>
      </c>
      <c r="T31" t="str">
        <f t="shared" si="3"/>
        <v>盲目卷轴</v>
      </c>
    </row>
    <row r="32" spans="1:20" x14ac:dyDescent="0.15">
      <c r="A32">
        <v>505</v>
      </c>
      <c r="B32" t="s">
        <v>67</v>
      </c>
      <c r="C32" t="s">
        <v>68</v>
      </c>
      <c r="D32" s="1">
        <v>6</v>
      </c>
      <c r="E32" s="3" t="s">
        <v>24</v>
      </c>
      <c r="F32" s="4" t="s">
        <v>29</v>
      </c>
      <c r="G32" s="6">
        <v>710505</v>
      </c>
      <c r="H32">
        <v>506</v>
      </c>
      <c r="I32">
        <f t="shared" si="0"/>
        <v>900</v>
      </c>
      <c r="K32" t="s">
        <v>35</v>
      </c>
      <c r="R32" t="str">
        <f t="shared" si="1"/>
        <v>71050</v>
      </c>
      <c r="S32" t="str">
        <f t="shared" si="2"/>
        <v>DATA_AitiFactName710501</v>
      </c>
      <c r="T32" t="str">
        <f t="shared" si="3"/>
        <v>盲目卷轴</v>
      </c>
    </row>
    <row r="33" spans="1:20" x14ac:dyDescent="0.15">
      <c r="A33">
        <v>506</v>
      </c>
      <c r="B33" t="s">
        <v>67</v>
      </c>
      <c r="C33" t="s">
        <v>68</v>
      </c>
      <c r="D33" s="1">
        <v>7</v>
      </c>
      <c r="E33" s="3" t="s">
        <v>24</v>
      </c>
      <c r="F33" s="4" t="s">
        <v>30</v>
      </c>
      <c r="G33" s="6">
        <v>710506</v>
      </c>
      <c r="H33">
        <v>0</v>
      </c>
      <c r="I33">
        <f t="shared" si="0"/>
        <v>900</v>
      </c>
      <c r="K33" t="s">
        <v>35</v>
      </c>
      <c r="R33" t="str">
        <f t="shared" si="1"/>
        <v>71050</v>
      </c>
      <c r="S33" t="str">
        <f t="shared" si="2"/>
        <v>DATA_AitiFactName710501</v>
      </c>
      <c r="T33" t="str">
        <f t="shared" si="3"/>
        <v>盲目卷轴</v>
      </c>
    </row>
    <row r="34" spans="1:20" x14ac:dyDescent="0.15">
      <c r="A34">
        <v>601</v>
      </c>
      <c r="B34" t="s">
        <v>69</v>
      </c>
      <c r="C34" t="s">
        <v>70</v>
      </c>
      <c r="D34" s="1">
        <v>2</v>
      </c>
      <c r="E34" s="3" t="s">
        <v>24</v>
      </c>
      <c r="F34" s="4" t="s">
        <v>25</v>
      </c>
      <c r="G34" s="6">
        <v>710601</v>
      </c>
      <c r="H34">
        <v>602</v>
      </c>
      <c r="I34">
        <f t="shared" si="0"/>
        <v>900</v>
      </c>
      <c r="K34" t="s">
        <v>36</v>
      </c>
      <c r="R34" t="str">
        <f t="shared" si="1"/>
        <v>71060</v>
      </c>
      <c r="S34" t="str">
        <f t="shared" si="2"/>
        <v>DATA_AitiFactName710601</v>
      </c>
      <c r="T34" t="str">
        <f t="shared" si="3"/>
        <v>禁锢水晶</v>
      </c>
    </row>
    <row r="35" spans="1:20" x14ac:dyDescent="0.15">
      <c r="A35">
        <v>602</v>
      </c>
      <c r="B35" t="s">
        <v>69</v>
      </c>
      <c r="C35" t="s">
        <v>70</v>
      </c>
      <c r="D35" s="1">
        <v>3</v>
      </c>
      <c r="E35" s="3" t="s">
        <v>24</v>
      </c>
      <c r="F35" s="4" t="s">
        <v>26</v>
      </c>
      <c r="G35" s="6">
        <v>710602</v>
      </c>
      <c r="H35">
        <v>603</v>
      </c>
      <c r="I35">
        <f t="shared" si="0"/>
        <v>900</v>
      </c>
      <c r="K35" t="s">
        <v>36</v>
      </c>
      <c r="R35" t="str">
        <f t="shared" si="1"/>
        <v>71060</v>
      </c>
      <c r="S35" t="str">
        <f t="shared" si="2"/>
        <v>DATA_AitiFactName710601</v>
      </c>
      <c r="T35" t="str">
        <f t="shared" si="3"/>
        <v>禁锢水晶</v>
      </c>
    </row>
    <row r="36" spans="1:20" x14ac:dyDescent="0.15">
      <c r="A36">
        <v>603</v>
      </c>
      <c r="B36" t="s">
        <v>69</v>
      </c>
      <c r="C36" t="s">
        <v>70</v>
      </c>
      <c r="D36" s="1">
        <v>4</v>
      </c>
      <c r="E36" s="3" t="s">
        <v>24</v>
      </c>
      <c r="F36" s="4" t="s">
        <v>27</v>
      </c>
      <c r="G36" s="6">
        <v>710603</v>
      </c>
      <c r="H36">
        <v>604</v>
      </c>
      <c r="I36">
        <f t="shared" si="0"/>
        <v>900</v>
      </c>
      <c r="K36" t="s">
        <v>36</v>
      </c>
      <c r="R36" t="str">
        <f t="shared" si="1"/>
        <v>71060</v>
      </c>
      <c r="S36" t="str">
        <f t="shared" si="2"/>
        <v>DATA_AitiFactName710601</v>
      </c>
      <c r="T36" t="str">
        <f t="shared" si="3"/>
        <v>禁锢水晶</v>
      </c>
    </row>
    <row r="37" spans="1:20" x14ac:dyDescent="0.15">
      <c r="A37">
        <v>604</v>
      </c>
      <c r="B37" t="s">
        <v>69</v>
      </c>
      <c r="C37" t="s">
        <v>70</v>
      </c>
      <c r="D37" s="1">
        <v>5</v>
      </c>
      <c r="E37" s="3" t="s">
        <v>24</v>
      </c>
      <c r="F37" s="4" t="s">
        <v>28</v>
      </c>
      <c r="G37" s="6">
        <v>710604</v>
      </c>
      <c r="H37">
        <v>605</v>
      </c>
      <c r="I37">
        <f t="shared" si="0"/>
        <v>900</v>
      </c>
      <c r="K37" t="s">
        <v>36</v>
      </c>
      <c r="R37" t="str">
        <f t="shared" si="1"/>
        <v>71060</v>
      </c>
      <c r="S37" t="str">
        <f t="shared" si="2"/>
        <v>DATA_AitiFactName710601</v>
      </c>
      <c r="T37" t="str">
        <f t="shared" si="3"/>
        <v>禁锢水晶</v>
      </c>
    </row>
    <row r="38" spans="1:20" x14ac:dyDescent="0.15">
      <c r="A38">
        <v>605</v>
      </c>
      <c r="B38" t="s">
        <v>69</v>
      </c>
      <c r="C38" t="s">
        <v>70</v>
      </c>
      <c r="D38" s="1">
        <v>6</v>
      </c>
      <c r="E38" s="3" t="s">
        <v>24</v>
      </c>
      <c r="F38" s="4" t="s">
        <v>29</v>
      </c>
      <c r="G38" s="6">
        <v>710605</v>
      </c>
      <c r="H38">
        <v>606</v>
      </c>
      <c r="I38">
        <f t="shared" si="0"/>
        <v>900</v>
      </c>
      <c r="K38" t="s">
        <v>36</v>
      </c>
      <c r="R38" t="str">
        <f t="shared" si="1"/>
        <v>71060</v>
      </c>
      <c r="S38" t="str">
        <f t="shared" si="2"/>
        <v>DATA_AitiFactName710601</v>
      </c>
      <c r="T38" t="str">
        <f t="shared" si="3"/>
        <v>禁锢水晶</v>
      </c>
    </row>
    <row r="39" spans="1:20" x14ac:dyDescent="0.15">
      <c r="A39">
        <v>606</v>
      </c>
      <c r="B39" t="s">
        <v>69</v>
      </c>
      <c r="C39" t="s">
        <v>70</v>
      </c>
      <c r="D39" s="1">
        <v>7</v>
      </c>
      <c r="E39" s="3" t="s">
        <v>24</v>
      </c>
      <c r="F39" s="4" t="s">
        <v>30</v>
      </c>
      <c r="G39" s="6">
        <v>710606</v>
      </c>
      <c r="H39">
        <v>0</v>
      </c>
      <c r="I39">
        <f t="shared" si="0"/>
        <v>900</v>
      </c>
      <c r="K39" t="s">
        <v>36</v>
      </c>
      <c r="R39" t="str">
        <f t="shared" si="1"/>
        <v>71060</v>
      </c>
      <c r="S39" t="str">
        <f t="shared" si="2"/>
        <v>DATA_AitiFactName710601</v>
      </c>
      <c r="T39" t="str">
        <f t="shared" si="3"/>
        <v>禁锢水晶</v>
      </c>
    </row>
    <row r="40" spans="1:20" x14ac:dyDescent="0.15">
      <c r="A40">
        <v>701</v>
      </c>
      <c r="B40" t="s">
        <v>71</v>
      </c>
      <c r="C40" t="s">
        <v>72</v>
      </c>
      <c r="D40" s="1">
        <v>2</v>
      </c>
      <c r="E40" s="3" t="s">
        <v>24</v>
      </c>
      <c r="F40" s="4" t="s">
        <v>25</v>
      </c>
      <c r="G40" s="6">
        <v>710701</v>
      </c>
      <c r="H40">
        <v>702</v>
      </c>
      <c r="I40">
        <f t="shared" si="0"/>
        <v>900</v>
      </c>
      <c r="K40" t="s">
        <v>37</v>
      </c>
      <c r="R40" t="str">
        <f t="shared" si="1"/>
        <v>71070</v>
      </c>
      <c r="S40" t="str">
        <f t="shared" si="2"/>
        <v>DATA_AitiFactName710701</v>
      </c>
      <c r="T40" t="str">
        <f t="shared" si="3"/>
        <v>光明号角</v>
      </c>
    </row>
    <row r="41" spans="1:20" x14ac:dyDescent="0.15">
      <c r="A41">
        <v>702</v>
      </c>
      <c r="B41" t="s">
        <v>71</v>
      </c>
      <c r="C41" t="s">
        <v>72</v>
      </c>
      <c r="D41" s="1">
        <v>3</v>
      </c>
      <c r="E41" s="3" t="s">
        <v>24</v>
      </c>
      <c r="F41" s="4" t="s">
        <v>26</v>
      </c>
      <c r="G41" s="6">
        <v>710702</v>
      </c>
      <c r="H41">
        <v>703</v>
      </c>
      <c r="I41">
        <f t="shared" si="0"/>
        <v>900</v>
      </c>
      <c r="K41" t="s">
        <v>37</v>
      </c>
      <c r="R41" t="str">
        <f t="shared" si="1"/>
        <v>71070</v>
      </c>
      <c r="S41" t="str">
        <f t="shared" si="2"/>
        <v>DATA_AitiFactName710701</v>
      </c>
      <c r="T41" t="str">
        <f t="shared" si="3"/>
        <v>光明号角</v>
      </c>
    </row>
    <row r="42" spans="1:20" x14ac:dyDescent="0.15">
      <c r="A42">
        <v>703</v>
      </c>
      <c r="B42" t="s">
        <v>71</v>
      </c>
      <c r="C42" t="s">
        <v>72</v>
      </c>
      <c r="D42" s="1">
        <v>4</v>
      </c>
      <c r="E42" s="3" t="s">
        <v>24</v>
      </c>
      <c r="F42" s="4" t="s">
        <v>27</v>
      </c>
      <c r="G42" s="6">
        <v>710703</v>
      </c>
      <c r="H42">
        <v>704</v>
      </c>
      <c r="I42">
        <f t="shared" si="0"/>
        <v>900</v>
      </c>
      <c r="K42" t="s">
        <v>37</v>
      </c>
      <c r="R42" t="str">
        <f t="shared" si="1"/>
        <v>71070</v>
      </c>
      <c r="S42" t="str">
        <f t="shared" si="2"/>
        <v>DATA_AitiFactName710701</v>
      </c>
      <c r="T42" t="str">
        <f t="shared" si="3"/>
        <v>光明号角</v>
      </c>
    </row>
    <row r="43" spans="1:20" x14ac:dyDescent="0.15">
      <c r="A43">
        <v>704</v>
      </c>
      <c r="B43" t="s">
        <v>71</v>
      </c>
      <c r="C43" t="s">
        <v>72</v>
      </c>
      <c r="D43" s="1">
        <v>5</v>
      </c>
      <c r="E43" s="3" t="s">
        <v>24</v>
      </c>
      <c r="F43" s="4" t="s">
        <v>28</v>
      </c>
      <c r="G43" s="6">
        <v>710704</v>
      </c>
      <c r="H43">
        <v>705</v>
      </c>
      <c r="I43">
        <f t="shared" si="0"/>
        <v>900</v>
      </c>
      <c r="K43" t="s">
        <v>37</v>
      </c>
      <c r="R43" t="str">
        <f t="shared" si="1"/>
        <v>71070</v>
      </c>
      <c r="S43" t="str">
        <f t="shared" si="2"/>
        <v>DATA_AitiFactName710701</v>
      </c>
      <c r="T43" t="str">
        <f t="shared" si="3"/>
        <v>光明号角</v>
      </c>
    </row>
    <row r="44" spans="1:20" x14ac:dyDescent="0.15">
      <c r="A44">
        <v>705</v>
      </c>
      <c r="B44" t="s">
        <v>71</v>
      </c>
      <c r="C44" t="s">
        <v>72</v>
      </c>
      <c r="D44" s="1">
        <v>6</v>
      </c>
      <c r="E44" s="3" t="s">
        <v>24</v>
      </c>
      <c r="F44" s="4" t="s">
        <v>29</v>
      </c>
      <c r="G44" s="6">
        <v>710705</v>
      </c>
      <c r="H44">
        <v>706</v>
      </c>
      <c r="I44">
        <f t="shared" si="0"/>
        <v>900</v>
      </c>
      <c r="K44" t="s">
        <v>37</v>
      </c>
      <c r="R44" t="str">
        <f t="shared" si="1"/>
        <v>71070</v>
      </c>
      <c r="S44" t="str">
        <f t="shared" si="2"/>
        <v>DATA_AitiFactName710701</v>
      </c>
      <c r="T44" t="str">
        <f t="shared" si="3"/>
        <v>光明号角</v>
      </c>
    </row>
    <row r="45" spans="1:20" x14ac:dyDescent="0.15">
      <c r="A45">
        <v>706</v>
      </c>
      <c r="B45" t="s">
        <v>71</v>
      </c>
      <c r="C45" t="s">
        <v>72</v>
      </c>
      <c r="D45" s="1">
        <v>7</v>
      </c>
      <c r="E45" s="3" t="s">
        <v>24</v>
      </c>
      <c r="F45" s="4" t="s">
        <v>30</v>
      </c>
      <c r="G45" s="6">
        <v>710706</v>
      </c>
      <c r="H45">
        <v>0</v>
      </c>
      <c r="I45">
        <f t="shared" si="0"/>
        <v>900</v>
      </c>
      <c r="K45" t="s">
        <v>37</v>
      </c>
      <c r="R45" t="str">
        <f t="shared" si="1"/>
        <v>71070</v>
      </c>
      <c r="S45" t="str">
        <f t="shared" si="2"/>
        <v>DATA_AitiFactName710701</v>
      </c>
      <c r="T45" t="str">
        <f t="shared" si="3"/>
        <v>光明号角</v>
      </c>
    </row>
    <row r="46" spans="1:20" x14ac:dyDescent="0.15">
      <c r="A46">
        <v>801</v>
      </c>
      <c r="B46" t="s">
        <v>73</v>
      </c>
      <c r="C46" t="s">
        <v>74</v>
      </c>
      <c r="D46" s="1">
        <v>2</v>
      </c>
      <c r="E46" t="s">
        <v>39</v>
      </c>
      <c r="F46" s="4" t="s">
        <v>25</v>
      </c>
      <c r="G46" s="6">
        <v>710801</v>
      </c>
      <c r="H46">
        <v>802</v>
      </c>
      <c r="I46">
        <f t="shared" si="0"/>
        <v>600</v>
      </c>
      <c r="K46" t="s">
        <v>38</v>
      </c>
      <c r="R46" t="str">
        <f t="shared" si="1"/>
        <v>71080</v>
      </c>
      <c r="S46" t="str">
        <f t="shared" si="2"/>
        <v>DATA_AitiFactName710801</v>
      </c>
      <c r="T46" t="str">
        <f t="shared" si="3"/>
        <v>急速拳套</v>
      </c>
    </row>
    <row r="47" spans="1:20" x14ac:dyDescent="0.15">
      <c r="A47">
        <v>802</v>
      </c>
      <c r="B47" t="s">
        <v>73</v>
      </c>
      <c r="C47" t="s">
        <v>74</v>
      </c>
      <c r="D47" s="1">
        <v>3</v>
      </c>
      <c r="E47" t="s">
        <v>39</v>
      </c>
      <c r="F47" s="4" t="s">
        <v>26</v>
      </c>
      <c r="G47" s="6">
        <v>710802</v>
      </c>
      <c r="H47">
        <v>803</v>
      </c>
      <c r="I47">
        <f t="shared" si="0"/>
        <v>600</v>
      </c>
      <c r="K47" t="s">
        <v>38</v>
      </c>
      <c r="R47" t="str">
        <f t="shared" si="1"/>
        <v>71080</v>
      </c>
      <c r="S47" t="str">
        <f t="shared" si="2"/>
        <v>DATA_AitiFactName710801</v>
      </c>
      <c r="T47" t="str">
        <f t="shared" si="3"/>
        <v>急速拳套</v>
      </c>
    </row>
    <row r="48" spans="1:20" x14ac:dyDescent="0.15">
      <c r="A48">
        <v>803</v>
      </c>
      <c r="B48" t="s">
        <v>73</v>
      </c>
      <c r="C48" t="s">
        <v>74</v>
      </c>
      <c r="D48" s="1">
        <v>4</v>
      </c>
      <c r="E48" t="s">
        <v>39</v>
      </c>
      <c r="F48" s="4" t="s">
        <v>27</v>
      </c>
      <c r="G48" s="6">
        <v>710803</v>
      </c>
      <c r="H48">
        <v>804</v>
      </c>
      <c r="I48">
        <f t="shared" si="0"/>
        <v>600</v>
      </c>
      <c r="K48" t="s">
        <v>38</v>
      </c>
      <c r="R48" t="str">
        <f t="shared" si="1"/>
        <v>71080</v>
      </c>
      <c r="S48" t="str">
        <f t="shared" si="2"/>
        <v>DATA_AitiFactName710801</v>
      </c>
      <c r="T48" t="str">
        <f t="shared" si="3"/>
        <v>急速拳套</v>
      </c>
    </row>
    <row r="49" spans="1:20" x14ac:dyDescent="0.15">
      <c r="A49">
        <v>804</v>
      </c>
      <c r="B49" t="s">
        <v>73</v>
      </c>
      <c r="C49" t="s">
        <v>74</v>
      </c>
      <c r="D49" s="1">
        <v>5</v>
      </c>
      <c r="E49" t="s">
        <v>39</v>
      </c>
      <c r="F49" s="4" t="s">
        <v>28</v>
      </c>
      <c r="G49" s="6">
        <v>710804</v>
      </c>
      <c r="H49">
        <v>805</v>
      </c>
      <c r="I49">
        <f t="shared" si="0"/>
        <v>600</v>
      </c>
      <c r="K49" t="s">
        <v>38</v>
      </c>
      <c r="R49" t="str">
        <f t="shared" si="1"/>
        <v>71080</v>
      </c>
      <c r="S49" t="str">
        <f t="shared" si="2"/>
        <v>DATA_AitiFactName710801</v>
      </c>
      <c r="T49" t="str">
        <f t="shared" si="3"/>
        <v>急速拳套</v>
      </c>
    </row>
    <row r="50" spans="1:20" x14ac:dyDescent="0.15">
      <c r="A50">
        <v>805</v>
      </c>
      <c r="B50" t="s">
        <v>73</v>
      </c>
      <c r="C50" t="s">
        <v>74</v>
      </c>
      <c r="D50" s="1">
        <v>6</v>
      </c>
      <c r="E50" t="s">
        <v>39</v>
      </c>
      <c r="F50" s="4" t="s">
        <v>29</v>
      </c>
      <c r="G50" s="6">
        <v>710805</v>
      </c>
      <c r="H50">
        <v>806</v>
      </c>
      <c r="I50">
        <f t="shared" si="0"/>
        <v>600</v>
      </c>
      <c r="K50" t="s">
        <v>38</v>
      </c>
      <c r="R50" t="str">
        <f t="shared" si="1"/>
        <v>71080</v>
      </c>
      <c r="S50" t="str">
        <f t="shared" si="2"/>
        <v>DATA_AitiFactName710801</v>
      </c>
      <c r="T50" t="str">
        <f t="shared" si="3"/>
        <v>急速拳套</v>
      </c>
    </row>
    <row r="51" spans="1:20" x14ac:dyDescent="0.15">
      <c r="A51">
        <v>806</v>
      </c>
      <c r="B51" t="s">
        <v>73</v>
      </c>
      <c r="C51" t="s">
        <v>74</v>
      </c>
      <c r="D51" s="1">
        <v>7</v>
      </c>
      <c r="E51" t="s">
        <v>39</v>
      </c>
      <c r="F51" s="4" t="s">
        <v>30</v>
      </c>
      <c r="G51" s="6">
        <v>710806</v>
      </c>
      <c r="H51">
        <v>0</v>
      </c>
      <c r="I51">
        <f t="shared" si="0"/>
        <v>600</v>
      </c>
      <c r="K51" t="s">
        <v>38</v>
      </c>
      <c r="R51" t="str">
        <f t="shared" si="1"/>
        <v>71080</v>
      </c>
      <c r="S51" t="str">
        <f t="shared" si="2"/>
        <v>DATA_AitiFactName710801</v>
      </c>
      <c r="T51" t="str">
        <f t="shared" si="3"/>
        <v>急速拳套</v>
      </c>
    </row>
    <row r="52" spans="1:20" x14ac:dyDescent="0.15">
      <c r="A52">
        <v>901</v>
      </c>
      <c r="B52" t="s">
        <v>75</v>
      </c>
      <c r="C52" t="s">
        <v>76</v>
      </c>
      <c r="D52" s="1">
        <v>2</v>
      </c>
      <c r="E52" t="s">
        <v>24</v>
      </c>
      <c r="F52" s="4" t="s">
        <v>25</v>
      </c>
      <c r="G52" s="6">
        <v>710901</v>
      </c>
      <c r="H52">
        <v>902</v>
      </c>
      <c r="I52">
        <f t="shared" si="0"/>
        <v>600</v>
      </c>
      <c r="K52" t="s">
        <v>40</v>
      </c>
      <c r="R52" t="str">
        <f t="shared" si="1"/>
        <v>71090</v>
      </c>
      <c r="S52" t="str">
        <f t="shared" si="2"/>
        <v>DATA_AitiFactName710901</v>
      </c>
      <c r="T52" t="str">
        <f t="shared" si="3"/>
        <v>神圣之盾</v>
      </c>
    </row>
    <row r="53" spans="1:20" x14ac:dyDescent="0.15">
      <c r="A53">
        <v>902</v>
      </c>
      <c r="B53" t="s">
        <v>75</v>
      </c>
      <c r="C53" t="s">
        <v>76</v>
      </c>
      <c r="D53" s="1">
        <v>3</v>
      </c>
      <c r="E53" t="s">
        <v>24</v>
      </c>
      <c r="F53" s="4" t="s">
        <v>26</v>
      </c>
      <c r="G53" s="6">
        <v>710902</v>
      </c>
      <c r="H53">
        <v>903</v>
      </c>
      <c r="I53">
        <f t="shared" si="0"/>
        <v>600</v>
      </c>
      <c r="K53" t="s">
        <v>40</v>
      </c>
      <c r="R53" t="str">
        <f t="shared" si="1"/>
        <v>71090</v>
      </c>
      <c r="S53" t="str">
        <f t="shared" si="2"/>
        <v>DATA_AitiFactName710901</v>
      </c>
      <c r="T53" t="str">
        <f t="shared" si="3"/>
        <v>神圣之盾</v>
      </c>
    </row>
    <row r="54" spans="1:20" x14ac:dyDescent="0.15">
      <c r="A54">
        <v>903</v>
      </c>
      <c r="B54" t="s">
        <v>75</v>
      </c>
      <c r="C54" t="s">
        <v>76</v>
      </c>
      <c r="D54" s="1">
        <v>4</v>
      </c>
      <c r="E54" t="s">
        <v>24</v>
      </c>
      <c r="F54" s="4" t="s">
        <v>27</v>
      </c>
      <c r="G54" s="6">
        <v>710903</v>
      </c>
      <c r="H54">
        <v>904</v>
      </c>
      <c r="I54">
        <f t="shared" si="0"/>
        <v>600</v>
      </c>
      <c r="K54" t="s">
        <v>40</v>
      </c>
      <c r="R54" t="str">
        <f t="shared" si="1"/>
        <v>71090</v>
      </c>
      <c r="S54" t="str">
        <f t="shared" si="2"/>
        <v>DATA_AitiFactName710901</v>
      </c>
      <c r="T54" t="str">
        <f t="shared" si="3"/>
        <v>神圣之盾</v>
      </c>
    </row>
    <row r="55" spans="1:20" x14ac:dyDescent="0.15">
      <c r="A55">
        <v>904</v>
      </c>
      <c r="B55" t="s">
        <v>75</v>
      </c>
      <c r="C55" t="s">
        <v>76</v>
      </c>
      <c r="D55" s="1">
        <v>5</v>
      </c>
      <c r="E55" t="s">
        <v>24</v>
      </c>
      <c r="F55" s="4" t="s">
        <v>28</v>
      </c>
      <c r="G55" s="6">
        <v>710904</v>
      </c>
      <c r="H55">
        <v>905</v>
      </c>
      <c r="I55">
        <f t="shared" si="0"/>
        <v>600</v>
      </c>
      <c r="K55" t="s">
        <v>40</v>
      </c>
      <c r="R55" t="str">
        <f t="shared" si="1"/>
        <v>71090</v>
      </c>
      <c r="S55" t="str">
        <f t="shared" si="2"/>
        <v>DATA_AitiFactName710901</v>
      </c>
      <c r="T55" t="str">
        <f t="shared" si="3"/>
        <v>神圣之盾</v>
      </c>
    </row>
    <row r="56" spans="1:20" x14ac:dyDescent="0.15">
      <c r="A56">
        <v>905</v>
      </c>
      <c r="B56" t="s">
        <v>75</v>
      </c>
      <c r="C56" t="s">
        <v>76</v>
      </c>
      <c r="D56" s="1">
        <v>6</v>
      </c>
      <c r="E56" t="s">
        <v>24</v>
      </c>
      <c r="F56" s="4" t="s">
        <v>29</v>
      </c>
      <c r="G56" s="6">
        <v>710905</v>
      </c>
      <c r="H56">
        <v>906</v>
      </c>
      <c r="I56">
        <f t="shared" si="0"/>
        <v>600</v>
      </c>
      <c r="K56" t="s">
        <v>40</v>
      </c>
      <c r="R56" t="str">
        <f t="shared" si="1"/>
        <v>71090</v>
      </c>
      <c r="S56" t="str">
        <f t="shared" si="2"/>
        <v>DATA_AitiFactName710901</v>
      </c>
      <c r="T56" t="str">
        <f t="shared" si="3"/>
        <v>神圣之盾</v>
      </c>
    </row>
    <row r="57" spans="1:20" x14ac:dyDescent="0.15">
      <c r="A57">
        <v>906</v>
      </c>
      <c r="B57" t="s">
        <v>75</v>
      </c>
      <c r="C57" t="s">
        <v>76</v>
      </c>
      <c r="D57" s="1">
        <v>7</v>
      </c>
      <c r="E57" t="s">
        <v>24</v>
      </c>
      <c r="F57" s="4" t="s">
        <v>30</v>
      </c>
      <c r="G57" s="6">
        <v>710906</v>
      </c>
      <c r="H57">
        <v>0</v>
      </c>
      <c r="I57">
        <f t="shared" si="0"/>
        <v>600</v>
      </c>
      <c r="K57" t="s">
        <v>40</v>
      </c>
      <c r="R57" t="str">
        <f t="shared" si="1"/>
        <v>71090</v>
      </c>
      <c r="S57" t="str">
        <f t="shared" si="2"/>
        <v>DATA_AitiFactName710901</v>
      </c>
      <c r="T57" t="str">
        <f t="shared" si="3"/>
        <v>神圣之盾</v>
      </c>
    </row>
    <row r="58" spans="1:20" x14ac:dyDescent="0.15">
      <c r="A58">
        <v>1001</v>
      </c>
      <c r="B58" t="s">
        <v>77</v>
      </c>
      <c r="C58" t="s">
        <v>78</v>
      </c>
      <c r="D58" s="1">
        <v>2</v>
      </c>
      <c r="E58" t="s">
        <v>24</v>
      </c>
      <c r="F58" s="4" t="s">
        <v>25</v>
      </c>
      <c r="G58" s="6">
        <v>711001</v>
      </c>
      <c r="H58">
        <v>1002</v>
      </c>
      <c r="I58">
        <f t="shared" si="0"/>
        <v>600</v>
      </c>
      <c r="K58" t="s">
        <v>41</v>
      </c>
      <c r="R58" t="str">
        <f t="shared" si="1"/>
        <v>71100</v>
      </c>
      <c r="S58" t="str">
        <f t="shared" si="2"/>
        <v>DATA_AitiFactName711001</v>
      </c>
      <c r="T58" t="str">
        <f t="shared" si="3"/>
        <v>灵巧徽章</v>
      </c>
    </row>
    <row r="59" spans="1:20" x14ac:dyDescent="0.15">
      <c r="A59">
        <v>1002</v>
      </c>
      <c r="B59" t="s">
        <v>77</v>
      </c>
      <c r="C59" t="s">
        <v>78</v>
      </c>
      <c r="D59" s="1">
        <v>3</v>
      </c>
      <c r="E59" t="s">
        <v>24</v>
      </c>
      <c r="F59" s="4" t="s">
        <v>26</v>
      </c>
      <c r="G59" s="6">
        <v>711002</v>
      </c>
      <c r="H59">
        <v>1003</v>
      </c>
      <c r="I59">
        <f t="shared" si="0"/>
        <v>600</v>
      </c>
      <c r="K59" t="s">
        <v>41</v>
      </c>
      <c r="R59" t="str">
        <f t="shared" si="1"/>
        <v>71100</v>
      </c>
      <c r="S59" t="str">
        <f t="shared" si="2"/>
        <v>DATA_AitiFactName711001</v>
      </c>
      <c r="T59" t="str">
        <f t="shared" si="3"/>
        <v>灵巧徽章</v>
      </c>
    </row>
    <row r="60" spans="1:20" x14ac:dyDescent="0.15">
      <c r="A60">
        <v>1003</v>
      </c>
      <c r="B60" t="s">
        <v>77</v>
      </c>
      <c r="C60" t="s">
        <v>78</v>
      </c>
      <c r="D60" s="1">
        <v>4</v>
      </c>
      <c r="E60" t="s">
        <v>24</v>
      </c>
      <c r="F60" s="4" t="s">
        <v>27</v>
      </c>
      <c r="G60" s="6">
        <v>711003</v>
      </c>
      <c r="H60">
        <v>1004</v>
      </c>
      <c r="I60">
        <f t="shared" si="0"/>
        <v>600</v>
      </c>
      <c r="K60" t="s">
        <v>41</v>
      </c>
      <c r="R60" t="str">
        <f t="shared" si="1"/>
        <v>71100</v>
      </c>
      <c r="S60" t="str">
        <f t="shared" si="2"/>
        <v>DATA_AitiFactName711001</v>
      </c>
      <c r="T60" t="str">
        <f t="shared" si="3"/>
        <v>灵巧徽章</v>
      </c>
    </row>
    <row r="61" spans="1:20" x14ac:dyDescent="0.15">
      <c r="A61">
        <v>1004</v>
      </c>
      <c r="B61" t="s">
        <v>77</v>
      </c>
      <c r="C61" t="s">
        <v>78</v>
      </c>
      <c r="D61" s="1">
        <v>5</v>
      </c>
      <c r="E61" t="s">
        <v>24</v>
      </c>
      <c r="F61" s="4" t="s">
        <v>28</v>
      </c>
      <c r="G61" s="6">
        <v>711004</v>
      </c>
      <c r="H61">
        <v>1005</v>
      </c>
      <c r="I61">
        <f t="shared" si="0"/>
        <v>600</v>
      </c>
      <c r="K61" t="s">
        <v>41</v>
      </c>
      <c r="R61" t="str">
        <f t="shared" si="1"/>
        <v>71100</v>
      </c>
      <c r="S61" t="str">
        <f t="shared" si="2"/>
        <v>DATA_AitiFactName711001</v>
      </c>
      <c r="T61" t="str">
        <f t="shared" si="3"/>
        <v>灵巧徽章</v>
      </c>
    </row>
    <row r="62" spans="1:20" x14ac:dyDescent="0.15">
      <c r="A62">
        <v>1005</v>
      </c>
      <c r="B62" t="s">
        <v>77</v>
      </c>
      <c r="C62" t="s">
        <v>78</v>
      </c>
      <c r="D62" s="1">
        <v>6</v>
      </c>
      <c r="E62" t="s">
        <v>24</v>
      </c>
      <c r="F62" s="4" t="s">
        <v>29</v>
      </c>
      <c r="G62" s="6">
        <v>711005</v>
      </c>
      <c r="H62">
        <v>1006</v>
      </c>
      <c r="I62">
        <f t="shared" si="0"/>
        <v>600</v>
      </c>
      <c r="K62" t="s">
        <v>41</v>
      </c>
      <c r="R62" t="str">
        <f t="shared" si="1"/>
        <v>71100</v>
      </c>
      <c r="S62" t="str">
        <f t="shared" si="2"/>
        <v>DATA_AitiFactName711001</v>
      </c>
      <c r="T62" t="str">
        <f t="shared" si="3"/>
        <v>灵巧徽章</v>
      </c>
    </row>
    <row r="63" spans="1:20" x14ac:dyDescent="0.15">
      <c r="A63">
        <v>1006</v>
      </c>
      <c r="B63" t="s">
        <v>77</v>
      </c>
      <c r="C63" t="s">
        <v>78</v>
      </c>
      <c r="D63" s="1">
        <v>7</v>
      </c>
      <c r="E63" t="s">
        <v>24</v>
      </c>
      <c r="F63" s="4" t="s">
        <v>30</v>
      </c>
      <c r="G63" s="6">
        <v>711006</v>
      </c>
      <c r="H63">
        <v>0</v>
      </c>
      <c r="I63">
        <f t="shared" si="0"/>
        <v>600</v>
      </c>
      <c r="K63" t="s">
        <v>41</v>
      </c>
      <c r="R63" t="str">
        <f t="shared" si="1"/>
        <v>71100</v>
      </c>
      <c r="S63" t="str">
        <f t="shared" si="2"/>
        <v>DATA_AitiFactName711001</v>
      </c>
      <c r="T63" t="str">
        <f t="shared" si="3"/>
        <v>灵巧徽章</v>
      </c>
    </row>
    <row r="64" spans="1:20" x14ac:dyDescent="0.15">
      <c r="A64">
        <v>1101</v>
      </c>
      <c r="B64" t="s">
        <v>79</v>
      </c>
      <c r="C64" t="s">
        <v>80</v>
      </c>
      <c r="D64" s="1">
        <v>2</v>
      </c>
      <c r="E64" t="s">
        <v>24</v>
      </c>
      <c r="F64" s="4" t="s">
        <v>25</v>
      </c>
      <c r="G64" s="6">
        <v>711101</v>
      </c>
      <c r="H64">
        <v>1102</v>
      </c>
      <c r="I64">
        <f t="shared" si="0"/>
        <v>600</v>
      </c>
      <c r="K64" t="s">
        <v>42</v>
      </c>
      <c r="R64" t="str">
        <f t="shared" si="1"/>
        <v>71110</v>
      </c>
      <c r="S64" t="str">
        <f t="shared" si="2"/>
        <v>DATA_AitiFactName711101</v>
      </c>
      <c r="T64" t="str">
        <f t="shared" si="3"/>
        <v>毁灭王冠</v>
      </c>
    </row>
    <row r="65" spans="1:20" x14ac:dyDescent="0.15">
      <c r="A65">
        <v>1102</v>
      </c>
      <c r="B65" t="s">
        <v>79</v>
      </c>
      <c r="C65" t="s">
        <v>80</v>
      </c>
      <c r="D65" s="1">
        <v>3</v>
      </c>
      <c r="E65" t="s">
        <v>24</v>
      </c>
      <c r="F65" s="4" t="s">
        <v>26</v>
      </c>
      <c r="G65" s="6">
        <v>711102</v>
      </c>
      <c r="H65">
        <v>1103</v>
      </c>
      <c r="I65">
        <f t="shared" si="0"/>
        <v>600</v>
      </c>
      <c r="K65" t="s">
        <v>42</v>
      </c>
      <c r="R65" t="str">
        <f t="shared" si="1"/>
        <v>71110</v>
      </c>
      <c r="S65" t="str">
        <f t="shared" si="2"/>
        <v>DATA_AitiFactName711101</v>
      </c>
      <c r="T65" t="str">
        <f t="shared" si="3"/>
        <v>毁灭王冠</v>
      </c>
    </row>
    <row r="66" spans="1:20" x14ac:dyDescent="0.15">
      <c r="A66">
        <v>1103</v>
      </c>
      <c r="B66" t="s">
        <v>79</v>
      </c>
      <c r="C66" t="s">
        <v>80</v>
      </c>
      <c r="D66" s="1">
        <v>4</v>
      </c>
      <c r="E66" t="s">
        <v>24</v>
      </c>
      <c r="F66" s="4" t="s">
        <v>27</v>
      </c>
      <c r="G66" s="6">
        <v>711103</v>
      </c>
      <c r="H66">
        <v>1104</v>
      </c>
      <c r="I66">
        <f t="shared" si="0"/>
        <v>600</v>
      </c>
      <c r="K66" t="s">
        <v>42</v>
      </c>
      <c r="R66" t="str">
        <f t="shared" si="1"/>
        <v>71110</v>
      </c>
      <c r="S66" t="str">
        <f t="shared" si="2"/>
        <v>DATA_AitiFactName711101</v>
      </c>
      <c r="T66" t="str">
        <f t="shared" si="3"/>
        <v>毁灭王冠</v>
      </c>
    </row>
    <row r="67" spans="1:20" x14ac:dyDescent="0.15">
      <c r="A67">
        <v>1104</v>
      </c>
      <c r="B67" t="s">
        <v>79</v>
      </c>
      <c r="C67" t="s">
        <v>80</v>
      </c>
      <c r="D67" s="1">
        <v>5</v>
      </c>
      <c r="E67" t="s">
        <v>24</v>
      </c>
      <c r="F67" s="4" t="s">
        <v>28</v>
      </c>
      <c r="G67" s="6">
        <v>711104</v>
      </c>
      <c r="H67">
        <v>1105</v>
      </c>
      <c r="I67">
        <f t="shared" si="0"/>
        <v>600</v>
      </c>
      <c r="K67" t="s">
        <v>42</v>
      </c>
      <c r="R67" t="str">
        <f t="shared" si="1"/>
        <v>71110</v>
      </c>
      <c r="S67" t="str">
        <f t="shared" si="2"/>
        <v>DATA_AitiFactName711101</v>
      </c>
      <c r="T67" t="str">
        <f t="shared" si="3"/>
        <v>毁灭王冠</v>
      </c>
    </row>
    <row r="68" spans="1:20" x14ac:dyDescent="0.15">
      <c r="A68">
        <v>1105</v>
      </c>
      <c r="B68" t="s">
        <v>79</v>
      </c>
      <c r="C68" t="s">
        <v>80</v>
      </c>
      <c r="D68" s="1">
        <v>6</v>
      </c>
      <c r="E68" t="s">
        <v>24</v>
      </c>
      <c r="F68" s="4" t="s">
        <v>29</v>
      </c>
      <c r="G68" s="6">
        <v>711105</v>
      </c>
      <c r="H68">
        <v>1106</v>
      </c>
      <c r="I68">
        <f t="shared" si="0"/>
        <v>600</v>
      </c>
      <c r="K68" t="s">
        <v>42</v>
      </c>
      <c r="R68" t="str">
        <f t="shared" si="1"/>
        <v>71110</v>
      </c>
      <c r="S68" t="str">
        <f t="shared" si="2"/>
        <v>DATA_AitiFactName711101</v>
      </c>
      <c r="T68" t="str">
        <f t="shared" si="3"/>
        <v>毁灭王冠</v>
      </c>
    </row>
    <row r="69" spans="1:20" x14ac:dyDescent="0.15">
      <c r="A69">
        <v>1106</v>
      </c>
      <c r="B69" t="s">
        <v>79</v>
      </c>
      <c r="C69" t="s">
        <v>80</v>
      </c>
      <c r="D69" s="1">
        <v>7</v>
      </c>
      <c r="E69" t="s">
        <v>24</v>
      </c>
      <c r="F69" s="4" t="s">
        <v>30</v>
      </c>
      <c r="G69" s="6">
        <v>711106</v>
      </c>
      <c r="H69">
        <v>0</v>
      </c>
      <c r="I69">
        <f t="shared" ref="I69:I123" si="4">$M$1*INDEX($M$4:$M$104,MATCH(INT(R69),$N$4:$N$104,0))</f>
        <v>600</v>
      </c>
      <c r="K69" t="s">
        <v>42</v>
      </c>
      <c r="R69" t="str">
        <f t="shared" ref="R69:R123" si="5">LEFT(G69,5)</f>
        <v>71110</v>
      </c>
      <c r="S69" t="str">
        <f t="shared" ref="S69:S123" si="6">INDEX($O$4:$O$104,MATCH(INT(R69),$N$4:$N$104,0))</f>
        <v>DATA_AitiFactName711101</v>
      </c>
      <c r="T69" t="str">
        <f t="shared" ref="T69:T122" si="7">INDEX($P$4:$P$104,MATCH(INT(R69),$N$4:$N$104,0))</f>
        <v>毁灭王冠</v>
      </c>
    </row>
    <row r="70" spans="1:20" x14ac:dyDescent="0.15">
      <c r="A70">
        <v>1201</v>
      </c>
      <c r="B70" t="s">
        <v>81</v>
      </c>
      <c r="C70" t="s">
        <v>82</v>
      </c>
      <c r="D70" s="1">
        <v>2</v>
      </c>
      <c r="E70" t="s">
        <v>24</v>
      </c>
      <c r="F70" s="4" t="s">
        <v>25</v>
      </c>
      <c r="G70" s="6">
        <v>711201</v>
      </c>
      <c r="H70">
        <v>1202</v>
      </c>
      <c r="I70">
        <f t="shared" si="4"/>
        <v>100</v>
      </c>
      <c r="K70" t="s">
        <v>43</v>
      </c>
      <c r="R70" t="str">
        <f t="shared" si="5"/>
        <v>71120</v>
      </c>
      <c r="S70" t="str">
        <f t="shared" si="6"/>
        <v>DATA_AitiFactName711201</v>
      </c>
      <c r="T70" t="str">
        <f t="shared" si="7"/>
        <v>十字勋章</v>
      </c>
    </row>
    <row r="71" spans="1:20" x14ac:dyDescent="0.15">
      <c r="A71">
        <v>1202</v>
      </c>
      <c r="B71" t="s">
        <v>81</v>
      </c>
      <c r="C71" t="s">
        <v>82</v>
      </c>
      <c r="D71" s="1">
        <v>3</v>
      </c>
      <c r="E71" t="s">
        <v>24</v>
      </c>
      <c r="F71" s="4" t="s">
        <v>26</v>
      </c>
      <c r="G71" s="6">
        <v>711202</v>
      </c>
      <c r="H71">
        <v>1203</v>
      </c>
      <c r="I71">
        <f t="shared" si="4"/>
        <v>100</v>
      </c>
      <c r="K71" t="s">
        <v>43</v>
      </c>
      <c r="R71" t="str">
        <f t="shared" si="5"/>
        <v>71120</v>
      </c>
      <c r="S71" t="str">
        <f t="shared" si="6"/>
        <v>DATA_AitiFactName711201</v>
      </c>
      <c r="T71" t="str">
        <f t="shared" si="7"/>
        <v>十字勋章</v>
      </c>
    </row>
    <row r="72" spans="1:20" x14ac:dyDescent="0.15">
      <c r="A72">
        <v>1203</v>
      </c>
      <c r="B72" t="s">
        <v>81</v>
      </c>
      <c r="C72" t="s">
        <v>82</v>
      </c>
      <c r="D72" s="1">
        <v>4</v>
      </c>
      <c r="E72" t="s">
        <v>24</v>
      </c>
      <c r="F72" s="4" t="s">
        <v>27</v>
      </c>
      <c r="G72" s="6">
        <v>711203</v>
      </c>
      <c r="H72">
        <v>1204</v>
      </c>
      <c r="I72">
        <f t="shared" si="4"/>
        <v>100</v>
      </c>
      <c r="K72" t="s">
        <v>43</v>
      </c>
      <c r="R72" t="str">
        <f t="shared" si="5"/>
        <v>71120</v>
      </c>
      <c r="S72" t="str">
        <f t="shared" si="6"/>
        <v>DATA_AitiFactName711201</v>
      </c>
      <c r="T72" t="str">
        <f t="shared" si="7"/>
        <v>十字勋章</v>
      </c>
    </row>
    <row r="73" spans="1:20" x14ac:dyDescent="0.15">
      <c r="A73">
        <v>1204</v>
      </c>
      <c r="B73" t="s">
        <v>81</v>
      </c>
      <c r="C73" t="s">
        <v>82</v>
      </c>
      <c r="D73" s="1">
        <v>5</v>
      </c>
      <c r="E73" t="s">
        <v>24</v>
      </c>
      <c r="F73" s="4" t="s">
        <v>28</v>
      </c>
      <c r="G73" s="6">
        <v>711204</v>
      </c>
      <c r="H73">
        <v>1205</v>
      </c>
      <c r="I73">
        <f t="shared" si="4"/>
        <v>100</v>
      </c>
      <c r="K73" t="s">
        <v>43</v>
      </c>
      <c r="R73" t="str">
        <f t="shared" si="5"/>
        <v>71120</v>
      </c>
      <c r="S73" t="str">
        <f t="shared" si="6"/>
        <v>DATA_AitiFactName711201</v>
      </c>
      <c r="T73" t="str">
        <f t="shared" si="7"/>
        <v>十字勋章</v>
      </c>
    </row>
    <row r="74" spans="1:20" x14ac:dyDescent="0.15">
      <c r="A74">
        <v>1205</v>
      </c>
      <c r="B74" t="s">
        <v>81</v>
      </c>
      <c r="C74" t="s">
        <v>82</v>
      </c>
      <c r="D74" s="1">
        <v>6</v>
      </c>
      <c r="E74" t="s">
        <v>24</v>
      </c>
      <c r="F74" s="4" t="s">
        <v>29</v>
      </c>
      <c r="G74" s="6">
        <v>711205</v>
      </c>
      <c r="H74">
        <v>1206</v>
      </c>
      <c r="I74">
        <f t="shared" si="4"/>
        <v>100</v>
      </c>
      <c r="K74" t="s">
        <v>43</v>
      </c>
      <c r="R74" t="str">
        <f t="shared" si="5"/>
        <v>71120</v>
      </c>
      <c r="S74" t="str">
        <f t="shared" si="6"/>
        <v>DATA_AitiFactName711201</v>
      </c>
      <c r="T74" t="str">
        <f t="shared" si="7"/>
        <v>十字勋章</v>
      </c>
    </row>
    <row r="75" spans="1:20" x14ac:dyDescent="0.15">
      <c r="A75">
        <v>1206</v>
      </c>
      <c r="B75" t="s">
        <v>81</v>
      </c>
      <c r="C75" t="s">
        <v>82</v>
      </c>
      <c r="D75" s="1">
        <v>7</v>
      </c>
      <c r="E75" t="s">
        <v>24</v>
      </c>
      <c r="F75" s="4" t="s">
        <v>30</v>
      </c>
      <c r="G75" s="6">
        <v>711206</v>
      </c>
      <c r="H75">
        <v>0</v>
      </c>
      <c r="I75">
        <f t="shared" si="4"/>
        <v>100</v>
      </c>
      <c r="K75" t="s">
        <v>43</v>
      </c>
      <c r="R75" t="str">
        <f t="shared" si="5"/>
        <v>71120</v>
      </c>
      <c r="S75" t="str">
        <f t="shared" si="6"/>
        <v>DATA_AitiFactName711201</v>
      </c>
      <c r="T75" t="str">
        <f t="shared" si="7"/>
        <v>十字勋章</v>
      </c>
    </row>
    <row r="76" spans="1:20" x14ac:dyDescent="0.15">
      <c r="A76">
        <v>1301</v>
      </c>
      <c r="B76" t="s">
        <v>83</v>
      </c>
      <c r="C76" t="s">
        <v>84</v>
      </c>
      <c r="D76" s="1">
        <v>2</v>
      </c>
      <c r="E76" t="s">
        <v>24</v>
      </c>
      <c r="F76" s="4" t="s">
        <v>25</v>
      </c>
      <c r="G76" s="6">
        <v>711301</v>
      </c>
      <c r="H76">
        <v>1302</v>
      </c>
      <c r="I76">
        <f t="shared" si="4"/>
        <v>200</v>
      </c>
      <c r="K76" t="s">
        <v>44</v>
      </c>
      <c r="R76" t="str">
        <f t="shared" si="5"/>
        <v>71130</v>
      </c>
      <c r="S76" t="str">
        <f t="shared" si="6"/>
        <v>DATA_AitiFactName711301</v>
      </c>
      <c r="T76" t="str">
        <f t="shared" si="7"/>
        <v>制裁之锤</v>
      </c>
    </row>
    <row r="77" spans="1:20" x14ac:dyDescent="0.15">
      <c r="A77">
        <v>1302</v>
      </c>
      <c r="B77" t="s">
        <v>83</v>
      </c>
      <c r="C77" t="s">
        <v>84</v>
      </c>
      <c r="D77" s="1">
        <v>3</v>
      </c>
      <c r="E77" t="s">
        <v>24</v>
      </c>
      <c r="F77" s="4" t="s">
        <v>26</v>
      </c>
      <c r="G77" s="6">
        <v>711302</v>
      </c>
      <c r="H77">
        <v>1303</v>
      </c>
      <c r="I77">
        <f t="shared" si="4"/>
        <v>200</v>
      </c>
      <c r="K77" t="s">
        <v>44</v>
      </c>
      <c r="R77" t="str">
        <f t="shared" si="5"/>
        <v>71130</v>
      </c>
      <c r="S77" t="str">
        <f t="shared" si="6"/>
        <v>DATA_AitiFactName711301</v>
      </c>
      <c r="T77" t="str">
        <f t="shared" si="7"/>
        <v>制裁之锤</v>
      </c>
    </row>
    <row r="78" spans="1:20" x14ac:dyDescent="0.15">
      <c r="A78">
        <v>1303</v>
      </c>
      <c r="B78" t="s">
        <v>83</v>
      </c>
      <c r="C78" t="s">
        <v>84</v>
      </c>
      <c r="D78" s="1">
        <v>4</v>
      </c>
      <c r="E78" t="s">
        <v>24</v>
      </c>
      <c r="F78" s="4" t="s">
        <v>27</v>
      </c>
      <c r="G78" s="6">
        <v>711303</v>
      </c>
      <c r="H78">
        <v>1304</v>
      </c>
      <c r="I78">
        <f t="shared" si="4"/>
        <v>200</v>
      </c>
      <c r="K78" t="s">
        <v>44</v>
      </c>
      <c r="R78" t="str">
        <f t="shared" si="5"/>
        <v>71130</v>
      </c>
      <c r="S78" t="str">
        <f t="shared" si="6"/>
        <v>DATA_AitiFactName711301</v>
      </c>
      <c r="T78" t="str">
        <f t="shared" si="7"/>
        <v>制裁之锤</v>
      </c>
    </row>
    <row r="79" spans="1:20" x14ac:dyDescent="0.15">
      <c r="A79">
        <v>1304</v>
      </c>
      <c r="B79" t="s">
        <v>83</v>
      </c>
      <c r="C79" t="s">
        <v>84</v>
      </c>
      <c r="D79" s="1">
        <v>5</v>
      </c>
      <c r="E79" t="s">
        <v>24</v>
      </c>
      <c r="F79" s="4" t="s">
        <v>28</v>
      </c>
      <c r="G79" s="6">
        <v>711304</v>
      </c>
      <c r="H79">
        <v>1305</v>
      </c>
      <c r="I79">
        <f t="shared" si="4"/>
        <v>200</v>
      </c>
      <c r="K79" t="s">
        <v>44</v>
      </c>
      <c r="R79" t="str">
        <f t="shared" si="5"/>
        <v>71130</v>
      </c>
      <c r="S79" t="str">
        <f t="shared" si="6"/>
        <v>DATA_AitiFactName711301</v>
      </c>
      <c r="T79" t="str">
        <f t="shared" si="7"/>
        <v>制裁之锤</v>
      </c>
    </row>
    <row r="80" spans="1:20" x14ac:dyDescent="0.15">
      <c r="A80">
        <v>1305</v>
      </c>
      <c r="B80" t="s">
        <v>83</v>
      </c>
      <c r="C80" t="s">
        <v>84</v>
      </c>
      <c r="D80" s="1">
        <v>6</v>
      </c>
      <c r="E80" t="s">
        <v>24</v>
      </c>
      <c r="F80" s="4" t="s">
        <v>29</v>
      </c>
      <c r="G80" s="6">
        <v>711305</v>
      </c>
      <c r="H80">
        <v>1306</v>
      </c>
      <c r="I80">
        <f t="shared" si="4"/>
        <v>200</v>
      </c>
      <c r="K80" t="s">
        <v>44</v>
      </c>
      <c r="R80" t="str">
        <f t="shared" si="5"/>
        <v>71130</v>
      </c>
      <c r="S80" t="str">
        <f t="shared" si="6"/>
        <v>DATA_AitiFactName711301</v>
      </c>
      <c r="T80" t="str">
        <f t="shared" si="7"/>
        <v>制裁之锤</v>
      </c>
    </row>
    <row r="81" spans="1:20" x14ac:dyDescent="0.15">
      <c r="A81">
        <v>1306</v>
      </c>
      <c r="B81" t="s">
        <v>83</v>
      </c>
      <c r="C81" t="s">
        <v>84</v>
      </c>
      <c r="D81" s="1">
        <v>7</v>
      </c>
      <c r="E81" t="s">
        <v>24</v>
      </c>
      <c r="F81" s="4" t="s">
        <v>30</v>
      </c>
      <c r="G81" s="6">
        <v>711306</v>
      </c>
      <c r="H81">
        <v>0</v>
      </c>
      <c r="I81">
        <f t="shared" si="4"/>
        <v>200</v>
      </c>
      <c r="K81" t="s">
        <v>44</v>
      </c>
      <c r="R81" t="str">
        <f t="shared" si="5"/>
        <v>71130</v>
      </c>
      <c r="S81" t="str">
        <f t="shared" si="6"/>
        <v>DATA_AitiFactName711301</v>
      </c>
      <c r="T81" t="str">
        <f t="shared" si="7"/>
        <v>制裁之锤</v>
      </c>
    </row>
    <row r="82" spans="1:20" x14ac:dyDescent="0.15">
      <c r="A82">
        <v>1401</v>
      </c>
      <c r="B82" t="s">
        <v>85</v>
      </c>
      <c r="C82" t="s">
        <v>86</v>
      </c>
      <c r="D82" s="1">
        <v>2</v>
      </c>
      <c r="E82" t="s">
        <v>24</v>
      </c>
      <c r="F82" s="4" t="s">
        <v>25</v>
      </c>
      <c r="G82" s="6">
        <v>711401</v>
      </c>
      <c r="H82">
        <v>1402</v>
      </c>
      <c r="I82">
        <f t="shared" si="4"/>
        <v>200</v>
      </c>
      <c r="K82" t="s">
        <v>45</v>
      </c>
      <c r="R82" t="str">
        <f t="shared" si="5"/>
        <v>71140</v>
      </c>
      <c r="S82" t="str">
        <f t="shared" si="6"/>
        <v>DATA_AitiFactName711401</v>
      </c>
      <c r="T82" t="str">
        <f t="shared" si="7"/>
        <v>冰霜指环</v>
      </c>
    </row>
    <row r="83" spans="1:20" x14ac:dyDescent="0.15">
      <c r="A83">
        <v>1402</v>
      </c>
      <c r="B83" t="s">
        <v>85</v>
      </c>
      <c r="C83" t="s">
        <v>86</v>
      </c>
      <c r="D83" s="1">
        <v>3</v>
      </c>
      <c r="E83" t="s">
        <v>24</v>
      </c>
      <c r="F83" s="4" t="s">
        <v>26</v>
      </c>
      <c r="G83" s="6">
        <v>711402</v>
      </c>
      <c r="H83">
        <v>1403</v>
      </c>
      <c r="I83">
        <f t="shared" si="4"/>
        <v>200</v>
      </c>
      <c r="K83" t="s">
        <v>45</v>
      </c>
      <c r="R83" t="str">
        <f t="shared" si="5"/>
        <v>71140</v>
      </c>
      <c r="S83" t="str">
        <f t="shared" si="6"/>
        <v>DATA_AitiFactName711401</v>
      </c>
      <c r="T83" t="str">
        <f t="shared" si="7"/>
        <v>冰霜指环</v>
      </c>
    </row>
    <row r="84" spans="1:20" x14ac:dyDescent="0.15">
      <c r="A84">
        <v>1403</v>
      </c>
      <c r="B84" t="s">
        <v>85</v>
      </c>
      <c r="C84" t="s">
        <v>86</v>
      </c>
      <c r="D84" s="1">
        <v>4</v>
      </c>
      <c r="E84" t="s">
        <v>24</v>
      </c>
      <c r="F84" s="4" t="s">
        <v>27</v>
      </c>
      <c r="G84" s="6">
        <v>711403</v>
      </c>
      <c r="H84">
        <v>1404</v>
      </c>
      <c r="I84">
        <f t="shared" si="4"/>
        <v>200</v>
      </c>
      <c r="K84" t="s">
        <v>45</v>
      </c>
      <c r="R84" t="str">
        <f t="shared" si="5"/>
        <v>71140</v>
      </c>
      <c r="S84" t="str">
        <f t="shared" si="6"/>
        <v>DATA_AitiFactName711401</v>
      </c>
      <c r="T84" t="str">
        <f t="shared" si="7"/>
        <v>冰霜指环</v>
      </c>
    </row>
    <row r="85" spans="1:20" x14ac:dyDescent="0.15">
      <c r="A85">
        <v>1404</v>
      </c>
      <c r="B85" t="s">
        <v>85</v>
      </c>
      <c r="C85" t="s">
        <v>86</v>
      </c>
      <c r="D85" s="1">
        <v>5</v>
      </c>
      <c r="E85" t="s">
        <v>24</v>
      </c>
      <c r="F85" s="4" t="s">
        <v>28</v>
      </c>
      <c r="G85" s="6">
        <v>711404</v>
      </c>
      <c r="H85">
        <v>1405</v>
      </c>
      <c r="I85">
        <f t="shared" si="4"/>
        <v>200</v>
      </c>
      <c r="K85" t="s">
        <v>45</v>
      </c>
      <c r="R85" t="str">
        <f t="shared" si="5"/>
        <v>71140</v>
      </c>
      <c r="S85" t="str">
        <f t="shared" si="6"/>
        <v>DATA_AitiFactName711401</v>
      </c>
      <c r="T85" t="str">
        <f t="shared" si="7"/>
        <v>冰霜指环</v>
      </c>
    </row>
    <row r="86" spans="1:20" x14ac:dyDescent="0.15">
      <c r="A86">
        <v>1405</v>
      </c>
      <c r="B86" t="s">
        <v>85</v>
      </c>
      <c r="C86" t="s">
        <v>86</v>
      </c>
      <c r="D86" s="1">
        <v>6</v>
      </c>
      <c r="E86" t="s">
        <v>24</v>
      </c>
      <c r="F86" s="4" t="s">
        <v>29</v>
      </c>
      <c r="G86" s="6">
        <v>711405</v>
      </c>
      <c r="H86">
        <v>1406</v>
      </c>
      <c r="I86">
        <f t="shared" si="4"/>
        <v>200</v>
      </c>
      <c r="K86" t="s">
        <v>45</v>
      </c>
      <c r="R86" t="str">
        <f t="shared" si="5"/>
        <v>71140</v>
      </c>
      <c r="S86" t="str">
        <f t="shared" si="6"/>
        <v>DATA_AitiFactName711401</v>
      </c>
      <c r="T86" t="str">
        <f t="shared" si="7"/>
        <v>冰霜指环</v>
      </c>
    </row>
    <row r="87" spans="1:20" x14ac:dyDescent="0.15">
      <c r="A87">
        <v>1406</v>
      </c>
      <c r="B87" t="s">
        <v>85</v>
      </c>
      <c r="C87" t="s">
        <v>86</v>
      </c>
      <c r="D87" s="1">
        <v>7</v>
      </c>
      <c r="E87" t="s">
        <v>24</v>
      </c>
      <c r="F87" s="4" t="s">
        <v>30</v>
      </c>
      <c r="G87" s="6">
        <v>711406</v>
      </c>
      <c r="H87">
        <v>0</v>
      </c>
      <c r="I87">
        <f t="shared" si="4"/>
        <v>200</v>
      </c>
      <c r="K87" t="s">
        <v>45</v>
      </c>
      <c r="R87" t="str">
        <f t="shared" si="5"/>
        <v>71140</v>
      </c>
      <c r="S87" t="str">
        <f t="shared" si="6"/>
        <v>DATA_AitiFactName711401</v>
      </c>
      <c r="T87" t="str">
        <f t="shared" si="7"/>
        <v>冰霜指环</v>
      </c>
    </row>
    <row r="88" spans="1:20" x14ac:dyDescent="0.15">
      <c r="A88">
        <v>1501</v>
      </c>
      <c r="B88" t="s">
        <v>87</v>
      </c>
      <c r="C88" t="s">
        <v>88</v>
      </c>
      <c r="D88" s="1">
        <v>2</v>
      </c>
      <c r="E88" t="s">
        <v>24</v>
      </c>
      <c r="F88" s="4" t="s">
        <v>25</v>
      </c>
      <c r="G88" s="6">
        <v>711501</v>
      </c>
      <c r="H88">
        <v>1502</v>
      </c>
      <c r="I88">
        <f t="shared" si="4"/>
        <v>200</v>
      </c>
      <c r="K88" t="s">
        <v>46</v>
      </c>
      <c r="R88" t="str">
        <f t="shared" si="5"/>
        <v>71150</v>
      </c>
      <c r="S88" t="str">
        <f t="shared" si="6"/>
        <v>DATA_AitiFactName711501</v>
      </c>
      <c r="T88" t="str">
        <f t="shared" si="7"/>
        <v>恶魔之眼</v>
      </c>
    </row>
    <row r="89" spans="1:20" x14ac:dyDescent="0.15">
      <c r="A89">
        <v>1502</v>
      </c>
      <c r="B89" t="s">
        <v>87</v>
      </c>
      <c r="C89" t="s">
        <v>88</v>
      </c>
      <c r="D89" s="1">
        <v>3</v>
      </c>
      <c r="E89" t="s">
        <v>24</v>
      </c>
      <c r="F89" s="4" t="s">
        <v>26</v>
      </c>
      <c r="G89" s="6">
        <v>711502</v>
      </c>
      <c r="H89">
        <v>1503</v>
      </c>
      <c r="I89">
        <f t="shared" si="4"/>
        <v>200</v>
      </c>
      <c r="K89" t="s">
        <v>46</v>
      </c>
      <c r="R89" t="str">
        <f t="shared" si="5"/>
        <v>71150</v>
      </c>
      <c r="S89" t="str">
        <f t="shared" si="6"/>
        <v>DATA_AitiFactName711501</v>
      </c>
      <c r="T89" t="str">
        <f t="shared" si="7"/>
        <v>恶魔之眼</v>
      </c>
    </row>
    <row r="90" spans="1:20" x14ac:dyDescent="0.15">
      <c r="A90">
        <v>1503</v>
      </c>
      <c r="B90" t="s">
        <v>87</v>
      </c>
      <c r="C90" t="s">
        <v>88</v>
      </c>
      <c r="D90" s="1">
        <v>4</v>
      </c>
      <c r="E90" t="s">
        <v>24</v>
      </c>
      <c r="F90" s="4" t="s">
        <v>27</v>
      </c>
      <c r="G90" s="6">
        <v>711503</v>
      </c>
      <c r="H90">
        <v>1504</v>
      </c>
      <c r="I90">
        <f t="shared" si="4"/>
        <v>200</v>
      </c>
      <c r="K90" t="s">
        <v>46</v>
      </c>
      <c r="R90" t="str">
        <f t="shared" si="5"/>
        <v>71150</v>
      </c>
      <c r="S90" t="str">
        <f t="shared" si="6"/>
        <v>DATA_AitiFactName711501</v>
      </c>
      <c r="T90" t="str">
        <f t="shared" si="7"/>
        <v>恶魔之眼</v>
      </c>
    </row>
    <row r="91" spans="1:20" x14ac:dyDescent="0.15">
      <c r="A91">
        <v>1504</v>
      </c>
      <c r="B91" t="s">
        <v>87</v>
      </c>
      <c r="C91" t="s">
        <v>88</v>
      </c>
      <c r="D91" s="1">
        <v>5</v>
      </c>
      <c r="E91" t="s">
        <v>24</v>
      </c>
      <c r="F91" s="4" t="s">
        <v>28</v>
      </c>
      <c r="G91" s="6">
        <v>711504</v>
      </c>
      <c r="H91">
        <v>1505</v>
      </c>
      <c r="I91">
        <f t="shared" si="4"/>
        <v>200</v>
      </c>
      <c r="K91" t="s">
        <v>46</v>
      </c>
      <c r="R91" t="str">
        <f t="shared" si="5"/>
        <v>71150</v>
      </c>
      <c r="S91" t="str">
        <f t="shared" si="6"/>
        <v>DATA_AitiFactName711501</v>
      </c>
      <c r="T91" t="str">
        <f t="shared" si="7"/>
        <v>恶魔之眼</v>
      </c>
    </row>
    <row r="92" spans="1:20" x14ac:dyDescent="0.15">
      <c r="A92">
        <v>1505</v>
      </c>
      <c r="B92" t="s">
        <v>87</v>
      </c>
      <c r="C92" t="s">
        <v>88</v>
      </c>
      <c r="D92" s="1">
        <v>6</v>
      </c>
      <c r="E92" t="s">
        <v>24</v>
      </c>
      <c r="F92" s="4" t="s">
        <v>29</v>
      </c>
      <c r="G92" s="6">
        <v>711505</v>
      </c>
      <c r="H92">
        <v>1506</v>
      </c>
      <c r="I92">
        <f t="shared" si="4"/>
        <v>200</v>
      </c>
      <c r="K92" t="s">
        <v>46</v>
      </c>
      <c r="R92" t="str">
        <f t="shared" si="5"/>
        <v>71150</v>
      </c>
      <c r="S92" t="str">
        <f t="shared" si="6"/>
        <v>DATA_AitiFactName711501</v>
      </c>
      <c r="T92" t="str">
        <f t="shared" si="7"/>
        <v>恶魔之眼</v>
      </c>
    </row>
    <row r="93" spans="1:20" x14ac:dyDescent="0.15">
      <c r="A93">
        <v>1506</v>
      </c>
      <c r="B93" t="s">
        <v>87</v>
      </c>
      <c r="C93" t="s">
        <v>88</v>
      </c>
      <c r="D93" s="1">
        <v>7</v>
      </c>
      <c r="E93" t="s">
        <v>24</v>
      </c>
      <c r="F93" s="4" t="s">
        <v>30</v>
      </c>
      <c r="G93" s="6">
        <v>711506</v>
      </c>
      <c r="H93">
        <v>0</v>
      </c>
      <c r="I93">
        <f t="shared" si="4"/>
        <v>200</v>
      </c>
      <c r="K93" t="s">
        <v>46</v>
      </c>
      <c r="R93" t="str">
        <f t="shared" si="5"/>
        <v>71150</v>
      </c>
      <c r="S93" t="str">
        <f t="shared" si="6"/>
        <v>DATA_AitiFactName711501</v>
      </c>
      <c r="T93" t="str">
        <f t="shared" si="7"/>
        <v>恶魔之眼</v>
      </c>
    </row>
    <row r="94" spans="1:20" x14ac:dyDescent="0.15">
      <c r="A94">
        <v>1601</v>
      </c>
      <c r="B94" t="s">
        <v>89</v>
      </c>
      <c r="C94" t="s">
        <v>90</v>
      </c>
      <c r="D94" s="1">
        <v>2</v>
      </c>
      <c r="E94" t="s">
        <v>24</v>
      </c>
      <c r="F94" s="4" t="s">
        <v>25</v>
      </c>
      <c r="G94" s="6">
        <v>711601</v>
      </c>
      <c r="H94">
        <v>1602</v>
      </c>
      <c r="I94">
        <f t="shared" si="4"/>
        <v>200</v>
      </c>
      <c r="K94" t="s">
        <v>47</v>
      </c>
      <c r="R94" t="str">
        <f t="shared" si="5"/>
        <v>71160</v>
      </c>
      <c r="S94" t="str">
        <f t="shared" si="6"/>
        <v>DATA_AitiFactName711601</v>
      </c>
      <c r="T94" t="str">
        <f t="shared" si="7"/>
        <v>正义之手</v>
      </c>
    </row>
    <row r="95" spans="1:20" x14ac:dyDescent="0.15">
      <c r="A95">
        <v>1602</v>
      </c>
      <c r="B95" t="s">
        <v>89</v>
      </c>
      <c r="C95" t="s">
        <v>90</v>
      </c>
      <c r="D95" s="1">
        <v>3</v>
      </c>
      <c r="E95" t="s">
        <v>24</v>
      </c>
      <c r="F95" s="4" t="s">
        <v>26</v>
      </c>
      <c r="G95" s="6">
        <v>711602</v>
      </c>
      <c r="H95">
        <v>1603</v>
      </c>
      <c r="I95">
        <f t="shared" si="4"/>
        <v>200</v>
      </c>
      <c r="K95" t="s">
        <v>47</v>
      </c>
      <c r="R95" t="str">
        <f t="shared" si="5"/>
        <v>71160</v>
      </c>
      <c r="S95" t="str">
        <f t="shared" si="6"/>
        <v>DATA_AitiFactName711601</v>
      </c>
      <c r="T95" t="str">
        <f t="shared" si="7"/>
        <v>正义之手</v>
      </c>
    </row>
    <row r="96" spans="1:20" x14ac:dyDescent="0.15">
      <c r="A96">
        <v>1603</v>
      </c>
      <c r="B96" t="s">
        <v>89</v>
      </c>
      <c r="C96" t="s">
        <v>90</v>
      </c>
      <c r="D96" s="1">
        <v>4</v>
      </c>
      <c r="E96" t="s">
        <v>24</v>
      </c>
      <c r="F96" s="4" t="s">
        <v>27</v>
      </c>
      <c r="G96" s="6">
        <v>711603</v>
      </c>
      <c r="H96">
        <v>1604</v>
      </c>
      <c r="I96">
        <f t="shared" si="4"/>
        <v>200</v>
      </c>
      <c r="K96" t="s">
        <v>47</v>
      </c>
      <c r="R96" t="str">
        <f t="shared" si="5"/>
        <v>71160</v>
      </c>
      <c r="S96" t="str">
        <f t="shared" si="6"/>
        <v>DATA_AitiFactName711601</v>
      </c>
      <c r="T96" t="str">
        <f t="shared" si="7"/>
        <v>正义之手</v>
      </c>
    </row>
    <row r="97" spans="1:20" x14ac:dyDescent="0.15">
      <c r="A97">
        <v>1604</v>
      </c>
      <c r="B97" t="s">
        <v>89</v>
      </c>
      <c r="C97" t="s">
        <v>90</v>
      </c>
      <c r="D97" s="1">
        <v>5</v>
      </c>
      <c r="E97" t="s">
        <v>24</v>
      </c>
      <c r="F97" s="4" t="s">
        <v>28</v>
      </c>
      <c r="G97" s="6">
        <v>711604</v>
      </c>
      <c r="H97">
        <v>1605</v>
      </c>
      <c r="I97">
        <f t="shared" si="4"/>
        <v>200</v>
      </c>
      <c r="K97" t="s">
        <v>47</v>
      </c>
      <c r="R97" t="str">
        <f t="shared" si="5"/>
        <v>71160</v>
      </c>
      <c r="S97" t="str">
        <f t="shared" si="6"/>
        <v>DATA_AitiFactName711601</v>
      </c>
      <c r="T97" t="str">
        <f t="shared" si="7"/>
        <v>正义之手</v>
      </c>
    </row>
    <row r="98" spans="1:20" x14ac:dyDescent="0.15">
      <c r="A98">
        <v>1605</v>
      </c>
      <c r="B98" t="s">
        <v>89</v>
      </c>
      <c r="C98" t="s">
        <v>90</v>
      </c>
      <c r="D98" s="1">
        <v>6</v>
      </c>
      <c r="E98" t="s">
        <v>24</v>
      </c>
      <c r="F98" s="4" t="s">
        <v>29</v>
      </c>
      <c r="G98" s="6">
        <v>711605</v>
      </c>
      <c r="H98">
        <v>1606</v>
      </c>
      <c r="I98">
        <f t="shared" si="4"/>
        <v>200</v>
      </c>
      <c r="K98" t="s">
        <v>47</v>
      </c>
      <c r="R98" t="str">
        <f t="shared" si="5"/>
        <v>71160</v>
      </c>
      <c r="S98" t="str">
        <f t="shared" si="6"/>
        <v>DATA_AitiFactName711601</v>
      </c>
      <c r="T98" t="str">
        <f t="shared" si="7"/>
        <v>正义之手</v>
      </c>
    </row>
    <row r="99" spans="1:20" x14ac:dyDescent="0.15">
      <c r="A99">
        <v>1606</v>
      </c>
      <c r="B99" t="s">
        <v>89</v>
      </c>
      <c r="C99" t="s">
        <v>90</v>
      </c>
      <c r="D99" s="1">
        <v>7</v>
      </c>
      <c r="E99" t="s">
        <v>24</v>
      </c>
      <c r="F99" s="4" t="s">
        <v>30</v>
      </c>
      <c r="G99" s="6">
        <v>711606</v>
      </c>
      <c r="H99">
        <v>0</v>
      </c>
      <c r="I99">
        <f t="shared" si="4"/>
        <v>200</v>
      </c>
      <c r="K99" t="s">
        <v>47</v>
      </c>
      <c r="R99" t="str">
        <f t="shared" si="5"/>
        <v>71160</v>
      </c>
      <c r="S99" t="str">
        <f t="shared" si="6"/>
        <v>DATA_AitiFactName711601</v>
      </c>
      <c r="T99" t="str">
        <f t="shared" si="7"/>
        <v>正义之手</v>
      </c>
    </row>
    <row r="100" spans="1:20" x14ac:dyDescent="0.15">
      <c r="A100">
        <v>1701</v>
      </c>
      <c r="B100" t="s">
        <v>91</v>
      </c>
      <c r="C100" t="s">
        <v>92</v>
      </c>
      <c r="D100" s="1">
        <v>2</v>
      </c>
      <c r="E100" t="s">
        <v>24</v>
      </c>
      <c r="F100" s="4" t="s">
        <v>25</v>
      </c>
      <c r="G100" s="6">
        <v>711701</v>
      </c>
      <c r="H100">
        <v>1702</v>
      </c>
      <c r="I100">
        <f t="shared" si="4"/>
        <v>600</v>
      </c>
      <c r="K100" t="s">
        <v>48</v>
      </c>
      <c r="R100" t="str">
        <f t="shared" si="5"/>
        <v>71170</v>
      </c>
      <c r="S100" t="str">
        <f t="shared" si="6"/>
        <v>DATA_AitiFactName711701</v>
      </c>
      <c r="T100" t="str">
        <f t="shared" si="7"/>
        <v>潮汐护符</v>
      </c>
    </row>
    <row r="101" spans="1:20" x14ac:dyDescent="0.15">
      <c r="A101">
        <v>1702</v>
      </c>
      <c r="B101" t="s">
        <v>91</v>
      </c>
      <c r="C101" t="s">
        <v>92</v>
      </c>
      <c r="D101" s="1">
        <v>3</v>
      </c>
      <c r="E101" t="s">
        <v>24</v>
      </c>
      <c r="F101" s="4" t="s">
        <v>26</v>
      </c>
      <c r="G101" s="6">
        <v>711702</v>
      </c>
      <c r="H101">
        <v>1703</v>
      </c>
      <c r="I101">
        <f t="shared" si="4"/>
        <v>600</v>
      </c>
      <c r="K101" t="s">
        <v>48</v>
      </c>
      <c r="R101" t="str">
        <f t="shared" si="5"/>
        <v>71170</v>
      </c>
      <c r="S101" t="str">
        <f t="shared" si="6"/>
        <v>DATA_AitiFactName711701</v>
      </c>
      <c r="T101" t="str">
        <f t="shared" si="7"/>
        <v>潮汐护符</v>
      </c>
    </row>
    <row r="102" spans="1:20" x14ac:dyDescent="0.15">
      <c r="A102">
        <v>1703</v>
      </c>
      <c r="B102" t="s">
        <v>91</v>
      </c>
      <c r="C102" t="s">
        <v>92</v>
      </c>
      <c r="D102" s="1">
        <v>4</v>
      </c>
      <c r="E102" t="s">
        <v>24</v>
      </c>
      <c r="F102" s="4" t="s">
        <v>27</v>
      </c>
      <c r="G102" s="6">
        <v>711703</v>
      </c>
      <c r="H102">
        <v>1704</v>
      </c>
      <c r="I102">
        <f t="shared" si="4"/>
        <v>600</v>
      </c>
      <c r="K102" t="s">
        <v>48</v>
      </c>
      <c r="R102" t="str">
        <f t="shared" si="5"/>
        <v>71170</v>
      </c>
      <c r="S102" t="str">
        <f t="shared" si="6"/>
        <v>DATA_AitiFactName711701</v>
      </c>
      <c r="T102" t="str">
        <f t="shared" si="7"/>
        <v>潮汐护符</v>
      </c>
    </row>
    <row r="103" spans="1:20" x14ac:dyDescent="0.15">
      <c r="A103">
        <v>1704</v>
      </c>
      <c r="B103" t="s">
        <v>91</v>
      </c>
      <c r="C103" t="s">
        <v>92</v>
      </c>
      <c r="D103" s="1">
        <v>5</v>
      </c>
      <c r="E103" t="s">
        <v>24</v>
      </c>
      <c r="F103" s="4" t="s">
        <v>28</v>
      </c>
      <c r="G103" s="6">
        <v>711704</v>
      </c>
      <c r="H103">
        <v>1705</v>
      </c>
      <c r="I103">
        <f t="shared" si="4"/>
        <v>600</v>
      </c>
      <c r="K103" t="s">
        <v>48</v>
      </c>
      <c r="R103" t="str">
        <f t="shared" si="5"/>
        <v>71170</v>
      </c>
      <c r="S103" t="str">
        <f t="shared" si="6"/>
        <v>DATA_AitiFactName711701</v>
      </c>
      <c r="T103" t="str">
        <f t="shared" si="7"/>
        <v>潮汐护符</v>
      </c>
    </row>
    <row r="104" spans="1:20" x14ac:dyDescent="0.15">
      <c r="A104">
        <v>1705</v>
      </c>
      <c r="B104" t="s">
        <v>91</v>
      </c>
      <c r="C104" t="s">
        <v>92</v>
      </c>
      <c r="D104" s="1">
        <v>6</v>
      </c>
      <c r="E104" t="s">
        <v>24</v>
      </c>
      <c r="F104" s="4" t="s">
        <v>29</v>
      </c>
      <c r="G104" s="6">
        <v>711705</v>
      </c>
      <c r="H104">
        <v>1706</v>
      </c>
      <c r="I104">
        <f t="shared" si="4"/>
        <v>600</v>
      </c>
      <c r="K104" t="s">
        <v>48</v>
      </c>
      <c r="R104" t="str">
        <f t="shared" si="5"/>
        <v>71170</v>
      </c>
      <c r="S104" t="str">
        <f t="shared" si="6"/>
        <v>DATA_AitiFactName711701</v>
      </c>
      <c r="T104" t="str">
        <f t="shared" si="7"/>
        <v>潮汐护符</v>
      </c>
    </row>
    <row r="105" spans="1:20" x14ac:dyDescent="0.15">
      <c r="A105">
        <v>1706</v>
      </c>
      <c r="B105" t="s">
        <v>91</v>
      </c>
      <c r="C105" t="s">
        <v>92</v>
      </c>
      <c r="D105" s="1">
        <v>7</v>
      </c>
      <c r="E105" t="s">
        <v>24</v>
      </c>
      <c r="F105" s="4" t="s">
        <v>30</v>
      </c>
      <c r="G105" s="6">
        <v>711706</v>
      </c>
      <c r="H105">
        <v>0</v>
      </c>
      <c r="I105">
        <f t="shared" si="4"/>
        <v>600</v>
      </c>
      <c r="K105" t="s">
        <v>48</v>
      </c>
      <c r="R105" t="str">
        <f t="shared" si="5"/>
        <v>71170</v>
      </c>
      <c r="S105" t="str">
        <f t="shared" si="6"/>
        <v>DATA_AitiFactName711701</v>
      </c>
      <c r="T105" t="str">
        <f t="shared" si="7"/>
        <v>潮汐护符</v>
      </c>
    </row>
    <row r="106" spans="1:20" x14ac:dyDescent="0.15">
      <c r="A106">
        <v>1801</v>
      </c>
      <c r="B106" t="s">
        <v>93</v>
      </c>
      <c r="C106" t="s">
        <v>94</v>
      </c>
      <c r="D106" s="1">
        <v>2</v>
      </c>
      <c r="E106" t="s">
        <v>24</v>
      </c>
      <c r="F106" s="4" t="s">
        <v>25</v>
      </c>
      <c r="G106" s="6">
        <v>711801</v>
      </c>
      <c r="H106">
        <v>1802</v>
      </c>
      <c r="I106">
        <f t="shared" si="4"/>
        <v>300</v>
      </c>
      <c r="K106" t="s">
        <v>49</v>
      </c>
      <c r="R106" t="str">
        <f t="shared" si="5"/>
        <v>71180</v>
      </c>
      <c r="S106" t="str">
        <f t="shared" si="6"/>
        <v>DATA_AitiFactName711801</v>
      </c>
      <c r="T106" t="str">
        <f t="shared" si="7"/>
        <v>痛苦指环</v>
      </c>
    </row>
    <row r="107" spans="1:20" x14ac:dyDescent="0.15">
      <c r="A107">
        <v>1802</v>
      </c>
      <c r="B107" t="s">
        <v>93</v>
      </c>
      <c r="C107" t="s">
        <v>94</v>
      </c>
      <c r="D107" s="1">
        <v>3</v>
      </c>
      <c r="E107" t="s">
        <v>24</v>
      </c>
      <c r="F107" s="4" t="s">
        <v>26</v>
      </c>
      <c r="G107" s="6">
        <v>711802</v>
      </c>
      <c r="H107">
        <v>1803</v>
      </c>
      <c r="I107">
        <f t="shared" si="4"/>
        <v>300</v>
      </c>
      <c r="K107" t="s">
        <v>49</v>
      </c>
      <c r="R107" t="str">
        <f t="shared" si="5"/>
        <v>71180</v>
      </c>
      <c r="S107" t="str">
        <f t="shared" si="6"/>
        <v>DATA_AitiFactName711801</v>
      </c>
      <c r="T107" t="str">
        <f t="shared" si="7"/>
        <v>痛苦指环</v>
      </c>
    </row>
    <row r="108" spans="1:20" x14ac:dyDescent="0.15">
      <c r="A108">
        <v>1803</v>
      </c>
      <c r="B108" t="s">
        <v>93</v>
      </c>
      <c r="C108" t="s">
        <v>94</v>
      </c>
      <c r="D108" s="1">
        <v>4</v>
      </c>
      <c r="E108" t="s">
        <v>24</v>
      </c>
      <c r="F108" s="4" t="s">
        <v>27</v>
      </c>
      <c r="G108" s="6">
        <v>711803</v>
      </c>
      <c r="H108">
        <v>1804</v>
      </c>
      <c r="I108">
        <f t="shared" si="4"/>
        <v>300</v>
      </c>
      <c r="K108" t="s">
        <v>49</v>
      </c>
      <c r="R108" t="str">
        <f t="shared" si="5"/>
        <v>71180</v>
      </c>
      <c r="S108" t="str">
        <f t="shared" si="6"/>
        <v>DATA_AitiFactName711801</v>
      </c>
      <c r="T108" t="str">
        <f t="shared" si="7"/>
        <v>痛苦指环</v>
      </c>
    </row>
    <row r="109" spans="1:20" x14ac:dyDescent="0.15">
      <c r="A109">
        <v>1804</v>
      </c>
      <c r="B109" t="s">
        <v>93</v>
      </c>
      <c r="C109" t="s">
        <v>94</v>
      </c>
      <c r="D109" s="1">
        <v>5</v>
      </c>
      <c r="E109" t="s">
        <v>24</v>
      </c>
      <c r="F109" s="4" t="s">
        <v>28</v>
      </c>
      <c r="G109" s="6">
        <v>711804</v>
      </c>
      <c r="H109">
        <v>1805</v>
      </c>
      <c r="I109">
        <f t="shared" si="4"/>
        <v>300</v>
      </c>
      <c r="K109" t="s">
        <v>49</v>
      </c>
      <c r="R109" t="str">
        <f t="shared" si="5"/>
        <v>71180</v>
      </c>
      <c r="S109" t="str">
        <f t="shared" si="6"/>
        <v>DATA_AitiFactName711801</v>
      </c>
      <c r="T109" t="str">
        <f t="shared" si="7"/>
        <v>痛苦指环</v>
      </c>
    </row>
    <row r="110" spans="1:20" x14ac:dyDescent="0.15">
      <c r="A110">
        <v>1805</v>
      </c>
      <c r="B110" t="s">
        <v>93</v>
      </c>
      <c r="C110" t="s">
        <v>94</v>
      </c>
      <c r="D110" s="1">
        <v>6</v>
      </c>
      <c r="E110" t="s">
        <v>24</v>
      </c>
      <c r="F110" s="4" t="s">
        <v>29</v>
      </c>
      <c r="G110" s="6">
        <v>711805</v>
      </c>
      <c r="H110">
        <v>1806</v>
      </c>
      <c r="I110">
        <f t="shared" si="4"/>
        <v>300</v>
      </c>
      <c r="K110" t="s">
        <v>49</v>
      </c>
      <c r="R110" t="str">
        <f t="shared" si="5"/>
        <v>71180</v>
      </c>
      <c r="S110" t="str">
        <f t="shared" si="6"/>
        <v>DATA_AitiFactName711801</v>
      </c>
      <c r="T110" t="str">
        <f t="shared" si="7"/>
        <v>痛苦指环</v>
      </c>
    </row>
    <row r="111" spans="1:20" x14ac:dyDescent="0.15">
      <c r="A111">
        <v>1806</v>
      </c>
      <c r="B111" t="s">
        <v>93</v>
      </c>
      <c r="C111" t="s">
        <v>94</v>
      </c>
      <c r="D111" s="1">
        <v>7</v>
      </c>
      <c r="E111" t="s">
        <v>24</v>
      </c>
      <c r="F111" s="4" t="s">
        <v>30</v>
      </c>
      <c r="G111" s="6">
        <v>711806</v>
      </c>
      <c r="H111">
        <v>0</v>
      </c>
      <c r="I111">
        <f t="shared" si="4"/>
        <v>300</v>
      </c>
      <c r="K111" t="s">
        <v>49</v>
      </c>
      <c r="R111" t="str">
        <f t="shared" si="5"/>
        <v>71180</v>
      </c>
      <c r="S111" t="str">
        <f t="shared" si="6"/>
        <v>DATA_AitiFactName711801</v>
      </c>
      <c r="T111" t="str">
        <f t="shared" si="7"/>
        <v>痛苦指环</v>
      </c>
    </row>
    <row r="112" spans="1:20" x14ac:dyDescent="0.15">
      <c r="A112">
        <v>1901</v>
      </c>
      <c r="B112" t="s">
        <v>95</v>
      </c>
      <c r="C112" t="s">
        <v>96</v>
      </c>
      <c r="D112" s="1">
        <v>2</v>
      </c>
      <c r="E112" t="s">
        <v>51</v>
      </c>
      <c r="F112" s="4" t="s">
        <v>25</v>
      </c>
      <c r="G112" s="6">
        <v>711901</v>
      </c>
      <c r="H112">
        <v>1902</v>
      </c>
      <c r="I112">
        <f t="shared" si="4"/>
        <v>400</v>
      </c>
      <c r="K112" t="s">
        <v>50</v>
      </c>
      <c r="R112" t="str">
        <f t="shared" si="5"/>
        <v>71190</v>
      </c>
      <c r="S112" t="str">
        <f t="shared" si="6"/>
        <v>DATA_AitiFactName711901</v>
      </c>
      <c r="T112" t="str">
        <f t="shared" si="7"/>
        <v>恶魔镰刀</v>
      </c>
    </row>
    <row r="113" spans="1:20" x14ac:dyDescent="0.15">
      <c r="A113">
        <v>1902</v>
      </c>
      <c r="B113" t="s">
        <v>95</v>
      </c>
      <c r="C113" t="s">
        <v>96</v>
      </c>
      <c r="D113" s="1">
        <v>3</v>
      </c>
      <c r="E113" t="s">
        <v>51</v>
      </c>
      <c r="F113" s="4" t="s">
        <v>26</v>
      </c>
      <c r="G113" s="6">
        <v>711902</v>
      </c>
      <c r="H113">
        <v>1903</v>
      </c>
      <c r="I113">
        <f t="shared" si="4"/>
        <v>400</v>
      </c>
      <c r="K113" t="s">
        <v>50</v>
      </c>
      <c r="R113" t="str">
        <f t="shared" si="5"/>
        <v>71190</v>
      </c>
      <c r="S113" t="str">
        <f t="shared" si="6"/>
        <v>DATA_AitiFactName711901</v>
      </c>
      <c r="T113" t="str">
        <f t="shared" si="7"/>
        <v>恶魔镰刀</v>
      </c>
    </row>
    <row r="114" spans="1:20" x14ac:dyDescent="0.15">
      <c r="A114">
        <v>1903</v>
      </c>
      <c r="B114" t="s">
        <v>95</v>
      </c>
      <c r="C114" t="s">
        <v>96</v>
      </c>
      <c r="D114" s="1">
        <v>4</v>
      </c>
      <c r="E114" t="s">
        <v>51</v>
      </c>
      <c r="F114" s="4" t="s">
        <v>27</v>
      </c>
      <c r="G114" s="6">
        <v>711903</v>
      </c>
      <c r="H114">
        <v>1904</v>
      </c>
      <c r="I114">
        <f t="shared" si="4"/>
        <v>400</v>
      </c>
      <c r="K114" t="s">
        <v>50</v>
      </c>
      <c r="R114" t="str">
        <f t="shared" si="5"/>
        <v>71190</v>
      </c>
      <c r="S114" t="str">
        <f t="shared" si="6"/>
        <v>DATA_AitiFactName711901</v>
      </c>
      <c r="T114" t="str">
        <f t="shared" si="7"/>
        <v>恶魔镰刀</v>
      </c>
    </row>
    <row r="115" spans="1:20" x14ac:dyDescent="0.15">
      <c r="A115">
        <v>1904</v>
      </c>
      <c r="B115" t="s">
        <v>95</v>
      </c>
      <c r="C115" t="s">
        <v>96</v>
      </c>
      <c r="D115" s="1">
        <v>5</v>
      </c>
      <c r="E115" t="s">
        <v>51</v>
      </c>
      <c r="F115" s="4" t="s">
        <v>28</v>
      </c>
      <c r="G115" s="6">
        <v>711904</v>
      </c>
      <c r="H115">
        <v>1905</v>
      </c>
      <c r="I115">
        <f t="shared" si="4"/>
        <v>400</v>
      </c>
      <c r="K115" t="s">
        <v>50</v>
      </c>
      <c r="R115" t="str">
        <f t="shared" si="5"/>
        <v>71190</v>
      </c>
      <c r="S115" t="str">
        <f t="shared" si="6"/>
        <v>DATA_AitiFactName711901</v>
      </c>
      <c r="T115" t="str">
        <f t="shared" si="7"/>
        <v>恶魔镰刀</v>
      </c>
    </row>
    <row r="116" spans="1:20" x14ac:dyDescent="0.15">
      <c r="A116">
        <v>1905</v>
      </c>
      <c r="B116" t="s">
        <v>95</v>
      </c>
      <c r="C116" t="s">
        <v>96</v>
      </c>
      <c r="D116" s="1">
        <v>6</v>
      </c>
      <c r="E116" t="s">
        <v>51</v>
      </c>
      <c r="F116" s="4" t="s">
        <v>29</v>
      </c>
      <c r="G116" s="6">
        <v>711905</v>
      </c>
      <c r="H116">
        <v>1906</v>
      </c>
      <c r="I116">
        <f t="shared" si="4"/>
        <v>400</v>
      </c>
      <c r="K116" t="s">
        <v>50</v>
      </c>
      <c r="R116" t="str">
        <f t="shared" si="5"/>
        <v>71190</v>
      </c>
      <c r="S116" t="str">
        <f t="shared" si="6"/>
        <v>DATA_AitiFactName711901</v>
      </c>
      <c r="T116" t="str">
        <f t="shared" si="7"/>
        <v>恶魔镰刀</v>
      </c>
    </row>
    <row r="117" spans="1:20" x14ac:dyDescent="0.15">
      <c r="A117">
        <v>1906</v>
      </c>
      <c r="B117" t="s">
        <v>95</v>
      </c>
      <c r="C117" t="s">
        <v>96</v>
      </c>
      <c r="D117" s="1">
        <v>7</v>
      </c>
      <c r="E117" t="s">
        <v>51</v>
      </c>
      <c r="F117" s="4" t="s">
        <v>30</v>
      </c>
      <c r="G117" s="6">
        <v>711906</v>
      </c>
      <c r="H117">
        <v>0</v>
      </c>
      <c r="I117">
        <f t="shared" si="4"/>
        <v>400</v>
      </c>
      <c r="K117" t="s">
        <v>50</v>
      </c>
      <c r="R117" t="str">
        <f t="shared" si="5"/>
        <v>71190</v>
      </c>
      <c r="S117" t="str">
        <f t="shared" si="6"/>
        <v>DATA_AitiFactName711901</v>
      </c>
      <c r="T117" t="str">
        <f t="shared" si="7"/>
        <v>恶魔镰刀</v>
      </c>
    </row>
    <row r="118" spans="1:20" x14ac:dyDescent="0.15">
      <c r="A118">
        <v>2001</v>
      </c>
      <c r="B118" t="s">
        <v>97</v>
      </c>
      <c r="C118" t="s">
        <v>98</v>
      </c>
      <c r="D118" s="1">
        <v>2</v>
      </c>
      <c r="E118" t="s">
        <v>53</v>
      </c>
      <c r="F118" t="s">
        <v>39</v>
      </c>
      <c r="G118" s="6">
        <v>712001</v>
      </c>
      <c r="H118">
        <v>2002</v>
      </c>
      <c r="I118">
        <f t="shared" si="4"/>
        <v>200</v>
      </c>
      <c r="K118" t="s">
        <v>52</v>
      </c>
      <c r="R118" t="str">
        <f t="shared" si="5"/>
        <v>71200</v>
      </c>
      <c r="S118" t="str">
        <f t="shared" si="6"/>
        <v>DATA_AitiFactName712001</v>
      </c>
      <c r="T118" t="str">
        <f t="shared" si="7"/>
        <v>心灵之泪</v>
      </c>
    </row>
    <row r="119" spans="1:20" x14ac:dyDescent="0.15">
      <c r="A119">
        <v>2002</v>
      </c>
      <c r="B119" t="s">
        <v>97</v>
      </c>
      <c r="C119" t="s">
        <v>98</v>
      </c>
      <c r="D119" s="1">
        <v>3</v>
      </c>
      <c r="E119" t="s">
        <v>53</v>
      </c>
      <c r="F119" t="s">
        <v>54</v>
      </c>
      <c r="G119" s="6">
        <v>712002</v>
      </c>
      <c r="H119">
        <v>2003</v>
      </c>
      <c r="I119">
        <f t="shared" si="4"/>
        <v>200</v>
      </c>
      <c r="K119" t="s">
        <v>52</v>
      </c>
      <c r="R119" t="str">
        <f t="shared" si="5"/>
        <v>71200</v>
      </c>
      <c r="S119" t="str">
        <f t="shared" si="6"/>
        <v>DATA_AitiFactName712001</v>
      </c>
      <c r="T119" t="str">
        <f t="shared" si="7"/>
        <v>心灵之泪</v>
      </c>
    </row>
    <row r="120" spans="1:20" x14ac:dyDescent="0.15">
      <c r="A120">
        <v>2003</v>
      </c>
      <c r="B120" t="s">
        <v>97</v>
      </c>
      <c r="C120" t="s">
        <v>98</v>
      </c>
      <c r="D120" s="1">
        <v>4</v>
      </c>
      <c r="E120" t="s">
        <v>53</v>
      </c>
      <c r="F120" t="s">
        <v>55</v>
      </c>
      <c r="G120" s="6">
        <v>712003</v>
      </c>
      <c r="H120">
        <v>2004</v>
      </c>
      <c r="I120">
        <f t="shared" si="4"/>
        <v>200</v>
      </c>
      <c r="K120" t="s">
        <v>52</v>
      </c>
      <c r="R120" t="str">
        <f t="shared" si="5"/>
        <v>71200</v>
      </c>
      <c r="S120" t="str">
        <f t="shared" si="6"/>
        <v>DATA_AitiFactName712001</v>
      </c>
      <c r="T120" t="str">
        <f t="shared" si="7"/>
        <v>心灵之泪</v>
      </c>
    </row>
    <row r="121" spans="1:20" x14ac:dyDescent="0.15">
      <c r="A121">
        <v>2004</v>
      </c>
      <c r="B121" t="s">
        <v>97</v>
      </c>
      <c r="C121" t="s">
        <v>98</v>
      </c>
      <c r="D121" s="1">
        <v>5</v>
      </c>
      <c r="E121" t="s">
        <v>53</v>
      </c>
      <c r="F121" t="s">
        <v>56</v>
      </c>
      <c r="G121" s="6">
        <v>712004</v>
      </c>
      <c r="H121">
        <v>2005</v>
      </c>
      <c r="I121">
        <f t="shared" si="4"/>
        <v>200</v>
      </c>
      <c r="K121" t="s">
        <v>52</v>
      </c>
      <c r="R121" t="str">
        <f t="shared" si="5"/>
        <v>71200</v>
      </c>
      <c r="S121" t="str">
        <f t="shared" si="6"/>
        <v>DATA_AitiFactName712001</v>
      </c>
      <c r="T121" t="str">
        <f t="shared" si="7"/>
        <v>心灵之泪</v>
      </c>
    </row>
    <row r="122" spans="1:20" x14ac:dyDescent="0.15">
      <c r="A122">
        <v>2005</v>
      </c>
      <c r="B122" t="s">
        <v>97</v>
      </c>
      <c r="C122" t="s">
        <v>98</v>
      </c>
      <c r="D122" s="1">
        <v>6</v>
      </c>
      <c r="E122" t="s">
        <v>53</v>
      </c>
      <c r="F122" t="s">
        <v>57</v>
      </c>
      <c r="G122" s="6">
        <v>712005</v>
      </c>
      <c r="H122">
        <v>2006</v>
      </c>
      <c r="I122">
        <f t="shared" si="4"/>
        <v>200</v>
      </c>
      <c r="K122" t="s">
        <v>52</v>
      </c>
      <c r="R122" t="str">
        <f t="shared" si="5"/>
        <v>71200</v>
      </c>
      <c r="S122" t="str">
        <f t="shared" si="6"/>
        <v>DATA_AitiFactName712001</v>
      </c>
      <c r="T122" t="str">
        <f t="shared" si="7"/>
        <v>心灵之泪</v>
      </c>
    </row>
    <row r="123" spans="1:20" x14ac:dyDescent="0.15">
      <c r="A123">
        <v>2006</v>
      </c>
      <c r="B123" t="s">
        <v>97</v>
      </c>
      <c r="C123" t="s">
        <v>98</v>
      </c>
      <c r="D123" s="1">
        <v>7</v>
      </c>
      <c r="E123" t="s">
        <v>53</v>
      </c>
      <c r="F123" t="s">
        <v>58</v>
      </c>
      <c r="G123" s="6">
        <v>712006</v>
      </c>
      <c r="H123">
        <v>0</v>
      </c>
      <c r="I123">
        <f t="shared" si="4"/>
        <v>200</v>
      </c>
      <c r="K123" t="s">
        <v>52</v>
      </c>
      <c r="R123" t="str">
        <f t="shared" si="5"/>
        <v>71200</v>
      </c>
      <c r="S123" t="str">
        <f t="shared" si="6"/>
        <v>DATA_AitiFactName712001</v>
      </c>
      <c r="T123" t="str">
        <f t="shared" ref="T123" si="8">INDEX($P$4:$P$104,MATCH(INT(R123),$N$4:$N$104,0))</f>
        <v>心灵之泪</v>
      </c>
    </row>
    <row r="124" spans="1:20" x14ac:dyDescent="0.15">
      <c r="I124" s="4"/>
    </row>
    <row r="125" spans="1:20" x14ac:dyDescent="0.15">
      <c r="I125" s="4"/>
    </row>
    <row r="126" spans="1:20" x14ac:dyDescent="0.15">
      <c r="I126" s="4"/>
    </row>
    <row r="127" spans="1:20" x14ac:dyDescent="0.15">
      <c r="I127" s="4"/>
    </row>
    <row r="128" spans="1:20" x14ac:dyDescent="0.15">
      <c r="I128" s="4"/>
    </row>
    <row r="129" spans="9:9" x14ac:dyDescent="0.15">
      <c r="I129" s="4"/>
    </row>
    <row r="130" spans="9:9" x14ac:dyDescent="0.15">
      <c r="I130" s="4"/>
    </row>
    <row r="131" spans="9:9" x14ac:dyDescent="0.15">
      <c r="I131" s="4"/>
    </row>
    <row r="132" spans="9:9" x14ac:dyDescent="0.15">
      <c r="I132" s="4"/>
    </row>
    <row r="133" spans="9:9" x14ac:dyDescent="0.15">
      <c r="I133" s="4"/>
    </row>
    <row r="134" spans="9:9" x14ac:dyDescent="0.15">
      <c r="I134" s="4"/>
    </row>
    <row r="135" spans="9:9" x14ac:dyDescent="0.15">
      <c r="I135" s="4"/>
    </row>
  </sheetData>
  <phoneticPr fontId="1" type="noConversion"/>
  <conditionalFormatting sqref="G22:G27">
    <cfRule type="duplicateValues" dxfId="16" priority="17"/>
  </conditionalFormatting>
  <conditionalFormatting sqref="G28:G33">
    <cfRule type="duplicateValues" dxfId="15" priority="16"/>
  </conditionalFormatting>
  <conditionalFormatting sqref="G34:G39">
    <cfRule type="duplicateValues" dxfId="14" priority="15"/>
  </conditionalFormatting>
  <conditionalFormatting sqref="G40:G45">
    <cfRule type="duplicateValues" dxfId="13" priority="14"/>
  </conditionalFormatting>
  <conditionalFormatting sqref="G46:G51">
    <cfRule type="duplicateValues" dxfId="12" priority="13"/>
  </conditionalFormatting>
  <conditionalFormatting sqref="G52:G57">
    <cfRule type="duplicateValues" dxfId="11" priority="12"/>
  </conditionalFormatting>
  <conditionalFormatting sqref="G58:G63">
    <cfRule type="duplicateValues" dxfId="10" priority="11"/>
  </conditionalFormatting>
  <conditionalFormatting sqref="G64:G69">
    <cfRule type="duplicateValues" dxfId="9" priority="10"/>
  </conditionalFormatting>
  <conditionalFormatting sqref="G70:G75">
    <cfRule type="duplicateValues" dxfId="8" priority="9"/>
  </conditionalFormatting>
  <conditionalFormatting sqref="G76:G81">
    <cfRule type="duplicateValues" dxfId="7" priority="8"/>
  </conditionalFormatting>
  <conditionalFormatting sqref="G82:G87">
    <cfRule type="duplicateValues" dxfId="6" priority="7"/>
  </conditionalFormatting>
  <conditionalFormatting sqref="G88:G93">
    <cfRule type="duplicateValues" dxfId="5" priority="6"/>
  </conditionalFormatting>
  <conditionalFormatting sqref="G94:G99">
    <cfRule type="duplicateValues" dxfId="4" priority="5"/>
  </conditionalFormatting>
  <conditionalFormatting sqref="G100:G105">
    <cfRule type="duplicateValues" dxfId="3" priority="4"/>
  </conditionalFormatting>
  <conditionalFormatting sqref="G106:G111">
    <cfRule type="duplicateValues" dxfId="2" priority="3"/>
  </conditionalFormatting>
  <conditionalFormatting sqref="G112:G117">
    <cfRule type="duplicateValues" dxfId="1" priority="2"/>
  </conditionalFormatting>
  <conditionalFormatting sqref="G118:G123">
    <cfRule type="duplicateValues" dxfId="0" priority="1"/>
  </conditionalFormatting>
  <pageMargins left="0.69930555555555596" right="0.69930555555555596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artifact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ZHANGYANG</dc:creator>
  <cp:lastModifiedBy>pp</cp:lastModifiedBy>
  <dcterms:created xsi:type="dcterms:W3CDTF">2017-06-13T02:34:00Z</dcterms:created>
  <dcterms:modified xsi:type="dcterms:W3CDTF">2021-03-15T06:41:45Z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2052-11.1.0.10314</vt:lpwstr>
  </property>
</Properties>
</file>