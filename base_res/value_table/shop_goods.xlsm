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426"/>
  <workbookPr/>
  <mc:AlternateContent xmlns:mc="http://schemas.openxmlformats.org/markup-compatibility/2006">
    <mc:Choice Requires="x15">
      <x15ac:absPath xmlns:x15ac="http://schemas.microsoft.com/office/spreadsheetml/2010/11/ac" url="D:\KnightRes\config\input\"/>
    </mc:Choice>
  </mc:AlternateContent>
  <xr:revisionPtr revIDLastSave="0" documentId="13_ncr:1_{9D9A79BE-C28A-442C-B59C-00B36296D5F3}" xr6:coauthVersionLast="45" xr6:coauthVersionMax="45" xr10:uidLastSave="{00000000-0000-0000-0000-000000000000}"/>
  <bookViews>
    <workbookView xWindow="-120" yWindow="-120" windowWidth="29040" windowHeight="15990" xr2:uid="{00000000-000D-0000-FFFF-FFFF00000000}"/>
  </bookViews>
  <sheets>
    <sheet name="shop_goods" sheetId="1" r:id="rId1"/>
    <sheet name="Sheet1" sheetId="2" r:id="rId2"/>
  </sheets>
  <calcPr calcId="181029"/>
</workbook>
</file>

<file path=xl/calcChain.xml><?xml version="1.0" encoding="utf-8"?>
<calcChain xmlns="http://schemas.openxmlformats.org/spreadsheetml/2006/main">
  <c r="S104" i="1" l="1"/>
  <c r="S103" i="1"/>
  <c r="S102" i="1"/>
  <c r="S101" i="1"/>
  <c r="S100" i="1"/>
  <c r="S99" i="1"/>
  <c r="S98" i="1"/>
  <c r="S97" i="1"/>
  <c r="S96" i="1"/>
  <c r="S95" i="1"/>
  <c r="S94" i="1"/>
  <c r="S93" i="1"/>
  <c r="S92" i="1"/>
  <c r="S91" i="1"/>
  <c r="S90" i="1"/>
  <c r="S89" i="1"/>
  <c r="S88" i="1"/>
  <c r="S87" i="1"/>
  <c r="S86" i="1"/>
  <c r="S85" i="1"/>
  <c r="S84" i="1"/>
  <c r="S83" i="1"/>
  <c r="S82" i="1"/>
  <c r="S81" i="1"/>
  <c r="S80" i="1"/>
  <c r="S79" i="1"/>
  <c r="S78" i="1"/>
  <c r="S77" i="1"/>
  <c r="S76" i="1"/>
  <c r="S75" i="1"/>
  <c r="S74" i="1"/>
  <c r="S73" i="1"/>
  <c r="S72" i="1"/>
  <c r="S56" i="1"/>
  <c r="S55" i="1"/>
  <c r="S54" i="1"/>
  <c r="S53" i="1"/>
  <c r="S52" i="1"/>
  <c r="S51" i="1"/>
  <c r="S50" i="1"/>
  <c r="S49" i="1"/>
  <c r="S48" i="1"/>
  <c r="S47" i="1"/>
  <c r="S46" i="1"/>
  <c r="S45" i="1"/>
  <c r="S44" i="1"/>
  <c r="S43" i="1"/>
  <c r="S42" i="1"/>
  <c r="S41" i="1"/>
  <c r="S40" i="1"/>
  <c r="S39" i="1"/>
  <c r="S38" i="1"/>
  <c r="S37" i="1"/>
  <c r="S36" i="1"/>
  <c r="S35" i="1"/>
  <c r="S34" i="1"/>
  <c r="S33" i="1"/>
  <c r="S32" i="1"/>
  <c r="S31" i="1"/>
  <c r="S30" i="1"/>
  <c r="S29" i="1"/>
  <c r="S28" i="1"/>
  <c r="S27" i="1"/>
  <c r="S26" i="1"/>
  <c r="S25" i="1"/>
</calcChain>
</file>

<file path=xl/sharedStrings.xml><?xml version="1.0" encoding="utf-8"?>
<sst xmlns="http://schemas.openxmlformats.org/spreadsheetml/2006/main" count="281" uniqueCount="119">
  <si>
    <t>id</t>
  </si>
  <si>
    <t>shop_type</t>
  </si>
  <si>
    <t>loc</t>
  </si>
  <si>
    <t>goods_type</t>
  </si>
  <si>
    <t>goods_param1</t>
  </si>
  <si>
    <t>goods_param2</t>
  </si>
  <si>
    <t>goods_param3</t>
  </si>
  <si>
    <t>goods_num</t>
  </si>
  <si>
    <t>price_type</t>
  </si>
  <si>
    <t>price_num</t>
  </si>
  <si>
    <t>copy_min</t>
  </si>
  <si>
    <t>copy_max</t>
  </si>
  <si>
    <t>is_random</t>
  </si>
  <si>
    <t>buy_type</t>
  </si>
  <si>
    <t>int32</t>
  </si>
  <si>
    <t>ID</t>
  </si>
  <si>
    <t>商店类型</t>
  </si>
  <si>
    <t>商品位置</t>
  </si>
  <si>
    <t>商品类型</t>
  </si>
  <si>
    <t>商品参数</t>
  </si>
  <si>
    <t>商品数量</t>
  </si>
  <si>
    <t>价格类型</t>
  </si>
  <si>
    <t>价格数量</t>
  </si>
  <si>
    <t>进度区间</t>
  </si>
  <si>
    <t>是否随机</t>
  </si>
  <si>
    <t>购买类型0无限购买，1单次购买</t>
  </si>
  <si>
    <t>种类</t>
  </si>
  <si>
    <t>数量</t>
  </si>
  <si>
    <t>花费</t>
  </si>
  <si>
    <t>普通商店</t>
  </si>
  <si>
    <t>高抽</t>
  </si>
  <si>
    <t>神秘宝珠</t>
  </si>
  <si>
    <t>神秘碎片</t>
  </si>
  <si>
    <t>转盘币</t>
  </si>
  <si>
    <t>高级转盘币</t>
  </si>
  <si>
    <t>魔法石</t>
  </si>
  <si>
    <t>PVP挑战卷</t>
  </si>
  <si>
    <t>灵魂商店</t>
  </si>
  <si>
    <t>5星碎片</t>
  </si>
  <si>
    <t>幸运商店</t>
  </si>
  <si>
    <t>紫1星武器</t>
  </si>
  <si>
    <t>单次幸运B</t>
  </si>
  <si>
    <t>紫2星武器</t>
  </si>
  <si>
    <t>每天免费转盘次数</t>
  </si>
  <si>
    <t>紫3星武器</t>
  </si>
  <si>
    <t>紫4星武器</t>
  </si>
  <si>
    <t>紫1星头盔</t>
  </si>
  <si>
    <t>紫2星头盔</t>
  </si>
  <si>
    <t>紫3星头盔</t>
  </si>
  <si>
    <t>紫4星头盔</t>
  </si>
  <si>
    <t>紫1星铠甲</t>
  </si>
  <si>
    <t>紫2星铠甲</t>
  </si>
  <si>
    <t>紫3星铠甲</t>
  </si>
  <si>
    <t>紫4星铠甲</t>
  </si>
  <si>
    <t>紫1星饰品</t>
  </si>
  <si>
    <t>紫2星饰品</t>
  </si>
  <si>
    <t>紫3星饰品</t>
  </si>
  <si>
    <t>紫4星饰品</t>
  </si>
  <si>
    <t>橙1星武器</t>
  </si>
  <si>
    <t>橙2星武器</t>
  </si>
  <si>
    <t>橙3星武器</t>
  </si>
  <si>
    <t>橙4星武器</t>
  </si>
  <si>
    <t>橙1星头盔</t>
  </si>
  <si>
    <t>橙2星头盔</t>
  </si>
  <si>
    <t>橙3星头盔</t>
  </si>
  <si>
    <t>橙4星头盔</t>
  </si>
  <si>
    <t>橙1星铠甲</t>
  </si>
  <si>
    <t>橙2星铠甲</t>
  </si>
  <si>
    <t>橙3星铠甲</t>
  </si>
  <si>
    <t>橙4星铠甲</t>
  </si>
  <si>
    <t>橙1星饰品</t>
  </si>
  <si>
    <t>橙2星饰品</t>
  </si>
  <si>
    <t>橙3星饰品</t>
  </si>
  <si>
    <t>橙4星饰品</t>
  </si>
  <si>
    <t>试炼商店</t>
  </si>
  <si>
    <t>3星水碎片</t>
  </si>
  <si>
    <t>3星火碎片</t>
  </si>
  <si>
    <t>3星木碎片</t>
  </si>
  <si>
    <t>5星水大法师</t>
  </si>
  <si>
    <t>5星火刀</t>
  </si>
  <si>
    <t>5星光大法官</t>
  </si>
  <si>
    <t>5星暗法老王</t>
  </si>
  <si>
    <t>公会商店</t>
  </si>
  <si>
    <t>5星水牧师</t>
  </si>
  <si>
    <t>公会签到</t>
  </si>
  <si>
    <t>5星火大法师</t>
  </si>
  <si>
    <t>公会订单</t>
  </si>
  <si>
    <t>5星木维京</t>
  </si>
  <si>
    <t>工会副本</t>
  </si>
  <si>
    <t>5星光弓箭手</t>
  </si>
  <si>
    <t>5星暗忍者</t>
  </si>
  <si>
    <t>蓝2星武器</t>
  </si>
  <si>
    <t>蓝3星武器</t>
  </si>
  <si>
    <t>蓝2星头盔</t>
  </si>
  <si>
    <t>蓝3星头盔</t>
  </si>
  <si>
    <t>蓝2星铠甲</t>
  </si>
  <si>
    <t>蓝3星铠甲</t>
  </si>
  <si>
    <t>蓝2星饰品</t>
  </si>
  <si>
    <t>蓝3星饰品</t>
  </si>
  <si>
    <t>EShopType_NULL = 0;</t>
  </si>
  <si>
    <t>无</t>
  </si>
  <si>
    <t>EShopType_Normal = 1;</t>
  </si>
  <si>
    <t>EShopType_Soul = 2;</t>
  </si>
  <si>
    <t>EShopType_Lucky = 3;</t>
  </si>
  <si>
    <t>EShopType_Trail = 4;</t>
  </si>
  <si>
    <t>EShopType_Guild = 5;</t>
  </si>
  <si>
    <t>EShopPriceType_NULL = 0;</t>
  </si>
  <si>
    <t>EShopPriceType_Money = 1;</t>
  </si>
  <si>
    <t>金币</t>
  </si>
  <si>
    <t>EShopPriceType_Vrmb = 2;</t>
  </si>
  <si>
    <t>钻石</t>
  </si>
  <si>
    <t>EShopPriceType_Soul = 3;</t>
  </si>
  <si>
    <t>灵魂币</t>
  </si>
  <si>
    <t>EShopPriceType_LuckyCoin = 4;</t>
  </si>
  <si>
    <t>幸运币</t>
  </si>
  <si>
    <t>EShopPriceType_TrailPoint = 5;</t>
  </si>
  <si>
    <t>试炼币</t>
  </si>
  <si>
    <t>EShopPriceType_GuildCoin = 6;</t>
  </si>
  <si>
    <t>公会币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</si>
</sst>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宋体"/>
      <charset val="134"/>
      <scheme val="minor"/>
    </font>
    <font>
      <sz val="11"/>
      <color theme="1"/>
      <name val="宋体"/>
      <family val="3"/>
      <charset val="134"/>
      <scheme val="minor"/>
    </font>
    <font>
      <sz val="9"/>
      <name val="宋体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8">
    <xf numFmtId="0" fontId="0" fillId="0" borderId="0" xfId="0">
      <alignment vertical="center"/>
    </xf>
    <xf numFmtId="0" fontId="0" fillId="0" borderId="0" xfId="0" applyFont="1" applyAlignment="1">
      <alignment vertical="center"/>
    </xf>
    <xf numFmtId="0" fontId="0" fillId="0" borderId="0" xfId="0" applyFont="1">
      <alignment vertical="center"/>
    </xf>
    <xf numFmtId="0" fontId="0" fillId="0" borderId="0" xfId="0" applyAlignment="1"/>
    <xf numFmtId="0" fontId="0" fillId="0" borderId="0" xfId="0" applyFont="1" applyAlignment="1"/>
    <xf numFmtId="0" fontId="1" fillId="0" borderId="0" xfId="0" applyFont="1">
      <alignment vertical="center"/>
    </xf>
    <xf numFmtId="0" fontId="1" fillId="0" borderId="0" xfId="0" applyFont="1" applyFill="1" applyAlignment="1"/>
    <xf numFmtId="0" fontId="1" fillId="0" borderId="0" xfId="0" applyFont="1" applyAlignment="1"/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W120"/>
  <sheetViews>
    <sheetView tabSelected="1" workbookViewId="0">
      <selection activeCell="A12" sqref="A12"/>
    </sheetView>
  </sheetViews>
  <sheetFormatPr defaultColWidth="9" defaultRowHeight="13.5" x14ac:dyDescent="0.15"/>
  <cols>
    <col min="1" max="1" width="6.5" customWidth="1"/>
    <col min="2" max="2" width="13.875" customWidth="1"/>
    <col min="3" max="4" width="15" customWidth="1"/>
    <col min="5" max="5" width="12.75" customWidth="1"/>
    <col min="6" max="7" width="13.875" customWidth="1"/>
    <col min="8" max="8" width="10.5" customWidth="1"/>
    <col min="9" max="9" width="11.625" customWidth="1"/>
    <col min="10" max="10" width="10.5" customWidth="1"/>
    <col min="13" max="13" width="10.75" customWidth="1"/>
    <col min="14" max="14" width="29.75" customWidth="1"/>
    <col min="15" max="16" width="10.25" customWidth="1"/>
    <col min="17" max="17" width="11" customWidth="1"/>
  </cols>
  <sheetData>
    <row r="1" spans="1:23" x14ac:dyDescent="0.15">
      <c r="A1" s="3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4" t="s">
        <v>5</v>
      </c>
      <c r="G1" s="4" t="s">
        <v>6</v>
      </c>
      <c r="H1" s="4" t="s">
        <v>7</v>
      </c>
      <c r="I1" s="4" t="s">
        <v>8</v>
      </c>
      <c r="J1" s="4" t="s">
        <v>9</v>
      </c>
      <c r="K1" s="4" t="s">
        <v>10</v>
      </c>
      <c r="L1" s="4" t="s">
        <v>11</v>
      </c>
      <c r="M1" s="4" t="s">
        <v>12</v>
      </c>
      <c r="N1" s="4" t="s">
        <v>13</v>
      </c>
      <c r="O1" s="3"/>
      <c r="P1" s="3"/>
    </row>
    <row r="2" spans="1:23" x14ac:dyDescent="0.15">
      <c r="A2" s="3" t="s">
        <v>14</v>
      </c>
      <c r="B2" s="4" t="s">
        <v>14</v>
      </c>
      <c r="C2" s="4" t="s">
        <v>14</v>
      </c>
      <c r="D2" s="4" t="s">
        <v>14</v>
      </c>
      <c r="E2" s="4" t="s">
        <v>14</v>
      </c>
      <c r="F2" s="4" t="s">
        <v>14</v>
      </c>
      <c r="G2" s="4" t="s">
        <v>14</v>
      </c>
      <c r="H2" s="4" t="s">
        <v>14</v>
      </c>
      <c r="I2" s="4" t="s">
        <v>14</v>
      </c>
      <c r="J2" s="4" t="s">
        <v>14</v>
      </c>
      <c r="K2" s="1" t="s">
        <v>14</v>
      </c>
      <c r="L2" s="1" t="s">
        <v>14</v>
      </c>
      <c r="M2" s="1" t="s">
        <v>14</v>
      </c>
      <c r="N2" s="1" t="s">
        <v>14</v>
      </c>
      <c r="O2" s="1"/>
      <c r="P2" s="1"/>
    </row>
    <row r="3" spans="1:23" x14ac:dyDescent="0.15">
      <c r="A3" s="3" t="s">
        <v>15</v>
      </c>
      <c r="B3" s="4" t="s">
        <v>16</v>
      </c>
      <c r="C3" s="4" t="s">
        <v>17</v>
      </c>
      <c r="D3" s="4" t="s">
        <v>18</v>
      </c>
      <c r="E3" s="4" t="s">
        <v>19</v>
      </c>
      <c r="F3" s="4" t="s">
        <v>19</v>
      </c>
      <c r="G3" s="4" t="s">
        <v>19</v>
      </c>
      <c r="H3" s="4" t="s">
        <v>20</v>
      </c>
      <c r="I3" s="4" t="s">
        <v>21</v>
      </c>
      <c r="J3" s="4" t="s">
        <v>22</v>
      </c>
      <c r="K3" s="4" t="s">
        <v>23</v>
      </c>
      <c r="L3" s="4" t="s">
        <v>23</v>
      </c>
      <c r="M3" s="4" t="s">
        <v>24</v>
      </c>
      <c r="N3" s="4" t="s">
        <v>25</v>
      </c>
      <c r="O3" s="3"/>
      <c r="P3" s="3"/>
      <c r="Q3" s="4" t="s">
        <v>26</v>
      </c>
      <c r="R3" s="4" t="s">
        <v>27</v>
      </c>
      <c r="S3" s="4" t="s">
        <v>28</v>
      </c>
    </row>
    <row r="4" spans="1:23" x14ac:dyDescent="0.15">
      <c r="A4">
        <v>101</v>
      </c>
      <c r="B4" s="4">
        <v>1</v>
      </c>
      <c r="C4" s="4">
        <v>1</v>
      </c>
      <c r="D4" s="4">
        <v>14</v>
      </c>
      <c r="E4" s="4">
        <v>0</v>
      </c>
      <c r="F4" s="4">
        <v>0</v>
      </c>
      <c r="G4" s="4">
        <v>0</v>
      </c>
      <c r="H4" s="4">
        <v>1</v>
      </c>
      <c r="I4" s="4">
        <v>2</v>
      </c>
      <c r="J4" s="4">
        <v>150</v>
      </c>
      <c r="K4" s="4">
        <v>0</v>
      </c>
      <c r="L4" s="4">
        <v>99999</v>
      </c>
      <c r="M4" s="4">
        <v>0</v>
      </c>
      <c r="N4" s="4">
        <v>1</v>
      </c>
      <c r="P4" s="2" t="s">
        <v>29</v>
      </c>
      <c r="Q4" s="2" t="s">
        <v>30</v>
      </c>
      <c r="R4" s="4">
        <v>1</v>
      </c>
      <c r="S4" s="4">
        <v>150</v>
      </c>
    </row>
    <row r="5" spans="1:23" x14ac:dyDescent="0.15">
      <c r="A5">
        <v>102</v>
      </c>
      <c r="B5" s="4">
        <v>1</v>
      </c>
      <c r="C5" s="4">
        <v>2</v>
      </c>
      <c r="D5" s="4">
        <v>18</v>
      </c>
      <c r="E5" s="4">
        <v>0</v>
      </c>
      <c r="F5" s="4">
        <v>0</v>
      </c>
      <c r="G5" s="4">
        <v>0</v>
      </c>
      <c r="H5" s="4">
        <v>1</v>
      </c>
      <c r="I5" s="4">
        <v>2</v>
      </c>
      <c r="J5" s="4">
        <v>500</v>
      </c>
      <c r="K5" s="4">
        <v>0</v>
      </c>
      <c r="L5" s="4">
        <v>99999</v>
      </c>
      <c r="M5" s="4">
        <v>0</v>
      </c>
      <c r="N5" s="4">
        <v>1</v>
      </c>
      <c r="P5" s="2" t="s">
        <v>29</v>
      </c>
      <c r="Q5" s="2" t="s">
        <v>31</v>
      </c>
      <c r="R5" s="4">
        <v>1</v>
      </c>
      <c r="S5" s="4">
        <v>500</v>
      </c>
      <c r="U5" s="4"/>
      <c r="V5" s="4"/>
      <c r="W5" s="4"/>
    </row>
    <row r="6" spans="1:23" x14ac:dyDescent="0.15">
      <c r="A6">
        <v>103</v>
      </c>
      <c r="B6" s="4">
        <v>1</v>
      </c>
      <c r="C6" s="4">
        <v>3</v>
      </c>
      <c r="D6" s="4">
        <v>19</v>
      </c>
      <c r="E6" s="4">
        <v>0</v>
      </c>
      <c r="F6" s="4">
        <v>0</v>
      </c>
      <c r="G6" s="4">
        <v>0</v>
      </c>
      <c r="H6" s="4">
        <v>100</v>
      </c>
      <c r="I6" s="4">
        <v>2</v>
      </c>
      <c r="J6" s="4">
        <v>300</v>
      </c>
      <c r="K6" s="4">
        <v>0</v>
      </c>
      <c r="L6" s="4">
        <v>99999</v>
      </c>
      <c r="M6" s="4">
        <v>0</v>
      </c>
      <c r="N6" s="4">
        <v>1</v>
      </c>
      <c r="P6" s="2" t="s">
        <v>29</v>
      </c>
      <c r="Q6" s="2" t="s">
        <v>32</v>
      </c>
      <c r="R6" s="4">
        <v>100</v>
      </c>
      <c r="S6" s="4">
        <v>300</v>
      </c>
      <c r="U6" s="4"/>
      <c r="V6" s="4"/>
      <c r="W6" s="4"/>
    </row>
    <row r="7" spans="1:23" x14ac:dyDescent="0.15">
      <c r="A7">
        <v>104</v>
      </c>
      <c r="B7" s="4">
        <v>1</v>
      </c>
      <c r="C7" s="4">
        <v>4</v>
      </c>
      <c r="D7" s="4">
        <v>23</v>
      </c>
      <c r="E7" s="4">
        <v>0</v>
      </c>
      <c r="F7" s="4">
        <v>0</v>
      </c>
      <c r="G7" s="4">
        <v>0</v>
      </c>
      <c r="H7" s="4">
        <v>8</v>
      </c>
      <c r="I7" s="4">
        <v>2</v>
      </c>
      <c r="J7" s="4">
        <v>240</v>
      </c>
      <c r="K7" s="4">
        <v>0</v>
      </c>
      <c r="L7" s="4">
        <v>99999</v>
      </c>
      <c r="M7" s="4">
        <v>0</v>
      </c>
      <c r="N7" s="4">
        <v>1</v>
      </c>
      <c r="P7" s="2" t="s">
        <v>29</v>
      </c>
      <c r="Q7" s="2" t="s">
        <v>33</v>
      </c>
      <c r="R7" s="4">
        <v>8</v>
      </c>
      <c r="S7" s="4">
        <v>240</v>
      </c>
    </row>
    <row r="8" spans="1:23" x14ac:dyDescent="0.15">
      <c r="A8">
        <v>105</v>
      </c>
      <c r="B8" s="4">
        <v>1</v>
      </c>
      <c r="C8" s="4">
        <v>5</v>
      </c>
      <c r="D8" s="4">
        <v>24</v>
      </c>
      <c r="E8" s="4">
        <v>0</v>
      </c>
      <c r="F8" s="4">
        <v>0</v>
      </c>
      <c r="G8" s="4">
        <v>0</v>
      </c>
      <c r="H8" s="4">
        <v>2</v>
      </c>
      <c r="I8" s="4">
        <v>2</v>
      </c>
      <c r="J8" s="4">
        <v>500</v>
      </c>
      <c r="K8" s="4">
        <v>0</v>
      </c>
      <c r="L8" s="4">
        <v>99999</v>
      </c>
      <c r="M8" s="4">
        <v>0</v>
      </c>
      <c r="N8" s="4">
        <v>1</v>
      </c>
      <c r="P8" s="2" t="s">
        <v>29</v>
      </c>
      <c r="Q8" s="2" t="s">
        <v>34</v>
      </c>
      <c r="R8" s="4">
        <v>2</v>
      </c>
      <c r="S8" s="4">
        <v>500</v>
      </c>
    </row>
    <row r="9" spans="1:23" x14ac:dyDescent="0.15">
      <c r="A9">
        <v>110</v>
      </c>
      <c r="B9">
        <v>1</v>
      </c>
      <c r="C9" s="4">
        <v>6</v>
      </c>
      <c r="D9" s="4">
        <v>9</v>
      </c>
      <c r="E9" s="4">
        <v>0</v>
      </c>
      <c r="F9" s="4">
        <v>0</v>
      </c>
      <c r="G9" s="4">
        <v>0</v>
      </c>
      <c r="H9" s="4">
        <v>300</v>
      </c>
      <c r="I9" s="4">
        <v>2</v>
      </c>
      <c r="J9" s="4">
        <v>60</v>
      </c>
      <c r="K9" s="4">
        <v>0</v>
      </c>
      <c r="L9" s="4">
        <v>99999</v>
      </c>
      <c r="M9" s="4">
        <v>0</v>
      </c>
      <c r="N9" s="4">
        <v>1</v>
      </c>
      <c r="P9" s="2" t="s">
        <v>29</v>
      </c>
      <c r="Q9" s="2" t="s">
        <v>35</v>
      </c>
      <c r="R9" s="4">
        <v>300</v>
      </c>
      <c r="S9" s="4">
        <v>60</v>
      </c>
    </row>
    <row r="10" spans="1:23" x14ac:dyDescent="0.15">
      <c r="A10">
        <v>111</v>
      </c>
      <c r="B10" s="4">
        <v>1</v>
      </c>
      <c r="C10" s="4">
        <v>7</v>
      </c>
      <c r="D10" s="4">
        <v>9</v>
      </c>
      <c r="E10" s="4">
        <v>0</v>
      </c>
      <c r="F10" s="4">
        <v>0</v>
      </c>
      <c r="G10" s="4">
        <v>0</v>
      </c>
      <c r="H10" s="4">
        <v>3000</v>
      </c>
      <c r="I10" s="4">
        <v>2</v>
      </c>
      <c r="J10" s="4">
        <v>500</v>
      </c>
      <c r="K10" s="4">
        <v>0</v>
      </c>
      <c r="L10" s="4">
        <v>99999</v>
      </c>
      <c r="M10" s="4">
        <v>0</v>
      </c>
      <c r="N10" s="4">
        <v>1</v>
      </c>
      <c r="P10" s="2" t="s">
        <v>29</v>
      </c>
      <c r="Q10" s="2" t="s">
        <v>35</v>
      </c>
      <c r="R10" s="4">
        <v>3000</v>
      </c>
      <c r="S10" s="4">
        <v>500</v>
      </c>
    </row>
    <row r="11" spans="1:23" x14ac:dyDescent="0.15">
      <c r="A11">
        <v>112</v>
      </c>
      <c r="B11" s="4">
        <v>1</v>
      </c>
      <c r="C11" s="4">
        <v>8</v>
      </c>
      <c r="D11" s="4">
        <v>21</v>
      </c>
      <c r="E11" s="4">
        <v>0</v>
      </c>
      <c r="F11" s="4">
        <v>0</v>
      </c>
      <c r="G11" s="4">
        <v>0</v>
      </c>
      <c r="H11" s="4">
        <v>5</v>
      </c>
      <c r="I11" s="4">
        <v>2</v>
      </c>
      <c r="J11" s="4">
        <v>100</v>
      </c>
      <c r="K11" s="4">
        <v>0</v>
      </c>
      <c r="L11" s="4">
        <v>99999</v>
      </c>
      <c r="M11" s="4">
        <v>0</v>
      </c>
      <c r="N11" s="4">
        <v>1</v>
      </c>
      <c r="P11" s="2" t="s">
        <v>29</v>
      </c>
      <c r="Q11" s="2" t="s">
        <v>36</v>
      </c>
      <c r="R11" s="4">
        <v>5</v>
      </c>
      <c r="S11" s="4">
        <v>60</v>
      </c>
    </row>
    <row r="12" spans="1:23" x14ac:dyDescent="0.15">
      <c r="A12">
        <v>113</v>
      </c>
      <c r="B12" s="4">
        <v>1</v>
      </c>
      <c r="C12" s="4">
        <v>9</v>
      </c>
      <c r="D12">
        <v>21</v>
      </c>
      <c r="E12">
        <v>0</v>
      </c>
      <c r="F12">
        <v>0</v>
      </c>
      <c r="G12">
        <v>0</v>
      </c>
      <c r="H12">
        <v>10</v>
      </c>
      <c r="I12">
        <v>2</v>
      </c>
      <c r="J12">
        <v>200</v>
      </c>
      <c r="K12">
        <v>0</v>
      </c>
      <c r="L12">
        <v>99999</v>
      </c>
      <c r="M12" s="4">
        <v>0</v>
      </c>
      <c r="N12" s="4">
        <v>1</v>
      </c>
      <c r="P12" s="2" t="s">
        <v>29</v>
      </c>
      <c r="Q12" s="2" t="s">
        <v>36</v>
      </c>
      <c r="R12" s="4">
        <v>10</v>
      </c>
      <c r="S12" s="1">
        <v>120</v>
      </c>
    </row>
    <row r="13" spans="1:23" x14ac:dyDescent="0.15">
      <c r="A13">
        <v>201</v>
      </c>
      <c r="B13" s="4">
        <v>2</v>
      </c>
      <c r="C13" s="4">
        <v>1</v>
      </c>
      <c r="D13" s="4">
        <v>6</v>
      </c>
      <c r="E13" s="4">
        <v>4</v>
      </c>
      <c r="F13" s="4">
        <v>5054201</v>
      </c>
      <c r="G13" s="4">
        <v>0</v>
      </c>
      <c r="H13" s="4">
        <v>50</v>
      </c>
      <c r="I13">
        <v>3</v>
      </c>
      <c r="J13">
        <v>6500</v>
      </c>
      <c r="K13" s="4">
        <v>0</v>
      </c>
      <c r="L13" s="4">
        <v>99999</v>
      </c>
      <c r="M13" s="4">
        <v>0</v>
      </c>
      <c r="N13" s="4">
        <v>1</v>
      </c>
      <c r="P13" s="2" t="s">
        <v>37</v>
      </c>
      <c r="Q13" s="5" t="s">
        <v>38</v>
      </c>
      <c r="R13" s="4">
        <v>50</v>
      </c>
      <c r="S13" s="4">
        <v>4500</v>
      </c>
      <c r="U13" s="4"/>
    </row>
    <row r="14" spans="1:23" x14ac:dyDescent="0.15">
      <c r="A14">
        <v>202</v>
      </c>
      <c r="B14" s="4">
        <v>2</v>
      </c>
      <c r="C14" s="4">
        <v>2</v>
      </c>
      <c r="D14" s="4">
        <v>6</v>
      </c>
      <c r="E14" s="4">
        <v>4</v>
      </c>
      <c r="F14" s="4">
        <v>5055501</v>
      </c>
      <c r="G14" s="4">
        <v>0</v>
      </c>
      <c r="H14" s="4">
        <v>50</v>
      </c>
      <c r="I14">
        <v>3</v>
      </c>
      <c r="J14">
        <v>6500</v>
      </c>
      <c r="K14" s="4">
        <v>0</v>
      </c>
      <c r="L14" s="4">
        <v>99999</v>
      </c>
      <c r="M14" s="4">
        <v>0</v>
      </c>
      <c r="N14" s="4">
        <v>1</v>
      </c>
      <c r="P14" s="2" t="s">
        <v>37</v>
      </c>
      <c r="Q14" s="5" t="s">
        <v>38</v>
      </c>
      <c r="R14" s="4">
        <v>50</v>
      </c>
      <c r="S14" s="4">
        <v>5000</v>
      </c>
    </row>
    <row r="15" spans="1:23" x14ac:dyDescent="0.15">
      <c r="A15">
        <v>203</v>
      </c>
      <c r="B15" s="4">
        <v>2</v>
      </c>
      <c r="C15" s="4">
        <v>3</v>
      </c>
      <c r="D15" s="4">
        <v>6</v>
      </c>
      <c r="E15" s="4">
        <v>4</v>
      </c>
      <c r="F15" s="4">
        <v>5051402</v>
      </c>
      <c r="G15" s="4">
        <v>0</v>
      </c>
      <c r="H15" s="4">
        <v>50</v>
      </c>
      <c r="I15" s="4">
        <v>3</v>
      </c>
      <c r="J15" s="4">
        <v>6000</v>
      </c>
      <c r="K15" s="4">
        <v>0</v>
      </c>
      <c r="L15" s="4">
        <v>99999</v>
      </c>
      <c r="M15">
        <v>0</v>
      </c>
      <c r="N15" s="4">
        <v>1</v>
      </c>
      <c r="P15" s="2" t="s">
        <v>37</v>
      </c>
      <c r="Q15" s="5" t="s">
        <v>38</v>
      </c>
      <c r="R15" s="4">
        <v>50</v>
      </c>
      <c r="S15" s="4">
        <v>5500</v>
      </c>
    </row>
    <row r="16" spans="1:23" x14ac:dyDescent="0.15">
      <c r="A16">
        <v>204</v>
      </c>
      <c r="B16" s="4">
        <v>2</v>
      </c>
      <c r="C16" s="4">
        <v>4</v>
      </c>
      <c r="D16" s="4">
        <v>6</v>
      </c>
      <c r="E16" s="4">
        <v>4</v>
      </c>
      <c r="F16">
        <v>5053200</v>
      </c>
      <c r="G16" s="4">
        <v>0</v>
      </c>
      <c r="H16" s="4">
        <v>50</v>
      </c>
      <c r="I16" s="4">
        <v>3</v>
      </c>
      <c r="J16" s="4">
        <v>6000</v>
      </c>
      <c r="K16" s="4">
        <v>0</v>
      </c>
      <c r="L16" s="4">
        <v>99999</v>
      </c>
      <c r="M16">
        <v>0</v>
      </c>
      <c r="N16" s="4">
        <v>1</v>
      </c>
      <c r="P16" s="2" t="s">
        <v>37</v>
      </c>
      <c r="Q16" s="5" t="s">
        <v>38</v>
      </c>
      <c r="R16" s="4">
        <v>50</v>
      </c>
      <c r="S16" s="4">
        <v>4500</v>
      </c>
    </row>
    <row r="17" spans="1:22" x14ac:dyDescent="0.15">
      <c r="A17">
        <v>205</v>
      </c>
      <c r="B17" s="4">
        <v>2</v>
      </c>
      <c r="C17" s="4">
        <v>5</v>
      </c>
      <c r="D17" s="4">
        <v>6</v>
      </c>
      <c r="E17" s="4">
        <v>4</v>
      </c>
      <c r="F17" s="4">
        <v>5053601</v>
      </c>
      <c r="G17" s="4">
        <v>0</v>
      </c>
      <c r="H17" s="4">
        <v>50</v>
      </c>
      <c r="I17">
        <v>3</v>
      </c>
      <c r="J17">
        <v>5500</v>
      </c>
      <c r="K17" s="4">
        <v>0</v>
      </c>
      <c r="L17" s="4">
        <v>99999</v>
      </c>
      <c r="M17">
        <v>0</v>
      </c>
      <c r="N17" s="4">
        <v>1</v>
      </c>
      <c r="P17" s="2" t="s">
        <v>37</v>
      </c>
      <c r="Q17" s="5" t="s">
        <v>38</v>
      </c>
      <c r="R17" s="4">
        <v>50</v>
      </c>
      <c r="S17">
        <v>5000</v>
      </c>
      <c r="U17" s="4"/>
    </row>
    <row r="18" spans="1:22" x14ac:dyDescent="0.15">
      <c r="A18">
        <v>206</v>
      </c>
      <c r="B18" s="4">
        <v>2</v>
      </c>
      <c r="C18" s="4">
        <v>6</v>
      </c>
      <c r="D18" s="4">
        <v>6</v>
      </c>
      <c r="E18" s="4">
        <v>4</v>
      </c>
      <c r="F18">
        <v>5051502</v>
      </c>
      <c r="G18" s="4">
        <v>0</v>
      </c>
      <c r="H18" s="4">
        <v>50</v>
      </c>
      <c r="I18">
        <v>3</v>
      </c>
      <c r="J18" s="4">
        <v>5000</v>
      </c>
      <c r="K18" s="4">
        <v>0</v>
      </c>
      <c r="L18" s="4">
        <v>99999</v>
      </c>
      <c r="M18">
        <v>0</v>
      </c>
      <c r="N18" s="4">
        <v>1</v>
      </c>
      <c r="P18" s="2" t="s">
        <v>37</v>
      </c>
      <c r="Q18" s="5" t="s">
        <v>38</v>
      </c>
      <c r="R18" s="4">
        <v>50</v>
      </c>
      <c r="S18">
        <v>4500</v>
      </c>
      <c r="U18" s="4"/>
    </row>
    <row r="19" spans="1:22" x14ac:dyDescent="0.15">
      <c r="A19">
        <v>207</v>
      </c>
      <c r="B19" s="4">
        <v>2</v>
      </c>
      <c r="C19" s="4">
        <v>7</v>
      </c>
      <c r="D19" s="4">
        <v>6</v>
      </c>
      <c r="E19" s="4">
        <v>4</v>
      </c>
      <c r="F19">
        <v>5052402</v>
      </c>
      <c r="G19" s="4">
        <v>0</v>
      </c>
      <c r="H19" s="4">
        <v>50</v>
      </c>
      <c r="I19">
        <v>3</v>
      </c>
      <c r="J19" s="4">
        <v>5000</v>
      </c>
      <c r="K19" s="4">
        <v>0</v>
      </c>
      <c r="L19" s="4">
        <v>99999</v>
      </c>
      <c r="M19">
        <v>0</v>
      </c>
      <c r="N19" s="4">
        <v>1</v>
      </c>
      <c r="P19" s="2" t="s">
        <v>37</v>
      </c>
      <c r="Q19" s="5" t="s">
        <v>38</v>
      </c>
      <c r="R19" s="4">
        <v>50</v>
      </c>
      <c r="S19">
        <v>5500</v>
      </c>
      <c r="U19" s="4"/>
    </row>
    <row r="20" spans="1:22" x14ac:dyDescent="0.15">
      <c r="A20">
        <v>208</v>
      </c>
      <c r="B20" s="4">
        <v>2</v>
      </c>
      <c r="C20" s="4">
        <v>8</v>
      </c>
      <c r="D20" s="4">
        <v>6</v>
      </c>
      <c r="E20" s="4">
        <v>4</v>
      </c>
      <c r="F20" s="4">
        <v>5052201</v>
      </c>
      <c r="G20" s="4">
        <v>0</v>
      </c>
      <c r="H20" s="4">
        <v>50</v>
      </c>
      <c r="I20" s="4">
        <v>3</v>
      </c>
      <c r="J20">
        <v>5000</v>
      </c>
      <c r="K20" s="4">
        <v>0</v>
      </c>
      <c r="L20" s="4">
        <v>99999</v>
      </c>
      <c r="M20" s="4">
        <v>0</v>
      </c>
      <c r="N20" s="4">
        <v>1</v>
      </c>
      <c r="P20" s="2" t="s">
        <v>37</v>
      </c>
      <c r="Q20" s="5" t="s">
        <v>38</v>
      </c>
      <c r="R20" s="4">
        <v>50</v>
      </c>
      <c r="S20">
        <v>5000</v>
      </c>
      <c r="U20" s="4"/>
    </row>
    <row r="21" spans="1:22" x14ac:dyDescent="0.15">
      <c r="A21">
        <v>209</v>
      </c>
      <c r="B21" s="4">
        <v>2</v>
      </c>
      <c r="C21" s="4">
        <v>9</v>
      </c>
      <c r="D21" s="4">
        <v>6</v>
      </c>
      <c r="E21" s="4">
        <v>4</v>
      </c>
      <c r="F21" s="4">
        <v>5051202</v>
      </c>
      <c r="G21" s="4">
        <v>0</v>
      </c>
      <c r="H21" s="4">
        <v>50</v>
      </c>
      <c r="I21" s="4">
        <v>3</v>
      </c>
      <c r="J21">
        <v>4500</v>
      </c>
      <c r="K21" s="4">
        <v>0</v>
      </c>
      <c r="L21" s="4">
        <v>99999</v>
      </c>
      <c r="M21" s="4">
        <v>0</v>
      </c>
      <c r="N21" s="4">
        <v>1</v>
      </c>
      <c r="P21" s="2" t="s">
        <v>37</v>
      </c>
      <c r="Q21" s="5" t="s">
        <v>38</v>
      </c>
      <c r="R21" s="4">
        <v>50</v>
      </c>
      <c r="S21">
        <v>5500</v>
      </c>
      <c r="U21" s="4"/>
    </row>
    <row r="22" spans="1:22" x14ac:dyDescent="0.15">
      <c r="A22">
        <v>210</v>
      </c>
      <c r="B22" s="4">
        <v>2</v>
      </c>
      <c r="C22" s="4">
        <v>10</v>
      </c>
      <c r="D22" s="4">
        <v>6</v>
      </c>
      <c r="E22" s="4">
        <v>4</v>
      </c>
      <c r="F22">
        <v>5052301</v>
      </c>
      <c r="G22" s="4">
        <v>0</v>
      </c>
      <c r="H22" s="4">
        <v>50</v>
      </c>
      <c r="I22" s="4">
        <v>3</v>
      </c>
      <c r="J22">
        <v>4500</v>
      </c>
      <c r="K22" s="4">
        <v>0</v>
      </c>
      <c r="L22" s="4">
        <v>99999</v>
      </c>
      <c r="M22" s="4">
        <v>0</v>
      </c>
      <c r="N22" s="4">
        <v>1</v>
      </c>
      <c r="P22" s="2" t="s">
        <v>37</v>
      </c>
      <c r="Q22" s="5" t="s">
        <v>38</v>
      </c>
      <c r="R22" s="4">
        <v>50</v>
      </c>
      <c r="S22">
        <v>5500</v>
      </c>
      <c r="T22">
        <v>5052500</v>
      </c>
    </row>
    <row r="23" spans="1:22" x14ac:dyDescent="0.15">
      <c r="A23">
        <v>211</v>
      </c>
      <c r="B23" s="4">
        <v>2</v>
      </c>
      <c r="C23" s="4">
        <v>11</v>
      </c>
      <c r="D23" s="4">
        <v>6</v>
      </c>
      <c r="E23" s="4">
        <v>4</v>
      </c>
      <c r="F23" s="4">
        <v>5053401</v>
      </c>
      <c r="G23" s="4">
        <v>0</v>
      </c>
      <c r="H23" s="4">
        <v>50</v>
      </c>
      <c r="I23" s="4">
        <v>3</v>
      </c>
      <c r="J23">
        <v>4500</v>
      </c>
      <c r="K23" s="4">
        <v>0</v>
      </c>
      <c r="L23" s="4">
        <v>99999</v>
      </c>
      <c r="M23" s="4">
        <v>0</v>
      </c>
      <c r="N23" s="4">
        <v>1</v>
      </c>
      <c r="P23" s="2" t="s">
        <v>37</v>
      </c>
      <c r="Q23" s="5" t="s">
        <v>38</v>
      </c>
      <c r="R23" s="4">
        <v>50</v>
      </c>
      <c r="S23">
        <v>5500</v>
      </c>
    </row>
    <row r="24" spans="1:22" x14ac:dyDescent="0.15">
      <c r="A24">
        <v>212</v>
      </c>
      <c r="B24" s="4">
        <v>2</v>
      </c>
      <c r="C24" s="4">
        <v>12</v>
      </c>
      <c r="D24" s="4">
        <v>6</v>
      </c>
      <c r="E24" s="4">
        <v>1</v>
      </c>
      <c r="F24" s="4">
        <v>0</v>
      </c>
      <c r="G24" s="4">
        <v>5</v>
      </c>
      <c r="H24" s="4">
        <v>50</v>
      </c>
      <c r="I24" s="4">
        <v>3</v>
      </c>
      <c r="J24" s="4">
        <v>2000</v>
      </c>
      <c r="K24" s="4">
        <v>0</v>
      </c>
      <c r="L24" s="4">
        <v>99999</v>
      </c>
      <c r="M24" s="4">
        <v>0</v>
      </c>
      <c r="N24" s="4">
        <v>1</v>
      </c>
      <c r="P24" s="2" t="s">
        <v>37</v>
      </c>
      <c r="Q24" s="5" t="s">
        <v>38</v>
      </c>
      <c r="R24" s="4">
        <v>50</v>
      </c>
      <c r="S24" s="4">
        <v>2000</v>
      </c>
    </row>
    <row r="25" spans="1:22" x14ac:dyDescent="0.15">
      <c r="A25">
        <v>301</v>
      </c>
      <c r="B25" s="4">
        <v>3</v>
      </c>
      <c r="C25" s="4">
        <v>1</v>
      </c>
      <c r="D25" s="4">
        <v>7</v>
      </c>
      <c r="E25">
        <v>29</v>
      </c>
      <c r="F25" s="4">
        <v>0</v>
      </c>
      <c r="G25" s="4">
        <v>0</v>
      </c>
      <c r="H25">
        <v>1</v>
      </c>
      <c r="I25">
        <v>4</v>
      </c>
      <c r="J25">
        <v>500</v>
      </c>
      <c r="K25" s="4">
        <v>0</v>
      </c>
      <c r="L25" s="4">
        <v>99999</v>
      </c>
      <c r="M25">
        <v>1</v>
      </c>
      <c r="N25" s="4">
        <v>1</v>
      </c>
      <c r="P25" s="2" t="s">
        <v>39</v>
      </c>
      <c r="Q25" s="2" t="s">
        <v>40</v>
      </c>
      <c r="R25" s="4">
        <v>1</v>
      </c>
      <c r="S25">
        <f>20*T25</f>
        <v>500</v>
      </c>
      <c r="T25">
        <v>25</v>
      </c>
      <c r="U25" s="2" t="s">
        <v>41</v>
      </c>
      <c r="V25">
        <v>10</v>
      </c>
    </row>
    <row r="26" spans="1:22" x14ac:dyDescent="0.15">
      <c r="A26">
        <v>302</v>
      </c>
      <c r="B26" s="4">
        <v>3</v>
      </c>
      <c r="C26" s="4">
        <v>1</v>
      </c>
      <c r="D26" s="4">
        <v>7</v>
      </c>
      <c r="E26">
        <v>33</v>
      </c>
      <c r="F26" s="4">
        <v>0</v>
      </c>
      <c r="G26" s="4">
        <v>0</v>
      </c>
      <c r="H26">
        <v>1</v>
      </c>
      <c r="I26">
        <v>4</v>
      </c>
      <c r="J26">
        <v>1000</v>
      </c>
      <c r="K26" s="4">
        <v>0</v>
      </c>
      <c r="L26" s="4">
        <v>99999</v>
      </c>
      <c r="M26">
        <v>1</v>
      </c>
      <c r="N26" s="4">
        <v>1</v>
      </c>
      <c r="P26" s="2" t="s">
        <v>39</v>
      </c>
      <c r="Q26" s="2" t="s">
        <v>42</v>
      </c>
      <c r="R26" s="4">
        <v>1</v>
      </c>
      <c r="S26">
        <f t="shared" ref="S26:S56" si="0">20*T26</f>
        <v>1000</v>
      </c>
      <c r="T26">
        <v>50</v>
      </c>
      <c r="U26" s="2" t="s">
        <v>43</v>
      </c>
      <c r="V26">
        <v>2</v>
      </c>
    </row>
    <row r="27" spans="1:22" x14ac:dyDescent="0.15">
      <c r="A27">
        <v>303</v>
      </c>
      <c r="B27" s="4">
        <v>3</v>
      </c>
      <c r="C27" s="4">
        <v>1</v>
      </c>
      <c r="D27" s="4">
        <v>7</v>
      </c>
      <c r="E27">
        <v>37</v>
      </c>
      <c r="F27" s="4">
        <v>0</v>
      </c>
      <c r="G27" s="4">
        <v>0</v>
      </c>
      <c r="H27">
        <v>1</v>
      </c>
      <c r="I27">
        <v>4</v>
      </c>
      <c r="J27">
        <v>1500</v>
      </c>
      <c r="K27" s="4">
        <v>0</v>
      </c>
      <c r="L27" s="4">
        <v>99999</v>
      </c>
      <c r="M27">
        <v>1</v>
      </c>
      <c r="N27" s="4">
        <v>1</v>
      </c>
      <c r="P27" s="2" t="s">
        <v>39</v>
      </c>
      <c r="Q27" s="2" t="s">
        <v>44</v>
      </c>
      <c r="R27" s="4">
        <v>1</v>
      </c>
      <c r="S27">
        <f t="shared" si="0"/>
        <v>1500</v>
      </c>
      <c r="T27">
        <v>75</v>
      </c>
    </row>
    <row r="28" spans="1:22" x14ac:dyDescent="0.15">
      <c r="A28">
        <v>304</v>
      </c>
      <c r="B28" s="4">
        <v>3</v>
      </c>
      <c r="C28" s="4">
        <v>1</v>
      </c>
      <c r="D28" s="4">
        <v>7</v>
      </c>
      <c r="E28">
        <v>41</v>
      </c>
      <c r="F28" s="4">
        <v>0</v>
      </c>
      <c r="G28" s="4">
        <v>0</v>
      </c>
      <c r="H28">
        <v>1</v>
      </c>
      <c r="I28">
        <v>4</v>
      </c>
      <c r="J28">
        <v>2000</v>
      </c>
      <c r="K28" s="4">
        <v>0</v>
      </c>
      <c r="L28" s="4">
        <v>99999</v>
      </c>
      <c r="M28">
        <v>1</v>
      </c>
      <c r="N28" s="4">
        <v>1</v>
      </c>
      <c r="P28" s="2" t="s">
        <v>39</v>
      </c>
      <c r="Q28" s="2" t="s">
        <v>45</v>
      </c>
      <c r="R28" s="4">
        <v>1</v>
      </c>
      <c r="S28">
        <f t="shared" si="0"/>
        <v>2000</v>
      </c>
      <c r="T28">
        <v>100</v>
      </c>
    </row>
    <row r="29" spans="1:22" x14ac:dyDescent="0.15">
      <c r="A29">
        <v>305</v>
      </c>
      <c r="B29" s="4">
        <v>3</v>
      </c>
      <c r="C29" s="4">
        <v>2</v>
      </c>
      <c r="D29" s="4">
        <v>7</v>
      </c>
      <c r="E29">
        <v>30</v>
      </c>
      <c r="F29" s="4">
        <v>0</v>
      </c>
      <c r="G29" s="4">
        <v>0</v>
      </c>
      <c r="H29">
        <v>1</v>
      </c>
      <c r="I29">
        <v>4</v>
      </c>
      <c r="J29">
        <v>500</v>
      </c>
      <c r="K29" s="4">
        <v>0</v>
      </c>
      <c r="L29" s="4">
        <v>99999</v>
      </c>
      <c r="M29">
        <v>1</v>
      </c>
      <c r="N29" s="4">
        <v>1</v>
      </c>
      <c r="P29" s="2" t="s">
        <v>39</v>
      </c>
      <c r="Q29" s="2" t="s">
        <v>46</v>
      </c>
      <c r="R29" s="4">
        <v>1</v>
      </c>
      <c r="S29">
        <f t="shared" si="0"/>
        <v>500</v>
      </c>
      <c r="T29">
        <v>25</v>
      </c>
    </row>
    <row r="30" spans="1:22" x14ac:dyDescent="0.15">
      <c r="A30">
        <v>306</v>
      </c>
      <c r="B30" s="4">
        <v>3</v>
      </c>
      <c r="C30" s="4">
        <v>2</v>
      </c>
      <c r="D30" s="4">
        <v>7</v>
      </c>
      <c r="E30">
        <v>34</v>
      </c>
      <c r="F30" s="4">
        <v>0</v>
      </c>
      <c r="G30" s="4">
        <v>0</v>
      </c>
      <c r="H30">
        <v>1</v>
      </c>
      <c r="I30">
        <v>4</v>
      </c>
      <c r="J30">
        <v>1000</v>
      </c>
      <c r="K30" s="4">
        <v>0</v>
      </c>
      <c r="L30" s="4">
        <v>99999</v>
      </c>
      <c r="M30">
        <v>1</v>
      </c>
      <c r="N30" s="4">
        <v>1</v>
      </c>
      <c r="P30" s="2" t="s">
        <v>39</v>
      </c>
      <c r="Q30" s="2" t="s">
        <v>47</v>
      </c>
      <c r="R30" s="4">
        <v>1</v>
      </c>
      <c r="S30">
        <f t="shared" si="0"/>
        <v>1000</v>
      </c>
      <c r="T30">
        <v>50</v>
      </c>
    </row>
    <row r="31" spans="1:22" x14ac:dyDescent="0.15">
      <c r="A31">
        <v>307</v>
      </c>
      <c r="B31" s="4">
        <v>3</v>
      </c>
      <c r="C31" s="4">
        <v>2</v>
      </c>
      <c r="D31" s="4">
        <v>7</v>
      </c>
      <c r="E31">
        <v>38</v>
      </c>
      <c r="F31" s="4">
        <v>0</v>
      </c>
      <c r="G31" s="4">
        <v>0</v>
      </c>
      <c r="H31">
        <v>1</v>
      </c>
      <c r="I31">
        <v>4</v>
      </c>
      <c r="J31">
        <v>1500</v>
      </c>
      <c r="K31" s="4">
        <v>0</v>
      </c>
      <c r="L31" s="4">
        <v>99999</v>
      </c>
      <c r="M31">
        <v>1</v>
      </c>
      <c r="N31" s="4">
        <v>1</v>
      </c>
      <c r="P31" s="2" t="s">
        <v>39</v>
      </c>
      <c r="Q31" s="2" t="s">
        <v>48</v>
      </c>
      <c r="R31" s="4">
        <v>1</v>
      </c>
      <c r="S31">
        <f t="shared" si="0"/>
        <v>1500</v>
      </c>
      <c r="T31">
        <v>75</v>
      </c>
    </row>
    <row r="32" spans="1:22" x14ac:dyDescent="0.15">
      <c r="A32">
        <v>308</v>
      </c>
      <c r="B32" s="4">
        <v>3</v>
      </c>
      <c r="C32" s="4">
        <v>2</v>
      </c>
      <c r="D32" s="4">
        <v>7</v>
      </c>
      <c r="E32">
        <v>42</v>
      </c>
      <c r="F32" s="4">
        <v>0</v>
      </c>
      <c r="G32" s="4">
        <v>0</v>
      </c>
      <c r="H32">
        <v>1</v>
      </c>
      <c r="I32">
        <v>4</v>
      </c>
      <c r="J32">
        <v>2000</v>
      </c>
      <c r="K32" s="4">
        <v>0</v>
      </c>
      <c r="L32" s="4">
        <v>99999</v>
      </c>
      <c r="M32">
        <v>1</v>
      </c>
      <c r="N32" s="4">
        <v>1</v>
      </c>
      <c r="P32" s="2" t="s">
        <v>39</v>
      </c>
      <c r="Q32" s="2" t="s">
        <v>49</v>
      </c>
      <c r="R32" s="4">
        <v>1</v>
      </c>
      <c r="S32">
        <f t="shared" si="0"/>
        <v>2000</v>
      </c>
      <c r="T32">
        <v>100</v>
      </c>
    </row>
    <row r="33" spans="1:20" x14ac:dyDescent="0.15">
      <c r="A33">
        <v>309</v>
      </c>
      <c r="B33" s="4">
        <v>3</v>
      </c>
      <c r="C33" s="4">
        <v>3</v>
      </c>
      <c r="D33" s="4">
        <v>7</v>
      </c>
      <c r="E33">
        <v>31</v>
      </c>
      <c r="F33" s="4">
        <v>0</v>
      </c>
      <c r="G33" s="4">
        <v>0</v>
      </c>
      <c r="H33">
        <v>1</v>
      </c>
      <c r="I33">
        <v>4</v>
      </c>
      <c r="J33">
        <v>500</v>
      </c>
      <c r="K33" s="4">
        <v>0</v>
      </c>
      <c r="L33" s="4">
        <v>99999</v>
      </c>
      <c r="M33">
        <v>1</v>
      </c>
      <c r="N33" s="4">
        <v>1</v>
      </c>
      <c r="P33" s="2" t="s">
        <v>39</v>
      </c>
      <c r="Q33" s="2" t="s">
        <v>50</v>
      </c>
      <c r="R33" s="4">
        <v>1</v>
      </c>
      <c r="S33">
        <f t="shared" si="0"/>
        <v>500</v>
      </c>
      <c r="T33">
        <v>25</v>
      </c>
    </row>
    <row r="34" spans="1:20" x14ac:dyDescent="0.15">
      <c r="A34">
        <v>310</v>
      </c>
      <c r="B34" s="4">
        <v>3</v>
      </c>
      <c r="C34" s="4">
        <v>3</v>
      </c>
      <c r="D34" s="4">
        <v>7</v>
      </c>
      <c r="E34">
        <v>35</v>
      </c>
      <c r="F34" s="4">
        <v>0</v>
      </c>
      <c r="G34" s="4">
        <v>0</v>
      </c>
      <c r="H34">
        <v>1</v>
      </c>
      <c r="I34">
        <v>4</v>
      </c>
      <c r="J34">
        <v>1000</v>
      </c>
      <c r="K34" s="4">
        <v>0</v>
      </c>
      <c r="L34" s="4">
        <v>99999</v>
      </c>
      <c r="M34">
        <v>1</v>
      </c>
      <c r="N34" s="4">
        <v>1</v>
      </c>
      <c r="P34" s="2" t="s">
        <v>39</v>
      </c>
      <c r="Q34" s="2" t="s">
        <v>51</v>
      </c>
      <c r="R34" s="4">
        <v>1</v>
      </c>
      <c r="S34">
        <f t="shared" si="0"/>
        <v>1000</v>
      </c>
      <c r="T34">
        <v>50</v>
      </c>
    </row>
    <row r="35" spans="1:20" x14ac:dyDescent="0.15">
      <c r="A35">
        <v>311</v>
      </c>
      <c r="B35" s="4">
        <v>3</v>
      </c>
      <c r="C35" s="4">
        <v>3</v>
      </c>
      <c r="D35" s="4">
        <v>7</v>
      </c>
      <c r="E35">
        <v>39</v>
      </c>
      <c r="F35" s="4">
        <v>0</v>
      </c>
      <c r="G35" s="4">
        <v>0</v>
      </c>
      <c r="H35">
        <v>1</v>
      </c>
      <c r="I35">
        <v>4</v>
      </c>
      <c r="J35">
        <v>1500</v>
      </c>
      <c r="K35" s="4">
        <v>0</v>
      </c>
      <c r="L35" s="4">
        <v>99999</v>
      </c>
      <c r="M35">
        <v>1</v>
      </c>
      <c r="N35" s="4">
        <v>1</v>
      </c>
      <c r="P35" s="2" t="s">
        <v>39</v>
      </c>
      <c r="Q35" s="2" t="s">
        <v>52</v>
      </c>
      <c r="R35" s="4">
        <v>1</v>
      </c>
      <c r="S35">
        <f t="shared" si="0"/>
        <v>1500</v>
      </c>
      <c r="T35">
        <v>75</v>
      </c>
    </row>
    <row r="36" spans="1:20" x14ac:dyDescent="0.15">
      <c r="A36">
        <v>312</v>
      </c>
      <c r="B36" s="4">
        <v>3</v>
      </c>
      <c r="C36" s="4">
        <v>3</v>
      </c>
      <c r="D36" s="4">
        <v>7</v>
      </c>
      <c r="E36">
        <v>43</v>
      </c>
      <c r="F36" s="4">
        <v>0</v>
      </c>
      <c r="G36" s="4">
        <v>0</v>
      </c>
      <c r="H36">
        <v>1</v>
      </c>
      <c r="I36">
        <v>4</v>
      </c>
      <c r="J36">
        <v>2000</v>
      </c>
      <c r="K36" s="4">
        <v>0</v>
      </c>
      <c r="L36" s="4">
        <v>99999</v>
      </c>
      <c r="M36">
        <v>1</v>
      </c>
      <c r="N36" s="4">
        <v>1</v>
      </c>
      <c r="P36" s="2" t="s">
        <v>39</v>
      </c>
      <c r="Q36" s="2" t="s">
        <v>53</v>
      </c>
      <c r="R36" s="4">
        <v>1</v>
      </c>
      <c r="S36">
        <f t="shared" si="0"/>
        <v>2000</v>
      </c>
      <c r="T36">
        <v>100</v>
      </c>
    </row>
    <row r="37" spans="1:20" x14ac:dyDescent="0.15">
      <c r="A37">
        <v>313</v>
      </c>
      <c r="B37" s="4">
        <v>3</v>
      </c>
      <c r="C37" s="4">
        <v>4</v>
      </c>
      <c r="D37" s="4">
        <v>7</v>
      </c>
      <c r="E37">
        <v>32</v>
      </c>
      <c r="F37" s="4">
        <v>0</v>
      </c>
      <c r="G37" s="4">
        <v>0</v>
      </c>
      <c r="H37">
        <v>1</v>
      </c>
      <c r="I37">
        <v>4</v>
      </c>
      <c r="J37">
        <v>500</v>
      </c>
      <c r="K37" s="4">
        <v>0</v>
      </c>
      <c r="L37" s="4">
        <v>99999</v>
      </c>
      <c r="M37">
        <v>1</v>
      </c>
      <c r="N37" s="4">
        <v>1</v>
      </c>
      <c r="P37" s="2" t="s">
        <v>39</v>
      </c>
      <c r="Q37" s="2" t="s">
        <v>54</v>
      </c>
      <c r="R37" s="4">
        <v>1</v>
      </c>
      <c r="S37">
        <f t="shared" si="0"/>
        <v>500</v>
      </c>
      <c r="T37">
        <v>25</v>
      </c>
    </row>
    <row r="38" spans="1:20" x14ac:dyDescent="0.15">
      <c r="A38">
        <v>314</v>
      </c>
      <c r="B38" s="4">
        <v>3</v>
      </c>
      <c r="C38" s="4">
        <v>4</v>
      </c>
      <c r="D38" s="4">
        <v>7</v>
      </c>
      <c r="E38">
        <v>36</v>
      </c>
      <c r="F38" s="4">
        <v>0</v>
      </c>
      <c r="G38" s="4">
        <v>0</v>
      </c>
      <c r="H38">
        <v>1</v>
      </c>
      <c r="I38">
        <v>4</v>
      </c>
      <c r="J38">
        <v>1000</v>
      </c>
      <c r="K38" s="4">
        <v>0</v>
      </c>
      <c r="L38" s="4">
        <v>99999</v>
      </c>
      <c r="M38">
        <v>1</v>
      </c>
      <c r="N38" s="4">
        <v>1</v>
      </c>
      <c r="P38" s="2" t="s">
        <v>39</v>
      </c>
      <c r="Q38" s="2" t="s">
        <v>55</v>
      </c>
      <c r="R38" s="4">
        <v>1</v>
      </c>
      <c r="S38">
        <f t="shared" si="0"/>
        <v>1000</v>
      </c>
      <c r="T38">
        <v>50</v>
      </c>
    </row>
    <row r="39" spans="1:20" x14ac:dyDescent="0.15">
      <c r="A39">
        <v>315</v>
      </c>
      <c r="B39" s="4">
        <v>3</v>
      </c>
      <c r="C39" s="4">
        <v>4</v>
      </c>
      <c r="D39" s="4">
        <v>7</v>
      </c>
      <c r="E39">
        <v>40</v>
      </c>
      <c r="F39" s="4">
        <v>0</v>
      </c>
      <c r="G39" s="4">
        <v>0</v>
      </c>
      <c r="H39">
        <v>1</v>
      </c>
      <c r="I39">
        <v>4</v>
      </c>
      <c r="J39">
        <v>1500</v>
      </c>
      <c r="K39" s="4">
        <v>0</v>
      </c>
      <c r="L39" s="4">
        <v>99999</v>
      </c>
      <c r="M39">
        <v>1</v>
      </c>
      <c r="N39" s="4">
        <v>1</v>
      </c>
      <c r="P39" s="2" t="s">
        <v>39</v>
      </c>
      <c r="Q39" s="2" t="s">
        <v>56</v>
      </c>
      <c r="R39" s="4">
        <v>1</v>
      </c>
      <c r="S39">
        <f t="shared" si="0"/>
        <v>1500</v>
      </c>
      <c r="T39">
        <v>75</v>
      </c>
    </row>
    <row r="40" spans="1:20" x14ac:dyDescent="0.15">
      <c r="A40">
        <v>316</v>
      </c>
      <c r="B40" s="4">
        <v>3</v>
      </c>
      <c r="C40" s="4">
        <v>4</v>
      </c>
      <c r="D40" s="4">
        <v>7</v>
      </c>
      <c r="E40">
        <v>44</v>
      </c>
      <c r="F40" s="4">
        <v>0</v>
      </c>
      <c r="G40" s="4">
        <v>0</v>
      </c>
      <c r="H40">
        <v>1</v>
      </c>
      <c r="I40">
        <v>4</v>
      </c>
      <c r="J40">
        <v>2000</v>
      </c>
      <c r="K40" s="4">
        <v>0</v>
      </c>
      <c r="L40" s="4">
        <v>99999</v>
      </c>
      <c r="M40">
        <v>1</v>
      </c>
      <c r="N40" s="4">
        <v>1</v>
      </c>
      <c r="P40" s="2" t="s">
        <v>39</v>
      </c>
      <c r="Q40" s="2" t="s">
        <v>57</v>
      </c>
      <c r="R40" s="4">
        <v>1</v>
      </c>
      <c r="S40">
        <f t="shared" si="0"/>
        <v>2000</v>
      </c>
      <c r="T40">
        <v>100</v>
      </c>
    </row>
    <row r="41" spans="1:20" x14ac:dyDescent="0.15">
      <c r="A41">
        <v>317</v>
      </c>
      <c r="B41" s="4">
        <v>3</v>
      </c>
      <c r="C41" s="4">
        <v>5</v>
      </c>
      <c r="D41" s="4">
        <v>7</v>
      </c>
      <c r="E41" s="4">
        <v>45</v>
      </c>
      <c r="F41" s="4">
        <v>0</v>
      </c>
      <c r="G41" s="4">
        <v>0</v>
      </c>
      <c r="H41">
        <v>1</v>
      </c>
      <c r="I41">
        <v>4</v>
      </c>
      <c r="J41">
        <v>4000</v>
      </c>
      <c r="K41" s="4">
        <v>0</v>
      </c>
      <c r="L41" s="4">
        <v>99999</v>
      </c>
      <c r="M41">
        <v>1</v>
      </c>
      <c r="N41" s="4">
        <v>1</v>
      </c>
      <c r="P41" s="2" t="s">
        <v>39</v>
      </c>
      <c r="Q41" s="2" t="s">
        <v>58</v>
      </c>
      <c r="R41" s="4">
        <v>1</v>
      </c>
      <c r="S41">
        <f t="shared" si="0"/>
        <v>4000</v>
      </c>
      <c r="T41">
        <v>200</v>
      </c>
    </row>
    <row r="42" spans="1:20" x14ac:dyDescent="0.15">
      <c r="A42">
        <v>318</v>
      </c>
      <c r="B42" s="4">
        <v>3</v>
      </c>
      <c r="C42" s="4">
        <v>5</v>
      </c>
      <c r="D42" s="4">
        <v>7</v>
      </c>
      <c r="E42" s="4">
        <v>49</v>
      </c>
      <c r="F42" s="4">
        <v>0</v>
      </c>
      <c r="G42" s="4">
        <v>0</v>
      </c>
      <c r="H42">
        <v>1</v>
      </c>
      <c r="I42">
        <v>4</v>
      </c>
      <c r="J42">
        <v>5000</v>
      </c>
      <c r="K42" s="4">
        <v>0</v>
      </c>
      <c r="L42" s="4">
        <v>99999</v>
      </c>
      <c r="M42">
        <v>1</v>
      </c>
      <c r="N42" s="4">
        <v>1</v>
      </c>
      <c r="P42" s="2" t="s">
        <v>39</v>
      </c>
      <c r="Q42" s="2" t="s">
        <v>59</v>
      </c>
      <c r="R42" s="4">
        <v>1</v>
      </c>
      <c r="S42">
        <f t="shared" si="0"/>
        <v>5000</v>
      </c>
      <c r="T42">
        <v>250</v>
      </c>
    </row>
    <row r="43" spans="1:20" x14ac:dyDescent="0.15">
      <c r="A43">
        <v>319</v>
      </c>
      <c r="B43" s="4">
        <v>3</v>
      </c>
      <c r="C43" s="4">
        <v>5</v>
      </c>
      <c r="D43" s="4">
        <v>7</v>
      </c>
      <c r="E43" s="4">
        <v>53</v>
      </c>
      <c r="F43" s="4">
        <v>0</v>
      </c>
      <c r="G43" s="4">
        <v>0</v>
      </c>
      <c r="H43">
        <v>1</v>
      </c>
      <c r="I43">
        <v>4</v>
      </c>
      <c r="J43">
        <v>6000</v>
      </c>
      <c r="K43" s="4">
        <v>0</v>
      </c>
      <c r="L43" s="4">
        <v>99999</v>
      </c>
      <c r="M43">
        <v>1</v>
      </c>
      <c r="N43" s="4">
        <v>1</v>
      </c>
      <c r="P43" s="2" t="s">
        <v>39</v>
      </c>
      <c r="Q43" s="2" t="s">
        <v>60</v>
      </c>
      <c r="R43" s="4">
        <v>1</v>
      </c>
      <c r="S43">
        <f t="shared" si="0"/>
        <v>6000</v>
      </c>
      <c r="T43">
        <v>300</v>
      </c>
    </row>
    <row r="44" spans="1:20" x14ac:dyDescent="0.15">
      <c r="A44">
        <v>320</v>
      </c>
      <c r="B44" s="4">
        <v>3</v>
      </c>
      <c r="C44" s="4">
        <v>5</v>
      </c>
      <c r="D44" s="4">
        <v>7</v>
      </c>
      <c r="E44" s="4">
        <v>57</v>
      </c>
      <c r="F44" s="4">
        <v>0</v>
      </c>
      <c r="G44" s="4">
        <v>0</v>
      </c>
      <c r="H44">
        <v>1</v>
      </c>
      <c r="I44">
        <v>4</v>
      </c>
      <c r="J44">
        <v>8000</v>
      </c>
      <c r="K44" s="4">
        <v>0</v>
      </c>
      <c r="L44" s="4">
        <v>99999</v>
      </c>
      <c r="M44">
        <v>1</v>
      </c>
      <c r="N44" s="4">
        <v>1</v>
      </c>
      <c r="P44" s="2" t="s">
        <v>39</v>
      </c>
      <c r="Q44" s="2" t="s">
        <v>61</v>
      </c>
      <c r="R44" s="4">
        <v>1</v>
      </c>
      <c r="S44">
        <f t="shared" si="0"/>
        <v>8000</v>
      </c>
      <c r="T44">
        <v>400</v>
      </c>
    </row>
    <row r="45" spans="1:20" x14ac:dyDescent="0.15">
      <c r="A45">
        <v>321</v>
      </c>
      <c r="B45" s="4">
        <v>3</v>
      </c>
      <c r="C45" s="4">
        <v>6</v>
      </c>
      <c r="D45" s="4">
        <v>7</v>
      </c>
      <c r="E45" s="4">
        <v>46</v>
      </c>
      <c r="F45" s="4">
        <v>0</v>
      </c>
      <c r="G45" s="4">
        <v>0</v>
      </c>
      <c r="H45">
        <v>1</v>
      </c>
      <c r="I45">
        <v>4</v>
      </c>
      <c r="J45">
        <v>4000</v>
      </c>
      <c r="K45" s="4">
        <v>0</v>
      </c>
      <c r="L45" s="4">
        <v>99999</v>
      </c>
      <c r="M45">
        <v>1</v>
      </c>
      <c r="N45" s="4">
        <v>1</v>
      </c>
      <c r="P45" s="2" t="s">
        <v>39</v>
      </c>
      <c r="Q45" s="2" t="s">
        <v>62</v>
      </c>
      <c r="R45" s="4">
        <v>1</v>
      </c>
      <c r="S45">
        <f t="shared" si="0"/>
        <v>4000</v>
      </c>
      <c r="T45">
        <v>200</v>
      </c>
    </row>
    <row r="46" spans="1:20" x14ac:dyDescent="0.15">
      <c r="A46">
        <v>322</v>
      </c>
      <c r="B46" s="4">
        <v>3</v>
      </c>
      <c r="C46" s="4">
        <v>6</v>
      </c>
      <c r="D46" s="4">
        <v>7</v>
      </c>
      <c r="E46" s="4">
        <v>50</v>
      </c>
      <c r="F46" s="4">
        <v>0</v>
      </c>
      <c r="G46" s="4">
        <v>0</v>
      </c>
      <c r="H46">
        <v>1</v>
      </c>
      <c r="I46">
        <v>4</v>
      </c>
      <c r="J46">
        <v>5000</v>
      </c>
      <c r="K46" s="4">
        <v>0</v>
      </c>
      <c r="L46" s="4">
        <v>99999</v>
      </c>
      <c r="M46">
        <v>1</v>
      </c>
      <c r="N46" s="4">
        <v>1</v>
      </c>
      <c r="P46" s="2" t="s">
        <v>39</v>
      </c>
      <c r="Q46" s="2" t="s">
        <v>63</v>
      </c>
      <c r="R46" s="4">
        <v>1</v>
      </c>
      <c r="S46">
        <f t="shared" si="0"/>
        <v>5000</v>
      </c>
      <c r="T46">
        <v>250</v>
      </c>
    </row>
    <row r="47" spans="1:20" x14ac:dyDescent="0.15">
      <c r="A47">
        <v>323</v>
      </c>
      <c r="B47" s="4">
        <v>3</v>
      </c>
      <c r="C47" s="4">
        <v>6</v>
      </c>
      <c r="D47" s="4">
        <v>7</v>
      </c>
      <c r="E47" s="4">
        <v>54</v>
      </c>
      <c r="F47" s="4">
        <v>0</v>
      </c>
      <c r="G47" s="4">
        <v>0</v>
      </c>
      <c r="H47">
        <v>1</v>
      </c>
      <c r="I47">
        <v>4</v>
      </c>
      <c r="J47">
        <v>6000</v>
      </c>
      <c r="K47" s="4">
        <v>0</v>
      </c>
      <c r="L47" s="4">
        <v>99999</v>
      </c>
      <c r="M47">
        <v>1</v>
      </c>
      <c r="N47" s="4">
        <v>1</v>
      </c>
      <c r="P47" s="2" t="s">
        <v>39</v>
      </c>
      <c r="Q47" s="2" t="s">
        <v>64</v>
      </c>
      <c r="R47" s="4">
        <v>1</v>
      </c>
      <c r="S47">
        <f t="shared" si="0"/>
        <v>6000</v>
      </c>
      <c r="T47">
        <v>300</v>
      </c>
    </row>
    <row r="48" spans="1:20" x14ac:dyDescent="0.15">
      <c r="A48">
        <v>324</v>
      </c>
      <c r="B48" s="4">
        <v>3</v>
      </c>
      <c r="C48" s="4">
        <v>6</v>
      </c>
      <c r="D48" s="4">
        <v>7</v>
      </c>
      <c r="E48" s="4">
        <v>58</v>
      </c>
      <c r="F48" s="4">
        <v>0</v>
      </c>
      <c r="G48" s="4">
        <v>0</v>
      </c>
      <c r="H48">
        <v>1</v>
      </c>
      <c r="I48">
        <v>4</v>
      </c>
      <c r="J48">
        <v>8000</v>
      </c>
      <c r="K48" s="4">
        <v>0</v>
      </c>
      <c r="L48" s="4">
        <v>99999</v>
      </c>
      <c r="M48">
        <v>1</v>
      </c>
      <c r="N48" s="4">
        <v>1</v>
      </c>
      <c r="P48" s="2" t="s">
        <v>39</v>
      </c>
      <c r="Q48" s="2" t="s">
        <v>65</v>
      </c>
      <c r="R48" s="4">
        <v>1</v>
      </c>
      <c r="S48">
        <f t="shared" si="0"/>
        <v>8000</v>
      </c>
      <c r="T48">
        <v>400</v>
      </c>
    </row>
    <row r="49" spans="1:20" x14ac:dyDescent="0.15">
      <c r="A49">
        <v>325</v>
      </c>
      <c r="B49" s="4">
        <v>3</v>
      </c>
      <c r="C49" s="4">
        <v>7</v>
      </c>
      <c r="D49" s="4">
        <v>7</v>
      </c>
      <c r="E49" s="4">
        <v>47</v>
      </c>
      <c r="F49" s="4">
        <v>0</v>
      </c>
      <c r="G49" s="4">
        <v>0</v>
      </c>
      <c r="H49">
        <v>1</v>
      </c>
      <c r="I49">
        <v>4</v>
      </c>
      <c r="J49">
        <v>4000</v>
      </c>
      <c r="K49" s="4">
        <v>0</v>
      </c>
      <c r="L49" s="4">
        <v>99999</v>
      </c>
      <c r="M49">
        <v>1</v>
      </c>
      <c r="N49" s="4">
        <v>1</v>
      </c>
      <c r="P49" s="2" t="s">
        <v>39</v>
      </c>
      <c r="Q49" s="2" t="s">
        <v>66</v>
      </c>
      <c r="R49" s="4">
        <v>1</v>
      </c>
      <c r="S49">
        <f t="shared" si="0"/>
        <v>4000</v>
      </c>
      <c r="T49">
        <v>200</v>
      </c>
    </row>
    <row r="50" spans="1:20" x14ac:dyDescent="0.15">
      <c r="A50">
        <v>326</v>
      </c>
      <c r="B50" s="4">
        <v>3</v>
      </c>
      <c r="C50" s="4">
        <v>7</v>
      </c>
      <c r="D50" s="4">
        <v>7</v>
      </c>
      <c r="E50" s="4">
        <v>51</v>
      </c>
      <c r="F50" s="4">
        <v>0</v>
      </c>
      <c r="G50" s="4">
        <v>0</v>
      </c>
      <c r="H50">
        <v>1</v>
      </c>
      <c r="I50">
        <v>4</v>
      </c>
      <c r="J50">
        <v>5000</v>
      </c>
      <c r="K50" s="4">
        <v>0</v>
      </c>
      <c r="L50" s="4">
        <v>99999</v>
      </c>
      <c r="M50">
        <v>1</v>
      </c>
      <c r="N50" s="4">
        <v>1</v>
      </c>
      <c r="P50" s="2" t="s">
        <v>39</v>
      </c>
      <c r="Q50" s="2" t="s">
        <v>67</v>
      </c>
      <c r="R50" s="4">
        <v>1</v>
      </c>
      <c r="S50">
        <f t="shared" si="0"/>
        <v>5000</v>
      </c>
      <c r="T50">
        <v>250</v>
      </c>
    </row>
    <row r="51" spans="1:20" x14ac:dyDescent="0.15">
      <c r="A51">
        <v>327</v>
      </c>
      <c r="B51" s="4">
        <v>3</v>
      </c>
      <c r="C51" s="4">
        <v>7</v>
      </c>
      <c r="D51" s="4">
        <v>7</v>
      </c>
      <c r="E51" s="4">
        <v>55</v>
      </c>
      <c r="F51" s="4">
        <v>0</v>
      </c>
      <c r="G51" s="4">
        <v>0</v>
      </c>
      <c r="H51">
        <v>1</v>
      </c>
      <c r="I51">
        <v>4</v>
      </c>
      <c r="J51">
        <v>6000</v>
      </c>
      <c r="K51" s="4">
        <v>0</v>
      </c>
      <c r="L51" s="4">
        <v>99999</v>
      </c>
      <c r="M51">
        <v>1</v>
      </c>
      <c r="N51" s="4">
        <v>1</v>
      </c>
      <c r="P51" s="2" t="s">
        <v>39</v>
      </c>
      <c r="Q51" s="2" t="s">
        <v>68</v>
      </c>
      <c r="R51" s="4">
        <v>1</v>
      </c>
      <c r="S51">
        <f t="shared" si="0"/>
        <v>6000</v>
      </c>
      <c r="T51">
        <v>300</v>
      </c>
    </row>
    <row r="52" spans="1:20" x14ac:dyDescent="0.15">
      <c r="A52">
        <v>328</v>
      </c>
      <c r="B52" s="4">
        <v>3</v>
      </c>
      <c r="C52" s="4">
        <v>7</v>
      </c>
      <c r="D52" s="4">
        <v>7</v>
      </c>
      <c r="E52" s="4">
        <v>59</v>
      </c>
      <c r="F52" s="4">
        <v>0</v>
      </c>
      <c r="G52" s="4">
        <v>0</v>
      </c>
      <c r="H52">
        <v>1</v>
      </c>
      <c r="I52">
        <v>4</v>
      </c>
      <c r="J52">
        <v>8000</v>
      </c>
      <c r="K52" s="4">
        <v>0</v>
      </c>
      <c r="L52" s="4">
        <v>99999</v>
      </c>
      <c r="M52">
        <v>1</v>
      </c>
      <c r="N52" s="4">
        <v>1</v>
      </c>
      <c r="P52" s="2" t="s">
        <v>39</v>
      </c>
      <c r="Q52" s="2" t="s">
        <v>69</v>
      </c>
      <c r="R52" s="4">
        <v>1</v>
      </c>
      <c r="S52">
        <f t="shared" si="0"/>
        <v>8000</v>
      </c>
      <c r="T52">
        <v>400</v>
      </c>
    </row>
    <row r="53" spans="1:20" x14ac:dyDescent="0.15">
      <c r="A53">
        <v>329</v>
      </c>
      <c r="B53" s="4">
        <v>3</v>
      </c>
      <c r="C53" s="4">
        <v>8</v>
      </c>
      <c r="D53" s="4">
        <v>7</v>
      </c>
      <c r="E53" s="4">
        <v>48</v>
      </c>
      <c r="F53" s="4">
        <v>0</v>
      </c>
      <c r="G53" s="4">
        <v>0</v>
      </c>
      <c r="H53">
        <v>1</v>
      </c>
      <c r="I53">
        <v>4</v>
      </c>
      <c r="J53">
        <v>4000</v>
      </c>
      <c r="K53" s="4">
        <v>0</v>
      </c>
      <c r="L53" s="4">
        <v>99999</v>
      </c>
      <c r="M53">
        <v>1</v>
      </c>
      <c r="N53" s="4">
        <v>1</v>
      </c>
      <c r="P53" s="2" t="s">
        <v>39</v>
      </c>
      <c r="Q53" s="2" t="s">
        <v>70</v>
      </c>
      <c r="R53" s="4">
        <v>1</v>
      </c>
      <c r="S53">
        <f t="shared" si="0"/>
        <v>4000</v>
      </c>
      <c r="T53">
        <v>200</v>
      </c>
    </row>
    <row r="54" spans="1:20" x14ac:dyDescent="0.15">
      <c r="A54">
        <v>330</v>
      </c>
      <c r="B54" s="4">
        <v>3</v>
      </c>
      <c r="C54" s="4">
        <v>8</v>
      </c>
      <c r="D54" s="4">
        <v>7</v>
      </c>
      <c r="E54" s="4">
        <v>52</v>
      </c>
      <c r="F54" s="4">
        <v>0</v>
      </c>
      <c r="G54" s="4">
        <v>0</v>
      </c>
      <c r="H54">
        <v>1</v>
      </c>
      <c r="I54">
        <v>4</v>
      </c>
      <c r="J54">
        <v>5000</v>
      </c>
      <c r="K54" s="4">
        <v>0</v>
      </c>
      <c r="L54" s="4">
        <v>99999</v>
      </c>
      <c r="M54">
        <v>1</v>
      </c>
      <c r="N54" s="4">
        <v>1</v>
      </c>
      <c r="P54" s="2" t="s">
        <v>39</v>
      </c>
      <c r="Q54" s="2" t="s">
        <v>71</v>
      </c>
      <c r="R54" s="4">
        <v>1</v>
      </c>
      <c r="S54">
        <f t="shared" si="0"/>
        <v>5000</v>
      </c>
      <c r="T54">
        <v>250</v>
      </c>
    </row>
    <row r="55" spans="1:20" x14ac:dyDescent="0.15">
      <c r="A55">
        <v>331</v>
      </c>
      <c r="B55" s="4">
        <v>3</v>
      </c>
      <c r="C55" s="4">
        <v>8</v>
      </c>
      <c r="D55" s="4">
        <v>7</v>
      </c>
      <c r="E55" s="4">
        <v>56</v>
      </c>
      <c r="F55" s="4">
        <v>0</v>
      </c>
      <c r="G55" s="4">
        <v>0</v>
      </c>
      <c r="H55">
        <v>1</v>
      </c>
      <c r="I55">
        <v>4</v>
      </c>
      <c r="J55">
        <v>6000</v>
      </c>
      <c r="K55" s="4">
        <v>0</v>
      </c>
      <c r="L55" s="4">
        <v>99999</v>
      </c>
      <c r="M55">
        <v>1</v>
      </c>
      <c r="N55" s="4">
        <v>1</v>
      </c>
      <c r="P55" s="2" t="s">
        <v>39</v>
      </c>
      <c r="Q55" s="2" t="s">
        <v>72</v>
      </c>
      <c r="R55" s="4">
        <v>1</v>
      </c>
      <c r="S55">
        <f t="shared" si="0"/>
        <v>6000</v>
      </c>
      <c r="T55">
        <v>300</v>
      </c>
    </row>
    <row r="56" spans="1:20" x14ac:dyDescent="0.15">
      <c r="A56">
        <v>332</v>
      </c>
      <c r="B56" s="4">
        <v>3</v>
      </c>
      <c r="C56" s="4">
        <v>8</v>
      </c>
      <c r="D56" s="4">
        <v>7</v>
      </c>
      <c r="E56" s="4">
        <v>60</v>
      </c>
      <c r="F56" s="4">
        <v>0</v>
      </c>
      <c r="G56" s="4">
        <v>0</v>
      </c>
      <c r="H56">
        <v>1</v>
      </c>
      <c r="I56">
        <v>4</v>
      </c>
      <c r="J56">
        <v>8000</v>
      </c>
      <c r="K56" s="4">
        <v>0</v>
      </c>
      <c r="L56" s="4">
        <v>99999</v>
      </c>
      <c r="M56">
        <v>1</v>
      </c>
      <c r="N56" s="4">
        <v>1</v>
      </c>
      <c r="P56" s="2" t="s">
        <v>39</v>
      </c>
      <c r="Q56" s="2" t="s">
        <v>73</v>
      </c>
      <c r="R56" s="4">
        <v>1</v>
      </c>
      <c r="S56">
        <f t="shared" si="0"/>
        <v>8000</v>
      </c>
      <c r="T56">
        <v>400</v>
      </c>
    </row>
    <row r="57" spans="1:20" x14ac:dyDescent="0.15">
      <c r="A57">
        <v>401</v>
      </c>
      <c r="B57" s="4">
        <v>4</v>
      </c>
      <c r="C57" s="4">
        <v>14</v>
      </c>
      <c r="D57" s="4">
        <v>9</v>
      </c>
      <c r="E57" s="4">
        <v>0</v>
      </c>
      <c r="F57" s="4">
        <v>0</v>
      </c>
      <c r="G57" s="4">
        <v>0</v>
      </c>
      <c r="H57" s="4">
        <v>50</v>
      </c>
      <c r="I57" s="4">
        <v>5</v>
      </c>
      <c r="J57">
        <v>100</v>
      </c>
      <c r="K57" s="4">
        <v>0</v>
      </c>
      <c r="L57" s="4">
        <v>99999</v>
      </c>
      <c r="M57" s="4">
        <v>0</v>
      </c>
      <c r="N57" s="4">
        <v>1</v>
      </c>
      <c r="P57" s="2" t="s">
        <v>74</v>
      </c>
      <c r="Q57" s="2" t="s">
        <v>35</v>
      </c>
      <c r="R57" s="4">
        <v>50</v>
      </c>
      <c r="S57">
        <v>100</v>
      </c>
    </row>
    <row r="58" spans="1:20" x14ac:dyDescent="0.15">
      <c r="A58">
        <v>402</v>
      </c>
      <c r="B58" s="4">
        <v>4</v>
      </c>
      <c r="C58" s="7">
        <v>15</v>
      </c>
      <c r="D58" s="4">
        <v>9</v>
      </c>
      <c r="E58" s="4">
        <v>0</v>
      </c>
      <c r="F58" s="4">
        <v>0</v>
      </c>
      <c r="G58" s="4">
        <v>0</v>
      </c>
      <c r="H58" s="4">
        <v>500</v>
      </c>
      <c r="I58" s="4">
        <v>5</v>
      </c>
      <c r="J58">
        <v>1000</v>
      </c>
      <c r="K58" s="4">
        <v>0</v>
      </c>
      <c r="L58" s="4">
        <v>99999</v>
      </c>
      <c r="M58" s="4">
        <v>0</v>
      </c>
      <c r="N58" s="4">
        <v>1</v>
      </c>
      <c r="P58" s="2" t="s">
        <v>74</v>
      </c>
      <c r="Q58" s="2" t="s">
        <v>35</v>
      </c>
      <c r="R58" s="4">
        <v>500</v>
      </c>
      <c r="S58">
        <v>1000</v>
      </c>
    </row>
    <row r="59" spans="1:20" x14ac:dyDescent="0.15">
      <c r="A59">
        <v>403</v>
      </c>
      <c r="B59" s="4">
        <v>4</v>
      </c>
      <c r="C59" s="4">
        <v>11</v>
      </c>
      <c r="D59" s="4">
        <v>6</v>
      </c>
      <c r="E59" s="4">
        <v>2</v>
      </c>
      <c r="F59" s="4">
        <v>1</v>
      </c>
      <c r="G59" s="4">
        <v>3</v>
      </c>
      <c r="H59" s="4">
        <v>20</v>
      </c>
      <c r="I59" s="4">
        <v>5</v>
      </c>
      <c r="J59">
        <v>1000</v>
      </c>
      <c r="K59" s="4">
        <v>0</v>
      </c>
      <c r="L59" s="4">
        <v>99999</v>
      </c>
      <c r="M59" s="4">
        <v>0</v>
      </c>
      <c r="N59" s="4">
        <v>1</v>
      </c>
      <c r="P59" s="2" t="s">
        <v>74</v>
      </c>
      <c r="Q59" s="2" t="s">
        <v>75</v>
      </c>
      <c r="R59" s="4">
        <v>20</v>
      </c>
      <c r="S59">
        <v>1000</v>
      </c>
    </row>
    <row r="60" spans="1:20" x14ac:dyDescent="0.15">
      <c r="A60">
        <v>404</v>
      </c>
      <c r="B60" s="4">
        <v>4</v>
      </c>
      <c r="C60" s="4">
        <v>12</v>
      </c>
      <c r="D60" s="4">
        <v>6</v>
      </c>
      <c r="E60" s="4">
        <v>2</v>
      </c>
      <c r="F60" s="4">
        <v>2</v>
      </c>
      <c r="G60" s="4">
        <v>3</v>
      </c>
      <c r="H60" s="4">
        <v>20</v>
      </c>
      <c r="I60" s="4">
        <v>5</v>
      </c>
      <c r="J60">
        <v>1000</v>
      </c>
      <c r="K60" s="4">
        <v>0</v>
      </c>
      <c r="L60" s="4">
        <v>99999</v>
      </c>
      <c r="M60" s="4">
        <v>0</v>
      </c>
      <c r="N60" s="4">
        <v>1</v>
      </c>
      <c r="P60" s="2" t="s">
        <v>74</v>
      </c>
      <c r="Q60" s="2" t="s">
        <v>76</v>
      </c>
      <c r="R60" s="4">
        <v>20</v>
      </c>
      <c r="S60">
        <v>1000</v>
      </c>
    </row>
    <row r="61" spans="1:20" x14ac:dyDescent="0.15">
      <c r="A61">
        <v>405</v>
      </c>
      <c r="B61" s="4">
        <v>4</v>
      </c>
      <c r="C61" s="4">
        <v>13</v>
      </c>
      <c r="D61" s="4">
        <v>6</v>
      </c>
      <c r="E61" s="4">
        <v>2</v>
      </c>
      <c r="F61" s="4">
        <v>3</v>
      </c>
      <c r="G61" s="4">
        <v>3</v>
      </c>
      <c r="H61" s="4">
        <v>20</v>
      </c>
      <c r="I61" s="4">
        <v>5</v>
      </c>
      <c r="J61">
        <v>1000</v>
      </c>
      <c r="K61" s="4">
        <v>0</v>
      </c>
      <c r="L61" s="4">
        <v>99999</v>
      </c>
      <c r="M61" s="4">
        <v>0</v>
      </c>
      <c r="N61" s="4">
        <v>1</v>
      </c>
      <c r="P61" s="2" t="s">
        <v>74</v>
      </c>
      <c r="Q61" s="2" t="s">
        <v>77</v>
      </c>
      <c r="R61" s="4">
        <v>20</v>
      </c>
      <c r="S61">
        <v>1000</v>
      </c>
    </row>
    <row r="62" spans="1:20" x14ac:dyDescent="0.15">
      <c r="A62">
        <v>406</v>
      </c>
      <c r="B62" s="4">
        <v>4</v>
      </c>
      <c r="C62" s="4">
        <v>5</v>
      </c>
      <c r="D62" s="4">
        <v>6</v>
      </c>
      <c r="E62" s="4">
        <v>4</v>
      </c>
      <c r="F62" s="4">
        <v>5051401</v>
      </c>
      <c r="G62" s="4">
        <v>0</v>
      </c>
      <c r="H62" s="4">
        <v>50</v>
      </c>
      <c r="I62" s="4">
        <v>5</v>
      </c>
      <c r="J62">
        <v>45000</v>
      </c>
      <c r="K62" s="4">
        <v>0</v>
      </c>
      <c r="L62" s="4">
        <v>99999</v>
      </c>
      <c r="M62" s="4">
        <v>0</v>
      </c>
      <c r="N62" s="4">
        <v>1</v>
      </c>
      <c r="P62" s="2" t="s">
        <v>74</v>
      </c>
      <c r="Q62" s="2" t="s">
        <v>78</v>
      </c>
      <c r="R62" s="4">
        <v>1</v>
      </c>
      <c r="S62">
        <v>40000</v>
      </c>
    </row>
    <row r="63" spans="1:20" x14ac:dyDescent="0.15">
      <c r="A63">
        <v>407</v>
      </c>
      <c r="B63" s="4">
        <v>4</v>
      </c>
      <c r="C63" s="4">
        <v>7</v>
      </c>
      <c r="D63" s="4">
        <v>6</v>
      </c>
      <c r="E63" s="4">
        <v>4</v>
      </c>
      <c r="F63" s="4">
        <v>5052200</v>
      </c>
      <c r="G63" s="4">
        <v>0</v>
      </c>
      <c r="H63" s="4">
        <v>50</v>
      </c>
      <c r="I63" s="4">
        <v>5</v>
      </c>
      <c r="J63">
        <v>45000</v>
      </c>
      <c r="K63" s="4">
        <v>0</v>
      </c>
      <c r="L63" s="4">
        <v>99999</v>
      </c>
      <c r="M63" s="4">
        <v>0</v>
      </c>
      <c r="N63" s="4">
        <v>1</v>
      </c>
      <c r="P63" s="2" t="s">
        <v>74</v>
      </c>
      <c r="Q63" s="2" t="s">
        <v>79</v>
      </c>
      <c r="R63" s="4">
        <v>1</v>
      </c>
      <c r="S63">
        <v>45000</v>
      </c>
    </row>
    <row r="64" spans="1:20" x14ac:dyDescent="0.15">
      <c r="A64">
        <v>408</v>
      </c>
      <c r="B64" s="4">
        <v>4</v>
      </c>
      <c r="C64" s="4">
        <v>3</v>
      </c>
      <c r="D64" s="4">
        <v>6</v>
      </c>
      <c r="E64" s="4">
        <v>4</v>
      </c>
      <c r="F64" s="4">
        <v>5054602</v>
      </c>
      <c r="G64" s="4">
        <v>0</v>
      </c>
      <c r="H64" s="4">
        <v>50</v>
      </c>
      <c r="I64" s="4">
        <v>5</v>
      </c>
      <c r="J64">
        <v>60000</v>
      </c>
      <c r="K64" s="4">
        <v>0</v>
      </c>
      <c r="L64" s="4">
        <v>99999</v>
      </c>
      <c r="M64" s="4">
        <v>0</v>
      </c>
      <c r="N64" s="4">
        <v>1</v>
      </c>
      <c r="P64" s="2" t="s">
        <v>74</v>
      </c>
      <c r="Q64" s="5" t="s">
        <v>80</v>
      </c>
      <c r="R64" s="4">
        <v>1</v>
      </c>
      <c r="S64">
        <v>45000</v>
      </c>
    </row>
    <row r="65" spans="1:22" x14ac:dyDescent="0.15">
      <c r="A65">
        <v>409</v>
      </c>
      <c r="B65" s="4">
        <v>4</v>
      </c>
      <c r="C65" s="4">
        <v>4</v>
      </c>
      <c r="D65" s="4">
        <v>6</v>
      </c>
      <c r="E65" s="4">
        <v>4</v>
      </c>
      <c r="F65" s="4">
        <v>5055400</v>
      </c>
      <c r="G65" s="4">
        <v>0</v>
      </c>
      <c r="H65" s="4">
        <v>50</v>
      </c>
      <c r="I65" s="4">
        <v>5</v>
      </c>
      <c r="J65" s="4">
        <v>60000</v>
      </c>
      <c r="K65" s="4">
        <v>0</v>
      </c>
      <c r="L65" s="4">
        <v>99999</v>
      </c>
      <c r="M65" s="4">
        <v>0</v>
      </c>
      <c r="N65" s="4">
        <v>1</v>
      </c>
      <c r="P65" s="2" t="s">
        <v>74</v>
      </c>
      <c r="Q65" s="5" t="s">
        <v>81</v>
      </c>
      <c r="R65" s="4">
        <v>1</v>
      </c>
      <c r="S65">
        <v>60000</v>
      </c>
    </row>
    <row r="66" spans="1:22" x14ac:dyDescent="0.15">
      <c r="A66">
        <v>410</v>
      </c>
      <c r="B66" s="4">
        <v>4</v>
      </c>
      <c r="C66" s="4">
        <v>1</v>
      </c>
      <c r="D66" s="4">
        <v>6</v>
      </c>
      <c r="E66" s="4">
        <v>4</v>
      </c>
      <c r="F66" s="4">
        <v>5051201</v>
      </c>
      <c r="G66" s="4">
        <v>0</v>
      </c>
      <c r="H66" s="4">
        <v>50</v>
      </c>
      <c r="I66" s="4">
        <v>5</v>
      </c>
      <c r="J66" s="4">
        <v>60000</v>
      </c>
      <c r="K66" s="4">
        <v>0</v>
      </c>
      <c r="L66" s="4">
        <v>99999</v>
      </c>
      <c r="M66" s="4">
        <v>0</v>
      </c>
      <c r="N66" s="4">
        <v>1</v>
      </c>
      <c r="P66" s="2" t="s">
        <v>74</v>
      </c>
      <c r="Q66" s="5"/>
      <c r="R66" s="4"/>
    </row>
    <row r="67" spans="1:22" x14ac:dyDescent="0.15">
      <c r="A67">
        <v>411</v>
      </c>
      <c r="B67" s="4">
        <v>4</v>
      </c>
      <c r="C67" s="4">
        <v>6</v>
      </c>
      <c r="D67" s="4">
        <v>6</v>
      </c>
      <c r="E67" s="4">
        <v>4</v>
      </c>
      <c r="F67" s="4">
        <v>5051301</v>
      </c>
      <c r="G67" s="4">
        <v>0</v>
      </c>
      <c r="H67" s="4">
        <v>50</v>
      </c>
      <c r="I67" s="4">
        <v>5</v>
      </c>
      <c r="J67" s="4">
        <v>40000</v>
      </c>
      <c r="K67" s="4">
        <v>0</v>
      </c>
      <c r="L67" s="4">
        <v>99999</v>
      </c>
      <c r="M67" s="4">
        <v>0</v>
      </c>
      <c r="N67" s="4">
        <v>1</v>
      </c>
      <c r="P67" s="2" t="s">
        <v>74</v>
      </c>
      <c r="Q67" s="5"/>
      <c r="R67" s="4"/>
    </row>
    <row r="68" spans="1:22" x14ac:dyDescent="0.15">
      <c r="A68">
        <v>412</v>
      </c>
      <c r="B68" s="4">
        <v>4</v>
      </c>
      <c r="C68" s="4">
        <v>9</v>
      </c>
      <c r="D68" s="4">
        <v>6</v>
      </c>
      <c r="E68" s="4">
        <v>4</v>
      </c>
      <c r="F68" s="4">
        <v>5053201</v>
      </c>
      <c r="G68" s="4">
        <v>0</v>
      </c>
      <c r="H68" s="4">
        <v>50</v>
      </c>
      <c r="I68" s="4">
        <v>5</v>
      </c>
      <c r="J68" s="4">
        <v>45000</v>
      </c>
      <c r="K68" s="4">
        <v>0</v>
      </c>
      <c r="L68" s="4">
        <v>99999</v>
      </c>
      <c r="M68" s="4">
        <v>0</v>
      </c>
      <c r="N68" s="4">
        <v>1</v>
      </c>
      <c r="P68" s="2" t="s">
        <v>74</v>
      </c>
      <c r="Q68" s="5"/>
      <c r="R68" s="4"/>
    </row>
    <row r="69" spans="1:22" x14ac:dyDescent="0.15">
      <c r="A69">
        <v>413</v>
      </c>
      <c r="B69" s="4">
        <v>4</v>
      </c>
      <c r="C69" s="4">
        <v>10</v>
      </c>
      <c r="D69" s="4">
        <v>6</v>
      </c>
      <c r="E69" s="4">
        <v>4</v>
      </c>
      <c r="F69" s="4">
        <v>5053500</v>
      </c>
      <c r="G69" s="4">
        <v>0</v>
      </c>
      <c r="H69" s="4">
        <v>50</v>
      </c>
      <c r="I69" s="4">
        <v>5</v>
      </c>
      <c r="J69" s="4">
        <v>45000</v>
      </c>
      <c r="K69" s="4">
        <v>0</v>
      </c>
      <c r="L69" s="4">
        <v>99999</v>
      </c>
      <c r="M69" s="4">
        <v>0</v>
      </c>
      <c r="N69" s="4">
        <v>1</v>
      </c>
      <c r="P69" s="2" t="s">
        <v>74</v>
      </c>
      <c r="Q69" s="5"/>
      <c r="R69" s="4"/>
    </row>
    <row r="70" spans="1:22" x14ac:dyDescent="0.15">
      <c r="A70">
        <v>414</v>
      </c>
      <c r="B70" s="4">
        <v>4</v>
      </c>
      <c r="C70" s="4">
        <v>8</v>
      </c>
      <c r="D70" s="4">
        <v>6</v>
      </c>
      <c r="E70" s="4">
        <v>4</v>
      </c>
      <c r="F70" s="4">
        <v>5052500</v>
      </c>
      <c r="G70" s="4">
        <v>0</v>
      </c>
      <c r="H70" s="4">
        <v>50</v>
      </c>
      <c r="I70" s="4">
        <v>5</v>
      </c>
      <c r="J70" s="4">
        <v>45000</v>
      </c>
      <c r="K70" s="4">
        <v>0</v>
      </c>
      <c r="L70" s="4">
        <v>99999</v>
      </c>
      <c r="M70" s="4">
        <v>0</v>
      </c>
      <c r="N70" s="4">
        <v>1</v>
      </c>
      <c r="P70" s="2" t="s">
        <v>74</v>
      </c>
      <c r="Q70" s="5"/>
      <c r="R70" s="4"/>
    </row>
    <row r="71" spans="1:22" x14ac:dyDescent="0.15">
      <c r="A71">
        <v>415</v>
      </c>
      <c r="B71" s="4">
        <v>4</v>
      </c>
      <c r="C71" s="4">
        <v>2</v>
      </c>
      <c r="D71" s="4">
        <v>6</v>
      </c>
      <c r="E71" s="4">
        <v>4</v>
      </c>
      <c r="F71" s="4">
        <v>5052601</v>
      </c>
      <c r="G71" s="4">
        <v>0</v>
      </c>
      <c r="H71" s="4">
        <v>50</v>
      </c>
      <c r="I71" s="4">
        <v>5</v>
      </c>
      <c r="J71" s="4">
        <v>60000</v>
      </c>
      <c r="K71" s="4">
        <v>0</v>
      </c>
      <c r="L71" s="4">
        <v>99999</v>
      </c>
      <c r="M71" s="4">
        <v>0</v>
      </c>
      <c r="N71" s="4">
        <v>1</v>
      </c>
      <c r="P71" s="2" t="s">
        <v>74</v>
      </c>
      <c r="Q71" s="5"/>
      <c r="R71" s="4"/>
    </row>
    <row r="72" spans="1:22" x14ac:dyDescent="0.15">
      <c r="A72">
        <v>501</v>
      </c>
      <c r="B72" s="4">
        <v>5</v>
      </c>
      <c r="C72" s="4">
        <v>1</v>
      </c>
      <c r="D72" s="4">
        <v>6</v>
      </c>
      <c r="E72" s="4">
        <v>4</v>
      </c>
      <c r="F72" s="4">
        <v>5051601</v>
      </c>
      <c r="G72" s="4">
        <v>0</v>
      </c>
      <c r="H72" s="4">
        <v>50</v>
      </c>
      <c r="I72" s="4">
        <v>6</v>
      </c>
      <c r="J72" s="4">
        <v>20000</v>
      </c>
      <c r="K72" s="4">
        <v>0</v>
      </c>
      <c r="L72" s="4">
        <v>99999</v>
      </c>
      <c r="M72" s="4">
        <v>0</v>
      </c>
      <c r="N72" s="4">
        <v>1</v>
      </c>
      <c r="P72" s="2" t="s">
        <v>82</v>
      </c>
      <c r="Q72" s="2" t="s">
        <v>83</v>
      </c>
      <c r="R72" s="4">
        <v>1</v>
      </c>
      <c r="S72">
        <f>300*T72</f>
        <v>15000</v>
      </c>
      <c r="T72">
        <v>50</v>
      </c>
      <c r="U72" s="2" t="s">
        <v>84</v>
      </c>
      <c r="V72">
        <v>50</v>
      </c>
    </row>
    <row r="73" spans="1:22" x14ac:dyDescent="0.15">
      <c r="A73">
        <v>502</v>
      </c>
      <c r="B73" s="4">
        <v>5</v>
      </c>
      <c r="C73" s="4">
        <v>2</v>
      </c>
      <c r="D73" s="4">
        <v>6</v>
      </c>
      <c r="E73" s="4">
        <v>4</v>
      </c>
      <c r="F73" s="4">
        <v>5052401</v>
      </c>
      <c r="G73" s="4">
        <v>0</v>
      </c>
      <c r="H73" s="4">
        <v>50</v>
      </c>
      <c r="I73" s="4">
        <v>6</v>
      </c>
      <c r="J73" s="4">
        <v>20000</v>
      </c>
      <c r="K73" s="4">
        <v>0</v>
      </c>
      <c r="L73" s="4">
        <v>99999</v>
      </c>
      <c r="M73" s="4">
        <v>0</v>
      </c>
      <c r="N73" s="4">
        <v>1</v>
      </c>
      <c r="P73" s="2" t="s">
        <v>82</v>
      </c>
      <c r="Q73" s="2" t="s">
        <v>85</v>
      </c>
      <c r="R73" s="4">
        <v>1</v>
      </c>
      <c r="S73">
        <f t="shared" ref="S73:S104" si="1">300*T73</f>
        <v>15000</v>
      </c>
      <c r="T73">
        <v>50</v>
      </c>
      <c r="U73" s="2" t="s">
        <v>86</v>
      </c>
      <c r="V73">
        <v>50</v>
      </c>
    </row>
    <row r="74" spans="1:22" x14ac:dyDescent="0.15">
      <c r="A74">
        <v>503</v>
      </c>
      <c r="B74" s="4">
        <v>5</v>
      </c>
      <c r="C74" s="4">
        <v>4</v>
      </c>
      <c r="D74" s="4">
        <v>6</v>
      </c>
      <c r="E74" s="4">
        <v>4</v>
      </c>
      <c r="F74" s="4">
        <v>5053202</v>
      </c>
      <c r="G74" s="4">
        <v>0</v>
      </c>
      <c r="H74" s="4">
        <v>50</v>
      </c>
      <c r="I74" s="4">
        <v>6</v>
      </c>
      <c r="J74" s="4">
        <v>30000</v>
      </c>
      <c r="K74" s="4">
        <v>0</v>
      </c>
      <c r="L74" s="4">
        <v>99999</v>
      </c>
      <c r="M74" s="4">
        <v>0</v>
      </c>
      <c r="N74" s="4">
        <v>1</v>
      </c>
      <c r="P74" s="2" t="s">
        <v>82</v>
      </c>
      <c r="Q74" s="2" t="s">
        <v>87</v>
      </c>
      <c r="R74" s="4">
        <v>1</v>
      </c>
      <c r="S74">
        <f t="shared" si="1"/>
        <v>15000</v>
      </c>
      <c r="T74">
        <v>50</v>
      </c>
      <c r="U74" s="2" t="s">
        <v>88</v>
      </c>
      <c r="V74">
        <v>200</v>
      </c>
    </row>
    <row r="75" spans="1:22" x14ac:dyDescent="0.15">
      <c r="A75">
        <v>504</v>
      </c>
      <c r="B75" s="4">
        <v>5</v>
      </c>
      <c r="C75" s="4">
        <v>8</v>
      </c>
      <c r="D75" s="4">
        <v>6</v>
      </c>
      <c r="E75" s="4">
        <v>4</v>
      </c>
      <c r="F75" s="4">
        <v>5054501</v>
      </c>
      <c r="G75" s="4">
        <v>0</v>
      </c>
      <c r="H75" s="4">
        <v>50</v>
      </c>
      <c r="I75" s="4">
        <v>6</v>
      </c>
      <c r="J75" s="4">
        <v>40000</v>
      </c>
      <c r="K75" s="4">
        <v>0</v>
      </c>
      <c r="L75" s="4">
        <v>99999</v>
      </c>
      <c r="M75" s="4">
        <v>0</v>
      </c>
      <c r="N75" s="4">
        <v>1</v>
      </c>
      <c r="P75" s="2" t="s">
        <v>82</v>
      </c>
      <c r="Q75" s="2" t="s">
        <v>89</v>
      </c>
      <c r="R75" s="4">
        <v>1</v>
      </c>
      <c r="S75">
        <f t="shared" si="1"/>
        <v>15000</v>
      </c>
      <c r="T75">
        <v>50</v>
      </c>
    </row>
    <row r="76" spans="1:22" x14ac:dyDescent="0.15">
      <c r="A76">
        <v>505</v>
      </c>
      <c r="B76" s="4">
        <v>5</v>
      </c>
      <c r="C76" s="4">
        <v>9</v>
      </c>
      <c r="D76" s="4">
        <v>6</v>
      </c>
      <c r="E76" s="4">
        <v>4</v>
      </c>
      <c r="F76" s="4">
        <v>5055300</v>
      </c>
      <c r="G76" s="4">
        <v>0</v>
      </c>
      <c r="H76" s="4">
        <v>50</v>
      </c>
      <c r="I76" s="4">
        <v>6</v>
      </c>
      <c r="J76" s="4">
        <v>40000</v>
      </c>
      <c r="K76" s="4">
        <v>0</v>
      </c>
      <c r="L76" s="4">
        <v>99999</v>
      </c>
      <c r="M76" s="4">
        <v>0</v>
      </c>
      <c r="N76" s="4">
        <v>1</v>
      </c>
      <c r="P76" s="2" t="s">
        <v>82</v>
      </c>
      <c r="Q76" s="2" t="s">
        <v>90</v>
      </c>
      <c r="R76" s="4">
        <v>1</v>
      </c>
      <c r="S76">
        <f t="shared" si="1"/>
        <v>15000</v>
      </c>
      <c r="T76">
        <v>50</v>
      </c>
    </row>
    <row r="77" spans="1:22" x14ac:dyDescent="0.15">
      <c r="A77">
        <v>506</v>
      </c>
      <c r="B77" s="4">
        <v>5</v>
      </c>
      <c r="C77" s="4">
        <v>13</v>
      </c>
      <c r="D77" s="4">
        <v>7</v>
      </c>
      <c r="E77" s="4">
        <v>21</v>
      </c>
      <c r="F77" s="4">
        <v>0</v>
      </c>
      <c r="G77" s="4">
        <v>0</v>
      </c>
      <c r="H77" s="4">
        <v>1</v>
      </c>
      <c r="I77" s="4">
        <v>6</v>
      </c>
      <c r="J77" s="4">
        <v>600</v>
      </c>
      <c r="K77" s="4">
        <v>0</v>
      </c>
      <c r="L77" s="4">
        <v>420</v>
      </c>
      <c r="M77" s="4">
        <v>1</v>
      </c>
      <c r="N77" s="4">
        <v>1</v>
      </c>
      <c r="P77" s="2" t="s">
        <v>82</v>
      </c>
      <c r="Q77" s="2" t="s">
        <v>91</v>
      </c>
      <c r="R77" s="4">
        <v>1</v>
      </c>
      <c r="S77">
        <f t="shared" si="1"/>
        <v>600</v>
      </c>
      <c r="T77">
        <v>2</v>
      </c>
    </row>
    <row r="78" spans="1:22" x14ac:dyDescent="0.15">
      <c r="A78">
        <v>507</v>
      </c>
      <c r="B78" s="4">
        <v>5</v>
      </c>
      <c r="C78" s="4">
        <v>13</v>
      </c>
      <c r="D78" s="4">
        <v>7</v>
      </c>
      <c r="E78" s="4">
        <v>25</v>
      </c>
      <c r="F78" s="4">
        <v>0</v>
      </c>
      <c r="G78" s="4">
        <v>0</v>
      </c>
      <c r="H78" s="4">
        <v>1</v>
      </c>
      <c r="I78" s="4">
        <v>6</v>
      </c>
      <c r="J78" s="4">
        <v>1500</v>
      </c>
      <c r="K78" s="4">
        <v>420</v>
      </c>
      <c r="L78" s="4">
        <v>630</v>
      </c>
      <c r="M78" s="4">
        <v>1</v>
      </c>
      <c r="N78" s="4">
        <v>1</v>
      </c>
      <c r="P78" s="2" t="s">
        <v>82</v>
      </c>
      <c r="Q78" s="2" t="s">
        <v>92</v>
      </c>
      <c r="R78" s="4">
        <v>1</v>
      </c>
      <c r="S78">
        <f t="shared" si="1"/>
        <v>1500</v>
      </c>
      <c r="T78">
        <v>5</v>
      </c>
    </row>
    <row r="79" spans="1:22" x14ac:dyDescent="0.15">
      <c r="A79">
        <v>508</v>
      </c>
      <c r="B79" s="4">
        <v>5</v>
      </c>
      <c r="C79" s="4">
        <v>13</v>
      </c>
      <c r="D79" s="4">
        <v>7</v>
      </c>
      <c r="E79" s="4">
        <v>29</v>
      </c>
      <c r="F79" s="4">
        <v>0</v>
      </c>
      <c r="G79" s="4">
        <v>0</v>
      </c>
      <c r="H79" s="4">
        <v>1</v>
      </c>
      <c r="I79" s="4">
        <v>6</v>
      </c>
      <c r="J79" s="4">
        <v>2100</v>
      </c>
      <c r="K79" s="4">
        <v>630</v>
      </c>
      <c r="L79" s="4">
        <v>840</v>
      </c>
      <c r="M79" s="4">
        <v>1</v>
      </c>
      <c r="N79" s="4">
        <v>1</v>
      </c>
      <c r="P79" s="2" t="s">
        <v>82</v>
      </c>
      <c r="Q79" s="2" t="s">
        <v>40</v>
      </c>
      <c r="R79" s="4">
        <v>1</v>
      </c>
      <c r="S79">
        <f t="shared" si="1"/>
        <v>2100</v>
      </c>
      <c r="T79">
        <v>7</v>
      </c>
    </row>
    <row r="80" spans="1:22" x14ac:dyDescent="0.15">
      <c r="A80">
        <v>509</v>
      </c>
      <c r="B80" s="4">
        <v>5</v>
      </c>
      <c r="C80" s="4">
        <v>13</v>
      </c>
      <c r="D80" s="4">
        <v>7</v>
      </c>
      <c r="E80" s="4">
        <v>33</v>
      </c>
      <c r="F80" s="4">
        <v>0</v>
      </c>
      <c r="G80" s="4">
        <v>0</v>
      </c>
      <c r="H80" s="4">
        <v>1</v>
      </c>
      <c r="I80" s="4">
        <v>6</v>
      </c>
      <c r="J80" s="4">
        <v>3000</v>
      </c>
      <c r="K80" s="4">
        <v>840</v>
      </c>
      <c r="L80" s="4">
        <v>1050</v>
      </c>
      <c r="M80" s="4">
        <v>1</v>
      </c>
      <c r="N80" s="4">
        <v>1</v>
      </c>
      <c r="P80" s="2" t="s">
        <v>82</v>
      </c>
      <c r="Q80" s="2" t="s">
        <v>42</v>
      </c>
      <c r="R80" s="4">
        <v>1</v>
      </c>
      <c r="S80">
        <f t="shared" si="1"/>
        <v>3000</v>
      </c>
      <c r="T80">
        <v>10</v>
      </c>
    </row>
    <row r="81" spans="1:20" x14ac:dyDescent="0.15">
      <c r="A81">
        <v>510</v>
      </c>
      <c r="B81" s="4">
        <v>5</v>
      </c>
      <c r="C81" s="4">
        <v>13</v>
      </c>
      <c r="D81" s="4">
        <v>7</v>
      </c>
      <c r="E81" s="4">
        <v>37</v>
      </c>
      <c r="F81" s="4">
        <v>0</v>
      </c>
      <c r="G81" s="4">
        <v>0</v>
      </c>
      <c r="H81" s="4">
        <v>1</v>
      </c>
      <c r="I81" s="4">
        <v>6</v>
      </c>
      <c r="J81" s="4">
        <v>4500</v>
      </c>
      <c r="K81" s="4">
        <v>1050</v>
      </c>
      <c r="L81" s="4">
        <v>10210</v>
      </c>
      <c r="M81" s="4">
        <v>1</v>
      </c>
      <c r="N81" s="4">
        <v>1</v>
      </c>
      <c r="P81" s="2" t="s">
        <v>82</v>
      </c>
      <c r="Q81" s="2" t="s">
        <v>44</v>
      </c>
      <c r="R81" s="4">
        <v>1</v>
      </c>
      <c r="S81">
        <f t="shared" si="1"/>
        <v>4500</v>
      </c>
      <c r="T81">
        <v>15</v>
      </c>
    </row>
    <row r="82" spans="1:20" x14ac:dyDescent="0.15">
      <c r="A82">
        <v>511</v>
      </c>
      <c r="B82" s="4">
        <v>5</v>
      </c>
      <c r="C82" s="4">
        <v>13</v>
      </c>
      <c r="D82" s="4">
        <v>7</v>
      </c>
      <c r="E82" s="4">
        <v>41</v>
      </c>
      <c r="F82" s="4">
        <v>0</v>
      </c>
      <c r="G82" s="4">
        <v>0</v>
      </c>
      <c r="H82" s="4">
        <v>1</v>
      </c>
      <c r="I82" s="4">
        <v>6</v>
      </c>
      <c r="J82" s="4">
        <v>7500</v>
      </c>
      <c r="K82" s="4">
        <v>10210</v>
      </c>
      <c r="L82" s="4">
        <v>10310</v>
      </c>
      <c r="M82" s="4">
        <v>1</v>
      </c>
      <c r="N82" s="4">
        <v>1</v>
      </c>
      <c r="P82" s="2" t="s">
        <v>82</v>
      </c>
      <c r="Q82" s="2" t="s">
        <v>45</v>
      </c>
      <c r="R82" s="4">
        <v>1</v>
      </c>
      <c r="S82">
        <f t="shared" si="1"/>
        <v>7500</v>
      </c>
      <c r="T82">
        <v>25</v>
      </c>
    </row>
    <row r="83" spans="1:20" x14ac:dyDescent="0.15">
      <c r="A83">
        <v>512</v>
      </c>
      <c r="B83" s="4">
        <v>5</v>
      </c>
      <c r="C83" s="4">
        <v>13</v>
      </c>
      <c r="D83" s="4">
        <v>7</v>
      </c>
      <c r="E83" s="4">
        <v>45</v>
      </c>
      <c r="F83" s="4">
        <v>0</v>
      </c>
      <c r="G83" s="4">
        <v>0</v>
      </c>
      <c r="H83" s="4">
        <v>1</v>
      </c>
      <c r="I83" s="4">
        <v>6</v>
      </c>
      <c r="J83" s="4">
        <v>12000</v>
      </c>
      <c r="K83" s="4">
        <v>10310</v>
      </c>
      <c r="L83" s="4">
        <v>99999</v>
      </c>
      <c r="M83" s="4">
        <v>1</v>
      </c>
      <c r="N83" s="4">
        <v>1</v>
      </c>
      <c r="P83" s="2" t="s">
        <v>82</v>
      </c>
      <c r="Q83" s="2" t="s">
        <v>58</v>
      </c>
      <c r="R83" s="4">
        <v>1</v>
      </c>
      <c r="S83">
        <f t="shared" si="1"/>
        <v>12000</v>
      </c>
      <c r="T83">
        <v>40</v>
      </c>
    </row>
    <row r="84" spans="1:20" x14ac:dyDescent="0.15">
      <c r="A84">
        <v>513</v>
      </c>
      <c r="B84" s="4">
        <v>5</v>
      </c>
      <c r="C84" s="4">
        <v>14</v>
      </c>
      <c r="D84" s="4">
        <v>7</v>
      </c>
      <c r="E84" s="4">
        <v>22</v>
      </c>
      <c r="F84" s="4">
        <v>0</v>
      </c>
      <c r="G84" s="4">
        <v>0</v>
      </c>
      <c r="H84" s="4">
        <v>1</v>
      </c>
      <c r="I84" s="4">
        <v>6</v>
      </c>
      <c r="J84" s="4">
        <v>600</v>
      </c>
      <c r="K84" s="4">
        <v>0</v>
      </c>
      <c r="L84" s="4">
        <v>420</v>
      </c>
      <c r="M84" s="4">
        <v>1</v>
      </c>
      <c r="N84" s="4">
        <v>1</v>
      </c>
      <c r="P84" s="2" t="s">
        <v>82</v>
      </c>
      <c r="Q84" s="2" t="s">
        <v>93</v>
      </c>
      <c r="R84" s="4">
        <v>1</v>
      </c>
      <c r="S84">
        <f t="shared" si="1"/>
        <v>600</v>
      </c>
      <c r="T84">
        <v>2</v>
      </c>
    </row>
    <row r="85" spans="1:20" x14ac:dyDescent="0.15">
      <c r="A85">
        <v>514</v>
      </c>
      <c r="B85" s="4">
        <v>5</v>
      </c>
      <c r="C85" s="4">
        <v>14</v>
      </c>
      <c r="D85" s="4">
        <v>7</v>
      </c>
      <c r="E85" s="4">
        <v>26</v>
      </c>
      <c r="F85" s="4">
        <v>0</v>
      </c>
      <c r="G85" s="4">
        <v>0</v>
      </c>
      <c r="H85" s="4">
        <v>1</v>
      </c>
      <c r="I85" s="4">
        <v>6</v>
      </c>
      <c r="J85" s="4">
        <v>1500</v>
      </c>
      <c r="K85" s="4">
        <v>420</v>
      </c>
      <c r="L85" s="4">
        <v>630</v>
      </c>
      <c r="M85" s="4">
        <v>1</v>
      </c>
      <c r="N85" s="4">
        <v>1</v>
      </c>
      <c r="P85" s="2" t="s">
        <v>82</v>
      </c>
      <c r="Q85" s="2" t="s">
        <v>94</v>
      </c>
      <c r="R85" s="4">
        <v>1</v>
      </c>
      <c r="S85">
        <f t="shared" si="1"/>
        <v>1500</v>
      </c>
      <c r="T85">
        <v>5</v>
      </c>
    </row>
    <row r="86" spans="1:20" x14ac:dyDescent="0.15">
      <c r="A86">
        <v>515</v>
      </c>
      <c r="B86" s="4">
        <v>5</v>
      </c>
      <c r="C86" s="4">
        <v>14</v>
      </c>
      <c r="D86" s="4">
        <v>7</v>
      </c>
      <c r="E86" s="4">
        <v>30</v>
      </c>
      <c r="F86" s="4">
        <v>0</v>
      </c>
      <c r="G86" s="4">
        <v>0</v>
      </c>
      <c r="H86" s="4">
        <v>1</v>
      </c>
      <c r="I86" s="4">
        <v>6</v>
      </c>
      <c r="J86" s="4">
        <v>2100</v>
      </c>
      <c r="K86" s="4">
        <v>630</v>
      </c>
      <c r="L86" s="4">
        <v>840</v>
      </c>
      <c r="M86" s="4">
        <v>1</v>
      </c>
      <c r="N86" s="4">
        <v>1</v>
      </c>
      <c r="P86" s="2" t="s">
        <v>82</v>
      </c>
      <c r="Q86" s="2" t="s">
        <v>46</v>
      </c>
      <c r="R86" s="4">
        <v>1</v>
      </c>
      <c r="S86">
        <f t="shared" si="1"/>
        <v>2100</v>
      </c>
      <c r="T86">
        <v>7</v>
      </c>
    </row>
    <row r="87" spans="1:20" x14ac:dyDescent="0.15">
      <c r="A87">
        <v>516</v>
      </c>
      <c r="B87" s="4">
        <v>5</v>
      </c>
      <c r="C87" s="4">
        <v>14</v>
      </c>
      <c r="D87" s="4">
        <v>7</v>
      </c>
      <c r="E87" s="4">
        <v>34</v>
      </c>
      <c r="F87" s="4">
        <v>0</v>
      </c>
      <c r="G87" s="4">
        <v>0</v>
      </c>
      <c r="H87" s="4">
        <v>1</v>
      </c>
      <c r="I87" s="4">
        <v>6</v>
      </c>
      <c r="J87" s="4">
        <v>3000</v>
      </c>
      <c r="K87" s="4">
        <v>840</v>
      </c>
      <c r="L87" s="4">
        <v>1050</v>
      </c>
      <c r="M87" s="4">
        <v>1</v>
      </c>
      <c r="N87" s="4">
        <v>1</v>
      </c>
      <c r="P87" s="2" t="s">
        <v>82</v>
      </c>
      <c r="Q87" s="2" t="s">
        <v>47</v>
      </c>
      <c r="R87" s="4">
        <v>1</v>
      </c>
      <c r="S87">
        <f t="shared" si="1"/>
        <v>3000</v>
      </c>
      <c r="T87">
        <v>10</v>
      </c>
    </row>
    <row r="88" spans="1:20" x14ac:dyDescent="0.15">
      <c r="A88">
        <v>517</v>
      </c>
      <c r="B88" s="4">
        <v>5</v>
      </c>
      <c r="C88" s="4">
        <v>14</v>
      </c>
      <c r="D88" s="4">
        <v>7</v>
      </c>
      <c r="E88" s="4">
        <v>38</v>
      </c>
      <c r="F88" s="4">
        <v>0</v>
      </c>
      <c r="G88" s="4">
        <v>0</v>
      </c>
      <c r="H88" s="4">
        <v>1</v>
      </c>
      <c r="I88" s="4">
        <v>6</v>
      </c>
      <c r="J88" s="4">
        <v>4500</v>
      </c>
      <c r="K88" s="4">
        <v>1050</v>
      </c>
      <c r="L88" s="4">
        <v>10210</v>
      </c>
      <c r="M88" s="4">
        <v>1</v>
      </c>
      <c r="N88" s="4">
        <v>1</v>
      </c>
      <c r="P88" s="2" t="s">
        <v>82</v>
      </c>
      <c r="Q88" s="2" t="s">
        <v>48</v>
      </c>
      <c r="R88" s="4">
        <v>1</v>
      </c>
      <c r="S88">
        <f t="shared" si="1"/>
        <v>4500</v>
      </c>
      <c r="T88">
        <v>15</v>
      </c>
    </row>
    <row r="89" spans="1:20" x14ac:dyDescent="0.15">
      <c r="A89">
        <v>518</v>
      </c>
      <c r="B89" s="4">
        <v>5</v>
      </c>
      <c r="C89" s="4">
        <v>14</v>
      </c>
      <c r="D89" s="4">
        <v>7</v>
      </c>
      <c r="E89" s="4">
        <v>42</v>
      </c>
      <c r="F89" s="4">
        <v>0</v>
      </c>
      <c r="G89" s="4">
        <v>0</v>
      </c>
      <c r="H89" s="4">
        <v>1</v>
      </c>
      <c r="I89" s="4">
        <v>6</v>
      </c>
      <c r="J89" s="4">
        <v>7500</v>
      </c>
      <c r="K89" s="4">
        <v>10210</v>
      </c>
      <c r="L89" s="4">
        <v>10310</v>
      </c>
      <c r="M89" s="4">
        <v>1</v>
      </c>
      <c r="N89" s="4">
        <v>1</v>
      </c>
      <c r="P89" s="2" t="s">
        <v>82</v>
      </c>
      <c r="Q89" s="2" t="s">
        <v>49</v>
      </c>
      <c r="R89" s="4">
        <v>1</v>
      </c>
      <c r="S89">
        <f t="shared" si="1"/>
        <v>7500</v>
      </c>
      <c r="T89">
        <v>25</v>
      </c>
    </row>
    <row r="90" spans="1:20" x14ac:dyDescent="0.15">
      <c r="A90">
        <v>519</v>
      </c>
      <c r="B90" s="4">
        <v>5</v>
      </c>
      <c r="C90" s="4">
        <v>14</v>
      </c>
      <c r="D90" s="4">
        <v>7</v>
      </c>
      <c r="E90" s="4">
        <v>46</v>
      </c>
      <c r="F90" s="4">
        <v>0</v>
      </c>
      <c r="G90" s="4">
        <v>0</v>
      </c>
      <c r="H90" s="4">
        <v>1</v>
      </c>
      <c r="I90" s="4">
        <v>6</v>
      </c>
      <c r="J90" s="4">
        <v>12000</v>
      </c>
      <c r="K90" s="4">
        <v>10310</v>
      </c>
      <c r="L90" s="4">
        <v>99999</v>
      </c>
      <c r="M90" s="4">
        <v>1</v>
      </c>
      <c r="N90" s="4">
        <v>1</v>
      </c>
      <c r="P90" s="2" t="s">
        <v>82</v>
      </c>
      <c r="Q90" s="2" t="s">
        <v>62</v>
      </c>
      <c r="R90" s="4">
        <v>1</v>
      </c>
      <c r="S90">
        <f t="shared" si="1"/>
        <v>12000</v>
      </c>
      <c r="T90">
        <v>40</v>
      </c>
    </row>
    <row r="91" spans="1:20" x14ac:dyDescent="0.15">
      <c r="A91">
        <v>520</v>
      </c>
      <c r="B91" s="4">
        <v>5</v>
      </c>
      <c r="C91" s="4">
        <v>15</v>
      </c>
      <c r="D91" s="4">
        <v>7</v>
      </c>
      <c r="E91" s="4">
        <v>23</v>
      </c>
      <c r="F91" s="4">
        <v>0</v>
      </c>
      <c r="G91" s="4">
        <v>0</v>
      </c>
      <c r="H91" s="4">
        <v>1</v>
      </c>
      <c r="I91" s="4">
        <v>6</v>
      </c>
      <c r="J91" s="4">
        <v>600</v>
      </c>
      <c r="K91" s="4">
        <v>0</v>
      </c>
      <c r="L91" s="4">
        <v>420</v>
      </c>
      <c r="M91" s="4">
        <v>1</v>
      </c>
      <c r="N91" s="4">
        <v>1</v>
      </c>
      <c r="P91" s="2" t="s">
        <v>82</v>
      </c>
      <c r="Q91" s="2" t="s">
        <v>95</v>
      </c>
      <c r="R91" s="4">
        <v>1</v>
      </c>
      <c r="S91">
        <f t="shared" si="1"/>
        <v>600</v>
      </c>
      <c r="T91">
        <v>2</v>
      </c>
    </row>
    <row r="92" spans="1:20" x14ac:dyDescent="0.15">
      <c r="A92">
        <v>521</v>
      </c>
      <c r="B92" s="4">
        <v>5</v>
      </c>
      <c r="C92" s="4">
        <v>15</v>
      </c>
      <c r="D92" s="4">
        <v>7</v>
      </c>
      <c r="E92" s="4">
        <v>27</v>
      </c>
      <c r="F92" s="4">
        <v>0</v>
      </c>
      <c r="G92" s="4">
        <v>0</v>
      </c>
      <c r="H92" s="4">
        <v>1</v>
      </c>
      <c r="I92" s="4">
        <v>6</v>
      </c>
      <c r="J92" s="4">
        <v>1500</v>
      </c>
      <c r="K92" s="4">
        <v>420</v>
      </c>
      <c r="L92" s="4">
        <v>630</v>
      </c>
      <c r="M92" s="4">
        <v>1</v>
      </c>
      <c r="N92" s="4">
        <v>1</v>
      </c>
      <c r="P92" s="2" t="s">
        <v>82</v>
      </c>
      <c r="Q92" s="2" t="s">
        <v>96</v>
      </c>
      <c r="R92" s="4">
        <v>1</v>
      </c>
      <c r="S92">
        <f t="shared" si="1"/>
        <v>1500</v>
      </c>
      <c r="T92">
        <v>5</v>
      </c>
    </row>
    <row r="93" spans="1:20" x14ac:dyDescent="0.15">
      <c r="A93">
        <v>522</v>
      </c>
      <c r="B93" s="4">
        <v>5</v>
      </c>
      <c r="C93" s="4">
        <v>15</v>
      </c>
      <c r="D93" s="4">
        <v>7</v>
      </c>
      <c r="E93" s="4">
        <v>31</v>
      </c>
      <c r="F93" s="4">
        <v>0</v>
      </c>
      <c r="G93" s="4">
        <v>0</v>
      </c>
      <c r="H93" s="4">
        <v>1</v>
      </c>
      <c r="I93" s="4">
        <v>6</v>
      </c>
      <c r="J93" s="4">
        <v>2100</v>
      </c>
      <c r="K93" s="4">
        <v>630</v>
      </c>
      <c r="L93" s="4">
        <v>840</v>
      </c>
      <c r="M93" s="4">
        <v>1</v>
      </c>
      <c r="N93" s="4">
        <v>1</v>
      </c>
      <c r="P93" s="2" t="s">
        <v>82</v>
      </c>
      <c r="Q93" s="2" t="s">
        <v>50</v>
      </c>
      <c r="R93" s="4">
        <v>1</v>
      </c>
      <c r="S93">
        <f t="shared" si="1"/>
        <v>2100</v>
      </c>
      <c r="T93">
        <v>7</v>
      </c>
    </row>
    <row r="94" spans="1:20" x14ac:dyDescent="0.15">
      <c r="A94">
        <v>523</v>
      </c>
      <c r="B94" s="4">
        <v>5</v>
      </c>
      <c r="C94" s="4">
        <v>15</v>
      </c>
      <c r="D94" s="4">
        <v>7</v>
      </c>
      <c r="E94" s="4">
        <v>35</v>
      </c>
      <c r="F94" s="4">
        <v>0</v>
      </c>
      <c r="G94" s="4">
        <v>0</v>
      </c>
      <c r="H94" s="4">
        <v>1</v>
      </c>
      <c r="I94" s="4">
        <v>6</v>
      </c>
      <c r="J94" s="4">
        <v>3000</v>
      </c>
      <c r="K94" s="4">
        <v>840</v>
      </c>
      <c r="L94" s="4">
        <v>1050</v>
      </c>
      <c r="M94" s="4">
        <v>1</v>
      </c>
      <c r="N94" s="4">
        <v>1</v>
      </c>
      <c r="P94" s="2" t="s">
        <v>82</v>
      </c>
      <c r="Q94" s="2" t="s">
        <v>51</v>
      </c>
      <c r="R94" s="4">
        <v>1</v>
      </c>
      <c r="S94">
        <f t="shared" si="1"/>
        <v>3000</v>
      </c>
      <c r="T94">
        <v>10</v>
      </c>
    </row>
    <row r="95" spans="1:20" x14ac:dyDescent="0.15">
      <c r="A95">
        <v>524</v>
      </c>
      <c r="B95" s="4">
        <v>5</v>
      </c>
      <c r="C95" s="4">
        <v>15</v>
      </c>
      <c r="D95" s="4">
        <v>7</v>
      </c>
      <c r="E95" s="4">
        <v>39</v>
      </c>
      <c r="F95" s="4">
        <v>0</v>
      </c>
      <c r="G95" s="4">
        <v>0</v>
      </c>
      <c r="H95" s="4">
        <v>1</v>
      </c>
      <c r="I95" s="4">
        <v>6</v>
      </c>
      <c r="J95" s="4">
        <v>4500</v>
      </c>
      <c r="K95" s="4">
        <v>1050</v>
      </c>
      <c r="L95" s="4">
        <v>10210</v>
      </c>
      <c r="M95" s="4">
        <v>1</v>
      </c>
      <c r="N95" s="4">
        <v>1</v>
      </c>
      <c r="P95" s="2" t="s">
        <v>82</v>
      </c>
      <c r="Q95" s="2" t="s">
        <v>52</v>
      </c>
      <c r="R95" s="4">
        <v>1</v>
      </c>
      <c r="S95">
        <f t="shared" si="1"/>
        <v>4500</v>
      </c>
      <c r="T95">
        <v>15</v>
      </c>
    </row>
    <row r="96" spans="1:20" x14ac:dyDescent="0.15">
      <c r="A96">
        <v>525</v>
      </c>
      <c r="B96" s="4">
        <v>5</v>
      </c>
      <c r="C96" s="4">
        <v>15</v>
      </c>
      <c r="D96" s="4">
        <v>7</v>
      </c>
      <c r="E96" s="4">
        <v>43</v>
      </c>
      <c r="F96" s="4">
        <v>0</v>
      </c>
      <c r="G96" s="4">
        <v>0</v>
      </c>
      <c r="H96" s="4">
        <v>1</v>
      </c>
      <c r="I96" s="4">
        <v>6</v>
      </c>
      <c r="J96" s="4">
        <v>7500</v>
      </c>
      <c r="K96" s="4">
        <v>10210</v>
      </c>
      <c r="L96" s="4">
        <v>10310</v>
      </c>
      <c r="M96" s="4">
        <v>1</v>
      </c>
      <c r="N96" s="4">
        <v>1</v>
      </c>
      <c r="P96" s="2" t="s">
        <v>82</v>
      </c>
      <c r="Q96" s="2" t="s">
        <v>53</v>
      </c>
      <c r="R96" s="4">
        <v>1</v>
      </c>
      <c r="S96">
        <f t="shared" si="1"/>
        <v>7500</v>
      </c>
      <c r="T96">
        <v>25</v>
      </c>
    </row>
    <row r="97" spans="1:20" x14ac:dyDescent="0.15">
      <c r="A97">
        <v>526</v>
      </c>
      <c r="B97" s="4">
        <v>5</v>
      </c>
      <c r="C97" s="4">
        <v>15</v>
      </c>
      <c r="D97" s="4">
        <v>7</v>
      </c>
      <c r="E97" s="4">
        <v>47</v>
      </c>
      <c r="F97" s="4">
        <v>0</v>
      </c>
      <c r="G97" s="4">
        <v>0</v>
      </c>
      <c r="H97" s="4">
        <v>1</v>
      </c>
      <c r="I97" s="4">
        <v>6</v>
      </c>
      <c r="J97" s="4">
        <v>12000</v>
      </c>
      <c r="K97" s="4">
        <v>10310</v>
      </c>
      <c r="L97" s="4">
        <v>99999</v>
      </c>
      <c r="M97" s="4">
        <v>1</v>
      </c>
      <c r="N97" s="4">
        <v>1</v>
      </c>
      <c r="P97" s="2" t="s">
        <v>82</v>
      </c>
      <c r="Q97" s="2" t="s">
        <v>66</v>
      </c>
      <c r="R97" s="4">
        <v>1</v>
      </c>
      <c r="S97">
        <f t="shared" si="1"/>
        <v>12000</v>
      </c>
      <c r="T97">
        <v>40</v>
      </c>
    </row>
    <row r="98" spans="1:20" x14ac:dyDescent="0.15">
      <c r="A98">
        <v>527</v>
      </c>
      <c r="B98" s="4">
        <v>5</v>
      </c>
      <c r="C98" s="4">
        <v>16</v>
      </c>
      <c r="D98" s="4">
        <v>7</v>
      </c>
      <c r="E98" s="4">
        <v>24</v>
      </c>
      <c r="F98" s="4">
        <v>0</v>
      </c>
      <c r="G98" s="4">
        <v>0</v>
      </c>
      <c r="H98" s="4">
        <v>1</v>
      </c>
      <c r="I98" s="4">
        <v>6</v>
      </c>
      <c r="J98" s="4">
        <v>600</v>
      </c>
      <c r="K98" s="4">
        <v>0</v>
      </c>
      <c r="L98" s="4">
        <v>420</v>
      </c>
      <c r="M98" s="4">
        <v>1</v>
      </c>
      <c r="N98" s="4">
        <v>1</v>
      </c>
      <c r="P98" s="2" t="s">
        <v>82</v>
      </c>
      <c r="Q98" s="2" t="s">
        <v>97</v>
      </c>
      <c r="R98" s="4">
        <v>1</v>
      </c>
      <c r="S98">
        <f t="shared" si="1"/>
        <v>600</v>
      </c>
      <c r="T98">
        <v>2</v>
      </c>
    </row>
    <row r="99" spans="1:20" x14ac:dyDescent="0.15">
      <c r="A99">
        <v>528</v>
      </c>
      <c r="B99" s="4">
        <v>5</v>
      </c>
      <c r="C99" s="4">
        <v>16</v>
      </c>
      <c r="D99" s="4">
        <v>7</v>
      </c>
      <c r="E99" s="4">
        <v>28</v>
      </c>
      <c r="F99" s="4">
        <v>0</v>
      </c>
      <c r="G99" s="4">
        <v>0</v>
      </c>
      <c r="H99" s="4">
        <v>1</v>
      </c>
      <c r="I99" s="4">
        <v>6</v>
      </c>
      <c r="J99" s="4">
        <v>1500</v>
      </c>
      <c r="K99" s="4">
        <v>420</v>
      </c>
      <c r="L99" s="4">
        <v>630</v>
      </c>
      <c r="M99" s="4">
        <v>1</v>
      </c>
      <c r="N99" s="4">
        <v>1</v>
      </c>
      <c r="P99" s="2" t="s">
        <v>82</v>
      </c>
      <c r="Q99" s="2" t="s">
        <v>98</v>
      </c>
      <c r="R99" s="4">
        <v>1</v>
      </c>
      <c r="S99">
        <f t="shared" si="1"/>
        <v>1500</v>
      </c>
      <c r="T99">
        <v>5</v>
      </c>
    </row>
    <row r="100" spans="1:20" x14ac:dyDescent="0.15">
      <c r="A100">
        <v>529</v>
      </c>
      <c r="B100" s="4">
        <v>5</v>
      </c>
      <c r="C100" s="4">
        <v>16</v>
      </c>
      <c r="D100" s="4">
        <v>7</v>
      </c>
      <c r="E100" s="4">
        <v>32</v>
      </c>
      <c r="F100" s="4">
        <v>0</v>
      </c>
      <c r="G100" s="4">
        <v>0</v>
      </c>
      <c r="H100" s="4">
        <v>1</v>
      </c>
      <c r="I100" s="4">
        <v>6</v>
      </c>
      <c r="J100" s="4">
        <v>2100</v>
      </c>
      <c r="K100" s="4">
        <v>630</v>
      </c>
      <c r="L100" s="4">
        <v>840</v>
      </c>
      <c r="M100" s="4">
        <v>1</v>
      </c>
      <c r="N100" s="4">
        <v>1</v>
      </c>
      <c r="P100" s="2" t="s">
        <v>82</v>
      </c>
      <c r="Q100" s="2" t="s">
        <v>54</v>
      </c>
      <c r="R100" s="4">
        <v>1</v>
      </c>
      <c r="S100">
        <f t="shared" si="1"/>
        <v>2100</v>
      </c>
      <c r="T100">
        <v>7</v>
      </c>
    </row>
    <row r="101" spans="1:20" x14ac:dyDescent="0.15">
      <c r="A101">
        <v>530</v>
      </c>
      <c r="B101" s="4">
        <v>5</v>
      </c>
      <c r="C101" s="4">
        <v>16</v>
      </c>
      <c r="D101" s="4">
        <v>7</v>
      </c>
      <c r="E101" s="4">
        <v>36</v>
      </c>
      <c r="F101" s="4">
        <v>0</v>
      </c>
      <c r="G101" s="4">
        <v>0</v>
      </c>
      <c r="H101" s="4">
        <v>1</v>
      </c>
      <c r="I101" s="4">
        <v>6</v>
      </c>
      <c r="J101" s="4">
        <v>3000</v>
      </c>
      <c r="K101" s="4">
        <v>840</v>
      </c>
      <c r="L101" s="4">
        <v>1050</v>
      </c>
      <c r="M101" s="4">
        <v>1</v>
      </c>
      <c r="N101" s="4">
        <v>1</v>
      </c>
      <c r="P101" s="2" t="s">
        <v>82</v>
      </c>
      <c r="Q101" s="2" t="s">
        <v>55</v>
      </c>
      <c r="R101" s="4">
        <v>1</v>
      </c>
      <c r="S101">
        <f t="shared" si="1"/>
        <v>3000</v>
      </c>
      <c r="T101">
        <v>10</v>
      </c>
    </row>
    <row r="102" spans="1:20" x14ac:dyDescent="0.15">
      <c r="A102">
        <v>531</v>
      </c>
      <c r="B102" s="4">
        <v>5</v>
      </c>
      <c r="C102" s="4">
        <v>16</v>
      </c>
      <c r="D102" s="4">
        <v>7</v>
      </c>
      <c r="E102" s="4">
        <v>40</v>
      </c>
      <c r="F102" s="4">
        <v>0</v>
      </c>
      <c r="G102" s="4">
        <v>0</v>
      </c>
      <c r="H102" s="4">
        <v>1</v>
      </c>
      <c r="I102" s="4">
        <v>6</v>
      </c>
      <c r="J102" s="4">
        <v>4500</v>
      </c>
      <c r="K102" s="4">
        <v>1050</v>
      </c>
      <c r="L102" s="4">
        <v>10210</v>
      </c>
      <c r="M102" s="4">
        <v>1</v>
      </c>
      <c r="N102" s="4">
        <v>1</v>
      </c>
      <c r="P102" s="2" t="s">
        <v>82</v>
      </c>
      <c r="Q102" s="2" t="s">
        <v>56</v>
      </c>
      <c r="R102" s="4">
        <v>1</v>
      </c>
      <c r="S102">
        <f t="shared" si="1"/>
        <v>4500</v>
      </c>
      <c r="T102">
        <v>15</v>
      </c>
    </row>
    <row r="103" spans="1:20" x14ac:dyDescent="0.15">
      <c r="A103">
        <v>532</v>
      </c>
      <c r="B103" s="4">
        <v>5</v>
      </c>
      <c r="C103" s="4">
        <v>16</v>
      </c>
      <c r="D103" s="4">
        <v>7</v>
      </c>
      <c r="E103" s="4">
        <v>44</v>
      </c>
      <c r="F103" s="4">
        <v>0</v>
      </c>
      <c r="G103" s="4">
        <v>0</v>
      </c>
      <c r="H103" s="4">
        <v>1</v>
      </c>
      <c r="I103" s="4">
        <v>6</v>
      </c>
      <c r="J103" s="4">
        <v>7500</v>
      </c>
      <c r="K103" s="4">
        <v>10210</v>
      </c>
      <c r="L103" s="4">
        <v>10310</v>
      </c>
      <c r="M103" s="4">
        <v>1</v>
      </c>
      <c r="N103" s="4">
        <v>1</v>
      </c>
      <c r="P103" s="2" t="s">
        <v>82</v>
      </c>
      <c r="Q103" s="2" t="s">
        <v>57</v>
      </c>
      <c r="R103" s="4">
        <v>1</v>
      </c>
      <c r="S103">
        <f t="shared" si="1"/>
        <v>7500</v>
      </c>
      <c r="T103">
        <v>25</v>
      </c>
    </row>
    <row r="104" spans="1:20" x14ac:dyDescent="0.15">
      <c r="A104">
        <v>533</v>
      </c>
      <c r="B104" s="4">
        <v>5</v>
      </c>
      <c r="C104" s="4">
        <v>16</v>
      </c>
      <c r="D104" s="4">
        <v>7</v>
      </c>
      <c r="E104" s="4">
        <v>48</v>
      </c>
      <c r="F104" s="4">
        <v>0</v>
      </c>
      <c r="G104" s="4">
        <v>0</v>
      </c>
      <c r="H104" s="4">
        <v>1</v>
      </c>
      <c r="I104" s="4">
        <v>6</v>
      </c>
      <c r="J104" s="4">
        <v>12000</v>
      </c>
      <c r="K104" s="4">
        <v>10310</v>
      </c>
      <c r="L104" s="4">
        <v>99999</v>
      </c>
      <c r="M104" s="4">
        <v>1</v>
      </c>
      <c r="N104" s="4">
        <v>1</v>
      </c>
      <c r="P104" s="2" t="s">
        <v>82</v>
      </c>
      <c r="Q104" s="2" t="s">
        <v>70</v>
      </c>
      <c r="R104" s="4">
        <v>1</v>
      </c>
      <c r="S104">
        <f t="shared" si="1"/>
        <v>12000</v>
      </c>
      <c r="T104">
        <v>40</v>
      </c>
    </row>
    <row r="105" spans="1:20" x14ac:dyDescent="0.15">
      <c r="A105">
        <v>534</v>
      </c>
      <c r="B105" s="4">
        <v>5</v>
      </c>
      <c r="C105" s="4">
        <v>3</v>
      </c>
      <c r="D105" s="4">
        <v>6</v>
      </c>
      <c r="E105" s="4">
        <v>4</v>
      </c>
      <c r="F105" s="4">
        <v>5051200</v>
      </c>
      <c r="G105" s="4">
        <v>0</v>
      </c>
      <c r="H105" s="4">
        <v>50</v>
      </c>
      <c r="I105" s="4">
        <v>6</v>
      </c>
      <c r="J105" s="4">
        <v>20000</v>
      </c>
      <c r="K105" s="4">
        <v>0</v>
      </c>
      <c r="L105" s="4">
        <v>99999</v>
      </c>
      <c r="M105" s="4">
        <v>0</v>
      </c>
      <c r="N105" s="4">
        <v>1</v>
      </c>
      <c r="P105" s="2" t="s">
        <v>82</v>
      </c>
      <c r="Q105" s="2"/>
      <c r="R105" s="4"/>
    </row>
    <row r="106" spans="1:20" x14ac:dyDescent="0.15">
      <c r="A106">
        <v>535</v>
      </c>
      <c r="B106" s="4">
        <v>5</v>
      </c>
      <c r="C106" s="4">
        <v>6</v>
      </c>
      <c r="D106" s="4">
        <v>6</v>
      </c>
      <c r="E106" s="4">
        <v>4</v>
      </c>
      <c r="F106" s="4">
        <v>5052502</v>
      </c>
      <c r="G106" s="4">
        <v>0</v>
      </c>
      <c r="H106" s="4">
        <v>50</v>
      </c>
      <c r="I106" s="4">
        <v>6</v>
      </c>
      <c r="J106" s="4">
        <v>40000</v>
      </c>
      <c r="K106" s="4">
        <v>0</v>
      </c>
      <c r="L106" s="4">
        <v>99999</v>
      </c>
      <c r="M106" s="4">
        <v>0</v>
      </c>
      <c r="N106" s="4">
        <v>1</v>
      </c>
      <c r="P106" s="2" t="s">
        <v>82</v>
      </c>
      <c r="Q106" s="2"/>
      <c r="R106" s="4"/>
    </row>
    <row r="107" spans="1:20" x14ac:dyDescent="0.15">
      <c r="A107">
        <v>536</v>
      </c>
      <c r="B107" s="4">
        <v>5</v>
      </c>
      <c r="C107" s="4">
        <v>5</v>
      </c>
      <c r="D107" s="4">
        <v>6</v>
      </c>
      <c r="E107" s="4">
        <v>4</v>
      </c>
      <c r="F107" s="4">
        <v>5053402</v>
      </c>
      <c r="G107" s="4">
        <v>0</v>
      </c>
      <c r="H107" s="4">
        <v>50</v>
      </c>
      <c r="I107" s="4">
        <v>6</v>
      </c>
      <c r="J107" s="4">
        <v>30000</v>
      </c>
      <c r="K107" s="4">
        <v>0</v>
      </c>
      <c r="L107" s="4">
        <v>99999</v>
      </c>
      <c r="M107" s="4">
        <v>0</v>
      </c>
      <c r="N107" s="4">
        <v>1</v>
      </c>
      <c r="P107" s="2" t="s">
        <v>82</v>
      </c>
      <c r="Q107" s="2"/>
      <c r="R107" s="4"/>
    </row>
    <row r="108" spans="1:20" x14ac:dyDescent="0.15">
      <c r="A108">
        <v>537</v>
      </c>
      <c r="B108" s="4">
        <v>5</v>
      </c>
      <c r="C108" s="4">
        <v>7</v>
      </c>
      <c r="D108" s="4">
        <v>6</v>
      </c>
      <c r="E108" s="4">
        <v>4</v>
      </c>
      <c r="F108" s="4">
        <v>5053301</v>
      </c>
      <c r="G108" s="4">
        <v>0</v>
      </c>
      <c r="H108" s="4">
        <v>50</v>
      </c>
      <c r="I108" s="4">
        <v>6</v>
      </c>
      <c r="J108" s="4">
        <v>40000</v>
      </c>
      <c r="K108" s="4">
        <v>0</v>
      </c>
      <c r="L108" s="4">
        <v>99999</v>
      </c>
      <c r="M108" s="4">
        <v>0</v>
      </c>
      <c r="N108" s="4">
        <v>1</v>
      </c>
      <c r="P108" s="2" t="s">
        <v>82</v>
      </c>
      <c r="Q108" s="2"/>
      <c r="R108" s="4"/>
    </row>
    <row r="109" spans="1:20" x14ac:dyDescent="0.15">
      <c r="A109">
        <v>538</v>
      </c>
      <c r="B109" s="4">
        <v>5</v>
      </c>
      <c r="C109" s="4">
        <v>10</v>
      </c>
      <c r="D109" s="4">
        <v>6</v>
      </c>
      <c r="E109" s="4">
        <v>2</v>
      </c>
      <c r="F109" s="4">
        <v>1</v>
      </c>
      <c r="G109" s="4">
        <v>3</v>
      </c>
      <c r="H109" s="4">
        <v>20</v>
      </c>
      <c r="I109" s="4">
        <v>6</v>
      </c>
      <c r="J109" s="4">
        <v>1000</v>
      </c>
      <c r="K109" s="4">
        <v>0</v>
      </c>
      <c r="L109" s="4">
        <v>99999</v>
      </c>
      <c r="M109" s="4">
        <v>0</v>
      </c>
      <c r="N109" s="4">
        <v>1</v>
      </c>
      <c r="P109" s="2" t="s">
        <v>82</v>
      </c>
      <c r="Q109" s="2"/>
      <c r="R109" s="4"/>
    </row>
    <row r="110" spans="1:20" x14ac:dyDescent="0.15">
      <c r="A110">
        <v>539</v>
      </c>
      <c r="B110" s="4">
        <v>5</v>
      </c>
      <c r="C110" s="4">
        <v>11</v>
      </c>
      <c r="D110" s="4">
        <v>6</v>
      </c>
      <c r="E110" s="4">
        <v>2</v>
      </c>
      <c r="F110" s="4">
        <v>2</v>
      </c>
      <c r="G110" s="4">
        <v>3</v>
      </c>
      <c r="H110" s="4">
        <v>20</v>
      </c>
      <c r="I110" s="4">
        <v>6</v>
      </c>
      <c r="J110" s="4">
        <v>1000</v>
      </c>
      <c r="K110" s="4">
        <v>0</v>
      </c>
      <c r="L110" s="4">
        <v>99999</v>
      </c>
      <c r="M110" s="4">
        <v>0</v>
      </c>
      <c r="N110" s="4">
        <v>1</v>
      </c>
      <c r="P110" s="2" t="s">
        <v>82</v>
      </c>
      <c r="Q110" s="2"/>
      <c r="R110" s="4"/>
    </row>
    <row r="111" spans="1:20" x14ac:dyDescent="0.15">
      <c r="A111">
        <v>540</v>
      </c>
      <c r="B111" s="4">
        <v>5</v>
      </c>
      <c r="C111" s="4">
        <v>12</v>
      </c>
      <c r="D111" s="4">
        <v>6</v>
      </c>
      <c r="E111" s="4">
        <v>2</v>
      </c>
      <c r="F111" s="4">
        <v>3</v>
      </c>
      <c r="G111" s="4">
        <v>3</v>
      </c>
      <c r="H111" s="4">
        <v>20</v>
      </c>
      <c r="I111" s="4">
        <v>6</v>
      </c>
      <c r="J111" s="4">
        <v>1000</v>
      </c>
      <c r="K111" s="4">
        <v>0</v>
      </c>
      <c r="L111" s="4">
        <v>99999</v>
      </c>
      <c r="M111" s="4">
        <v>0</v>
      </c>
      <c r="N111" s="4">
        <v>1</v>
      </c>
      <c r="P111" s="2" t="s">
        <v>82</v>
      </c>
      <c r="Q111" s="2"/>
      <c r="R111" s="4"/>
    </row>
    <row r="112" spans="1:20" x14ac:dyDescent="0.15">
      <c r="A112">
        <v>601</v>
      </c>
      <c r="B112">
        <v>6</v>
      </c>
      <c r="C112">
        <v>1</v>
      </c>
      <c r="D112">
        <v>35</v>
      </c>
      <c r="E112">
        <v>0</v>
      </c>
      <c r="F112">
        <v>0</v>
      </c>
      <c r="G112">
        <v>0</v>
      </c>
      <c r="H112">
        <v>20</v>
      </c>
      <c r="I112">
        <v>7</v>
      </c>
      <c r="J112">
        <v>100</v>
      </c>
      <c r="K112">
        <v>0</v>
      </c>
      <c r="L112">
        <v>9999</v>
      </c>
      <c r="M112">
        <v>0</v>
      </c>
      <c r="N112">
        <v>0</v>
      </c>
      <c r="Q112" s="6"/>
      <c r="S112" s="6"/>
    </row>
    <row r="113" spans="1:19" x14ac:dyDescent="0.15">
      <c r="A113">
        <v>602</v>
      </c>
      <c r="B113">
        <v>6</v>
      </c>
      <c r="C113">
        <v>2</v>
      </c>
      <c r="D113">
        <v>18</v>
      </c>
      <c r="E113">
        <v>0</v>
      </c>
      <c r="F113">
        <v>0</v>
      </c>
      <c r="G113">
        <v>0</v>
      </c>
      <c r="H113">
        <v>1</v>
      </c>
      <c r="I113">
        <v>7</v>
      </c>
      <c r="J113">
        <v>200</v>
      </c>
      <c r="K113">
        <v>0</v>
      </c>
      <c r="L113">
        <v>9999</v>
      </c>
      <c r="M113">
        <v>0</v>
      </c>
      <c r="N113">
        <v>0</v>
      </c>
      <c r="Q113" s="6"/>
      <c r="S113" s="6"/>
    </row>
    <row r="114" spans="1:19" x14ac:dyDescent="0.15">
      <c r="A114">
        <v>603</v>
      </c>
      <c r="B114">
        <v>6</v>
      </c>
      <c r="C114">
        <v>3</v>
      </c>
      <c r="D114">
        <v>19</v>
      </c>
      <c r="E114">
        <v>0</v>
      </c>
      <c r="F114">
        <v>0</v>
      </c>
      <c r="G114">
        <v>0</v>
      </c>
      <c r="H114">
        <v>50</v>
      </c>
      <c r="I114">
        <v>7</v>
      </c>
      <c r="J114">
        <v>100</v>
      </c>
      <c r="K114">
        <v>0</v>
      </c>
      <c r="L114">
        <v>9999</v>
      </c>
      <c r="M114">
        <v>0</v>
      </c>
      <c r="N114">
        <v>0</v>
      </c>
      <c r="Q114" s="6"/>
      <c r="S114" s="6"/>
    </row>
    <row r="115" spans="1:19" x14ac:dyDescent="0.15">
      <c r="A115">
        <v>604</v>
      </c>
      <c r="B115">
        <v>6</v>
      </c>
      <c r="C115">
        <v>4</v>
      </c>
      <c r="D115">
        <v>24</v>
      </c>
      <c r="E115">
        <v>0</v>
      </c>
      <c r="F115">
        <v>0</v>
      </c>
      <c r="G115">
        <v>0</v>
      </c>
      <c r="H115">
        <v>1</v>
      </c>
      <c r="I115">
        <v>7</v>
      </c>
      <c r="J115">
        <v>120</v>
      </c>
      <c r="K115">
        <v>0</v>
      </c>
      <c r="L115">
        <v>9999</v>
      </c>
      <c r="M115">
        <v>0</v>
      </c>
      <c r="N115">
        <v>0</v>
      </c>
      <c r="Q115" s="6"/>
      <c r="S115" s="6"/>
    </row>
    <row r="116" spans="1:19" x14ac:dyDescent="0.15">
      <c r="A116">
        <v>605</v>
      </c>
      <c r="B116">
        <v>6</v>
      </c>
      <c r="C116">
        <v>5</v>
      </c>
      <c r="D116">
        <v>16</v>
      </c>
      <c r="E116">
        <v>0</v>
      </c>
      <c r="F116">
        <v>0</v>
      </c>
      <c r="G116">
        <v>0</v>
      </c>
      <c r="H116">
        <v>1</v>
      </c>
      <c r="I116">
        <v>7</v>
      </c>
      <c r="J116">
        <v>150</v>
      </c>
      <c r="K116">
        <v>0</v>
      </c>
      <c r="L116">
        <v>9999</v>
      </c>
      <c r="M116">
        <v>0</v>
      </c>
      <c r="N116">
        <v>0</v>
      </c>
      <c r="Q116" s="6"/>
      <c r="S116" s="6"/>
    </row>
    <row r="117" spans="1:19" x14ac:dyDescent="0.15">
      <c r="A117">
        <v>606</v>
      </c>
      <c r="B117">
        <v>6</v>
      </c>
      <c r="C117">
        <v>6</v>
      </c>
      <c r="D117">
        <v>6</v>
      </c>
      <c r="E117">
        <v>1</v>
      </c>
      <c r="F117">
        <v>0</v>
      </c>
      <c r="G117">
        <v>5</v>
      </c>
      <c r="H117">
        <v>10</v>
      </c>
      <c r="I117">
        <v>7</v>
      </c>
      <c r="J117">
        <v>250</v>
      </c>
      <c r="K117">
        <v>0</v>
      </c>
      <c r="L117">
        <v>9999</v>
      </c>
      <c r="M117">
        <v>0</v>
      </c>
      <c r="N117">
        <v>0</v>
      </c>
      <c r="Q117" s="6"/>
      <c r="S117" s="6"/>
    </row>
    <row r="118" spans="1:19" x14ac:dyDescent="0.15">
      <c r="A118">
        <v>607</v>
      </c>
      <c r="B118">
        <v>6</v>
      </c>
      <c r="C118">
        <v>7</v>
      </c>
      <c r="D118">
        <v>6</v>
      </c>
      <c r="E118">
        <v>2</v>
      </c>
      <c r="F118">
        <v>1</v>
      </c>
      <c r="G118">
        <v>5</v>
      </c>
      <c r="H118">
        <v>10</v>
      </c>
      <c r="I118">
        <v>7</v>
      </c>
      <c r="J118">
        <v>300</v>
      </c>
      <c r="K118">
        <v>0</v>
      </c>
      <c r="L118">
        <v>9999</v>
      </c>
      <c r="M118">
        <v>0</v>
      </c>
      <c r="N118">
        <v>0</v>
      </c>
      <c r="Q118" s="6"/>
      <c r="S118" s="6"/>
    </row>
    <row r="119" spans="1:19" x14ac:dyDescent="0.15">
      <c r="A119">
        <v>608</v>
      </c>
      <c r="B119">
        <v>6</v>
      </c>
      <c r="C119">
        <v>8</v>
      </c>
      <c r="D119">
        <v>6</v>
      </c>
      <c r="E119">
        <v>2</v>
      </c>
      <c r="F119">
        <v>2</v>
      </c>
      <c r="G119">
        <v>5</v>
      </c>
      <c r="H119">
        <v>10</v>
      </c>
      <c r="I119">
        <v>7</v>
      </c>
      <c r="J119">
        <v>300</v>
      </c>
      <c r="K119">
        <v>0</v>
      </c>
      <c r="L119">
        <v>9999</v>
      </c>
      <c r="M119">
        <v>0</v>
      </c>
      <c r="N119">
        <v>0</v>
      </c>
      <c r="Q119" s="6"/>
      <c r="S119" s="6"/>
    </row>
    <row r="120" spans="1:19" x14ac:dyDescent="0.15">
      <c r="A120">
        <v>609</v>
      </c>
      <c r="B120">
        <v>6</v>
      </c>
      <c r="C120">
        <v>9</v>
      </c>
      <c r="D120">
        <v>6</v>
      </c>
      <c r="E120">
        <v>2</v>
      </c>
      <c r="F120">
        <v>3</v>
      </c>
      <c r="G120">
        <v>5</v>
      </c>
      <c r="H120">
        <v>10</v>
      </c>
      <c r="I120">
        <v>7</v>
      </c>
      <c r="J120">
        <v>300</v>
      </c>
      <c r="K120">
        <v>0</v>
      </c>
      <c r="L120">
        <v>9999</v>
      </c>
      <c r="M120">
        <v>0</v>
      </c>
      <c r="N120">
        <v>0</v>
      </c>
    </row>
  </sheetData>
  <phoneticPr fontId="2" type="noConversion"/>
  <pageMargins left="0.69930555555555596" right="0.69930555555555596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E16"/>
  <sheetViews>
    <sheetView workbookViewId="0">
      <selection activeCell="B43" sqref="B43"/>
    </sheetView>
  </sheetViews>
  <sheetFormatPr defaultColWidth="9" defaultRowHeight="13.5" x14ac:dyDescent="0.15"/>
  <sheetData>
    <row r="1" spans="1:5" x14ac:dyDescent="0.15">
      <c r="A1" s="1" t="s">
        <v>16</v>
      </c>
    </row>
    <row r="2" spans="1:5" x14ac:dyDescent="0.15">
      <c r="A2" t="s">
        <v>99</v>
      </c>
      <c r="E2" s="2" t="s">
        <v>100</v>
      </c>
    </row>
    <row r="3" spans="1:5" x14ac:dyDescent="0.15">
      <c r="A3" t="s">
        <v>101</v>
      </c>
      <c r="E3" s="2" t="s">
        <v>29</v>
      </c>
    </row>
    <row r="4" spans="1:5" x14ac:dyDescent="0.15">
      <c r="A4" t="s">
        <v>102</v>
      </c>
      <c r="E4" s="2" t="s">
        <v>37</v>
      </c>
    </row>
    <row r="5" spans="1:5" x14ac:dyDescent="0.15">
      <c r="A5" t="s">
        <v>103</v>
      </c>
      <c r="E5" s="2" t="s">
        <v>39</v>
      </c>
    </row>
    <row r="6" spans="1:5" x14ac:dyDescent="0.15">
      <c r="A6" t="s">
        <v>104</v>
      </c>
      <c r="E6" s="2" t="s">
        <v>74</v>
      </c>
    </row>
    <row r="7" spans="1:5" x14ac:dyDescent="0.15">
      <c r="A7" t="s">
        <v>105</v>
      </c>
      <c r="E7" s="2" t="s">
        <v>82</v>
      </c>
    </row>
    <row r="9" spans="1:5" x14ac:dyDescent="0.15">
      <c r="A9" s="2" t="s">
        <v>21</v>
      </c>
    </row>
    <row r="10" spans="1:5" x14ac:dyDescent="0.15">
      <c r="A10" t="s">
        <v>106</v>
      </c>
      <c r="E10" s="2" t="s">
        <v>100</v>
      </c>
    </row>
    <row r="11" spans="1:5" x14ac:dyDescent="0.15">
      <c r="A11" t="s">
        <v>107</v>
      </c>
      <c r="E11" s="2" t="s">
        <v>108</v>
      </c>
    </row>
    <row r="12" spans="1:5" x14ac:dyDescent="0.15">
      <c r="A12" t="s">
        <v>109</v>
      </c>
      <c r="E12" s="2" t="s">
        <v>110</v>
      </c>
    </row>
    <row r="13" spans="1:5" x14ac:dyDescent="0.15">
      <c r="A13" t="s">
        <v>111</v>
      </c>
      <c r="E13" s="2" t="s">
        <v>112</v>
      </c>
    </row>
    <row r="14" spans="1:5" x14ac:dyDescent="0.15">
      <c r="A14" t="s">
        <v>113</v>
      </c>
      <c r="E14" s="2" t="s">
        <v>114</v>
      </c>
    </row>
    <row r="15" spans="1:5" x14ac:dyDescent="0.15">
      <c r="A15" t="s">
        <v>115</v>
      </c>
      <c r="E15" s="2" t="s">
        <v>116</v>
      </c>
    </row>
    <row r="16" spans="1:5" x14ac:dyDescent="0.15">
      <c r="A16" t="s">
        <v>117</v>
      </c>
      <c r="E16" s="2" t="s">
        <v>118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shop_goods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ZHANGYANG</dc:creator>
  <cp:lastModifiedBy>王建斌</cp:lastModifiedBy>
  <dcterms:created xsi:type="dcterms:W3CDTF">2017-06-13T02:34:00Z</dcterms:created>
  <dcterms:modified xsi:type="dcterms:W3CDTF">2021-01-09T07:26:26Z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2052-11.1.0.10072</vt:lpwstr>
  </property>
</Properties>
</file>