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defaultThemeVersion="124226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3E73B1B-CFBF-4C68-B6BF-C143781F280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guildOrderData" sheetId="1" r:id="rId1"/>
  </sheets>
  <calcPr calcId="191029"/>
</workbook>
</file>

<file path=xl/calcChain.xml><?xml version="1.0" encoding="utf-8"?>
<calcChain xmlns="http://schemas.openxmlformats.org/spreadsheetml/2006/main">
  <c r="AJ4" i="1" l="1"/>
  <c r="AJ33" i="1" s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S5" i="1" l="1"/>
  <c r="V5" i="1" s="1"/>
  <c r="S6" i="1"/>
  <c r="V6" i="1" s="1"/>
  <c r="S7" i="1"/>
  <c r="S8" i="1"/>
  <c r="V8" i="1" s="1"/>
  <c r="S9" i="1"/>
  <c r="S10" i="1"/>
  <c r="S11" i="1"/>
  <c r="S12" i="1"/>
  <c r="V12" i="1" s="1"/>
  <c r="S13" i="1"/>
  <c r="S14" i="1"/>
  <c r="S15" i="1"/>
  <c r="V15" i="1" s="1"/>
  <c r="S16" i="1"/>
  <c r="V16" i="1" s="1"/>
  <c r="S17" i="1"/>
  <c r="S18" i="1"/>
  <c r="S19" i="1"/>
  <c r="V19" i="1" s="1"/>
  <c r="S20" i="1"/>
  <c r="V20" i="1" s="1"/>
  <c r="S21" i="1"/>
  <c r="S22" i="1"/>
  <c r="S23" i="1"/>
  <c r="S24" i="1"/>
  <c r="V24" i="1" s="1"/>
  <c r="S25" i="1"/>
  <c r="S26" i="1"/>
  <c r="S27" i="1"/>
  <c r="S28" i="1"/>
  <c r="V28" i="1" s="1"/>
  <c r="S29" i="1"/>
  <c r="S30" i="1"/>
  <c r="S31" i="1"/>
  <c r="V31" i="1" s="1"/>
  <c r="S32" i="1"/>
  <c r="V32" i="1" s="1"/>
  <c r="S33" i="1"/>
  <c r="S4" i="1"/>
  <c r="V7" i="1"/>
  <c r="V9" i="1"/>
  <c r="V11" i="1"/>
  <c r="V13" i="1"/>
  <c r="V17" i="1"/>
  <c r="V21" i="1"/>
  <c r="V23" i="1"/>
  <c r="V25" i="1"/>
  <c r="V27" i="1"/>
  <c r="V29" i="1"/>
  <c r="V33" i="1"/>
  <c r="V4" i="1"/>
  <c r="V10" i="1"/>
  <c r="V14" i="1"/>
  <c r="V18" i="1"/>
  <c r="V22" i="1"/>
  <c r="V26" i="1"/>
  <c r="V30" i="1"/>
  <c r="AA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4" i="1"/>
  <c r="O4" i="1" s="1"/>
  <c r="J4" i="1" s="1"/>
  <c r="Z4" i="1" l="1"/>
  <c r="X4" i="1" l="1"/>
  <c r="W4" i="1"/>
  <c r="W5" i="1"/>
  <c r="AA5" i="1" l="1"/>
  <c r="O7" i="1"/>
  <c r="J7" i="1" s="1"/>
  <c r="Z5" i="1"/>
  <c r="AD4" i="1"/>
  <c r="AE4" i="1" s="1"/>
  <c r="O6" i="1"/>
  <c r="J6" i="1" s="1"/>
  <c r="AB5" i="1"/>
  <c r="AC5" i="1" s="1"/>
  <c r="O8" i="1"/>
  <c r="J8" i="1" s="1"/>
  <c r="AB4" i="1"/>
  <c r="AC4" i="1" s="1"/>
  <c r="O5" i="1"/>
  <c r="J5" i="1" s="1"/>
  <c r="X5" i="1"/>
  <c r="X6" i="1"/>
  <c r="W6" i="1"/>
  <c r="O10" i="1" l="1"/>
  <c r="J10" i="1" s="1"/>
  <c r="AA6" i="1"/>
  <c r="Z6" i="1"/>
  <c r="O12" i="1"/>
  <c r="J12" i="1" s="1"/>
  <c r="AD6" i="1"/>
  <c r="AE6" i="1" s="1"/>
  <c r="AD5" i="1"/>
  <c r="AE5" i="1" s="1"/>
  <c r="O9" i="1"/>
  <c r="J9" i="1" s="1"/>
  <c r="AB6" i="1"/>
  <c r="AC6" i="1" s="1"/>
  <c r="O11" i="1"/>
  <c r="J11" i="1" s="1"/>
  <c r="O13" i="1" l="1"/>
  <c r="J13" i="1" s="1"/>
  <c r="AA7" i="1"/>
  <c r="Z7" i="1"/>
  <c r="X7" i="1"/>
  <c r="W7" i="1"/>
  <c r="O14" i="1" l="1"/>
  <c r="J14" i="1" s="1"/>
  <c r="AB7" i="1"/>
  <c r="AC7" i="1" s="1"/>
  <c r="AD7" i="1"/>
  <c r="AE7" i="1" s="1"/>
  <c r="O15" i="1"/>
  <c r="J15" i="1" s="1"/>
  <c r="AA8" i="1"/>
  <c r="O16" i="1"/>
  <c r="J16" i="1" s="1"/>
  <c r="Z8" i="1"/>
  <c r="W8" i="1"/>
  <c r="X8" i="1"/>
  <c r="O18" i="1" l="1"/>
  <c r="J18" i="1" s="1"/>
  <c r="AD8" i="1"/>
  <c r="AE8" i="1" s="1"/>
  <c r="AB8" i="1"/>
  <c r="AC8" i="1" s="1"/>
  <c r="O17" i="1"/>
  <c r="J17" i="1" s="1"/>
  <c r="AA9" i="1"/>
  <c r="O19" i="1"/>
  <c r="J19" i="1" s="1"/>
  <c r="Z9" i="1"/>
  <c r="W9" i="1"/>
  <c r="X9" i="1"/>
  <c r="AD9" i="1" l="1"/>
  <c r="AE9" i="1" s="1"/>
  <c r="O21" i="1"/>
  <c r="J21" i="1" s="1"/>
  <c r="AB9" i="1"/>
  <c r="AC9" i="1" s="1"/>
  <c r="O20" i="1"/>
  <c r="J20" i="1" s="1"/>
  <c r="O22" i="1"/>
  <c r="J22" i="1" s="1"/>
  <c r="AA10" i="1"/>
  <c r="Z10" i="1"/>
  <c r="W10" i="1"/>
  <c r="X10" i="1"/>
  <c r="O24" i="1" l="1"/>
  <c r="J24" i="1" s="1"/>
  <c r="AD10" i="1"/>
  <c r="AE10" i="1" s="1"/>
  <c r="AB10" i="1"/>
  <c r="AC10" i="1" s="1"/>
  <c r="O23" i="1"/>
  <c r="J23" i="1" s="1"/>
  <c r="O25" i="1"/>
  <c r="J25" i="1" s="1"/>
  <c r="AA11" i="1"/>
  <c r="Z11" i="1"/>
  <c r="X11" i="1"/>
  <c r="W11" i="1"/>
  <c r="AB11" i="1" l="1"/>
  <c r="AC11" i="1" s="1"/>
  <c r="O26" i="1"/>
  <c r="J26" i="1" s="1"/>
  <c r="O27" i="1"/>
  <c r="J27" i="1" s="1"/>
  <c r="AD11" i="1"/>
  <c r="AE11" i="1" s="1"/>
  <c r="AA12" i="1"/>
  <c r="O28" i="1"/>
  <c r="J28" i="1" s="1"/>
  <c r="Z12" i="1"/>
  <c r="W12" i="1"/>
  <c r="X12" i="1"/>
  <c r="O30" i="1" l="1"/>
  <c r="J30" i="1" s="1"/>
  <c r="AD12" i="1"/>
  <c r="AE12" i="1" s="1"/>
  <c r="O29" i="1"/>
  <c r="J29" i="1" s="1"/>
  <c r="AB12" i="1"/>
  <c r="AC12" i="1" s="1"/>
  <c r="AA13" i="1"/>
  <c r="O31" i="1"/>
  <c r="J31" i="1" s="1"/>
  <c r="Z13" i="1"/>
  <c r="X13" i="1"/>
  <c r="W13" i="1"/>
  <c r="AB13" i="1" l="1"/>
  <c r="AC13" i="1" s="1"/>
  <c r="O32" i="1"/>
  <c r="J32" i="1" s="1"/>
  <c r="AD13" i="1"/>
  <c r="AE13" i="1" s="1"/>
  <c r="O33" i="1"/>
  <c r="J33" i="1" s="1"/>
  <c r="O34" i="1"/>
  <c r="J34" i="1" s="1"/>
  <c r="AA14" i="1"/>
  <c r="Z14" i="1"/>
  <c r="W14" i="1"/>
  <c r="X14" i="1"/>
  <c r="AD14" i="1" l="1"/>
  <c r="AE14" i="1" s="1"/>
  <c r="O36" i="1"/>
  <c r="J36" i="1" s="1"/>
  <c r="AB14" i="1"/>
  <c r="AC14" i="1" s="1"/>
  <c r="O35" i="1"/>
  <c r="J35" i="1" s="1"/>
  <c r="O37" i="1"/>
  <c r="J37" i="1" s="1"/>
  <c r="AA15" i="1"/>
  <c r="Z15" i="1"/>
  <c r="W15" i="1"/>
  <c r="X15" i="1"/>
  <c r="O38" i="1" l="1"/>
  <c r="J38" i="1" s="1"/>
  <c r="AB15" i="1"/>
  <c r="AC15" i="1" s="1"/>
  <c r="AA16" i="1"/>
  <c r="O40" i="1"/>
  <c r="J40" i="1" s="1"/>
  <c r="Z16" i="1"/>
  <c r="W16" i="1"/>
  <c r="X16" i="1"/>
  <c r="AD15" i="1"/>
  <c r="AE15" i="1" s="1"/>
  <c r="O39" i="1"/>
  <c r="J39" i="1" s="1"/>
  <c r="AD16" i="1" l="1"/>
  <c r="AE16" i="1" s="1"/>
  <c r="O42" i="1"/>
  <c r="J42" i="1" s="1"/>
  <c r="O41" i="1"/>
  <c r="J41" i="1" s="1"/>
  <c r="AB16" i="1"/>
  <c r="AC16" i="1" s="1"/>
  <c r="AA17" i="1"/>
  <c r="O43" i="1"/>
  <c r="J43" i="1" s="1"/>
  <c r="Z17" i="1"/>
  <c r="W17" i="1"/>
  <c r="X17" i="1"/>
  <c r="AD17" i="1" l="1"/>
  <c r="AE17" i="1" s="1"/>
  <c r="O45" i="1"/>
  <c r="J45" i="1" s="1"/>
  <c r="O44" i="1"/>
  <c r="J44" i="1" s="1"/>
  <c r="AB17" i="1"/>
  <c r="AC17" i="1" s="1"/>
  <c r="O46" i="1"/>
  <c r="J46" i="1" s="1"/>
  <c r="AA18" i="1"/>
  <c r="Z18" i="1"/>
  <c r="X18" i="1"/>
  <c r="W18" i="1"/>
  <c r="O47" i="1" l="1"/>
  <c r="J47" i="1" s="1"/>
  <c r="AB18" i="1"/>
  <c r="AC18" i="1" s="1"/>
  <c r="AD18" i="1"/>
  <c r="AE18" i="1" s="1"/>
  <c r="O48" i="1"/>
  <c r="J48" i="1" s="1"/>
  <c r="O49" i="1"/>
  <c r="J49" i="1" s="1"/>
  <c r="AA19" i="1"/>
  <c r="Z19" i="1"/>
  <c r="W19" i="1"/>
  <c r="X19" i="1"/>
  <c r="AD19" i="1" l="1"/>
  <c r="AE19" i="1" s="1"/>
  <c r="O51" i="1"/>
  <c r="J51" i="1" s="1"/>
  <c r="AB19" i="1"/>
  <c r="AC19" i="1" s="1"/>
  <c r="O50" i="1"/>
  <c r="J50" i="1" s="1"/>
  <c r="AA20" i="1"/>
  <c r="O52" i="1"/>
  <c r="J52" i="1" s="1"/>
  <c r="Z20" i="1"/>
  <c r="W20" i="1"/>
  <c r="X20" i="1"/>
  <c r="O54" i="1" l="1"/>
  <c r="J54" i="1" s="1"/>
  <c r="AD20" i="1"/>
  <c r="AE20" i="1" s="1"/>
  <c r="O53" i="1"/>
  <c r="J53" i="1" s="1"/>
  <c r="AB20" i="1"/>
  <c r="AC20" i="1" s="1"/>
  <c r="AA21" i="1"/>
  <c r="O55" i="1"/>
  <c r="J55" i="1" s="1"/>
  <c r="Z21" i="1"/>
  <c r="W21" i="1"/>
  <c r="X21" i="1"/>
  <c r="O57" i="1" l="1"/>
  <c r="J57" i="1" s="1"/>
  <c r="AD21" i="1"/>
  <c r="AE21" i="1" s="1"/>
  <c r="AB21" i="1"/>
  <c r="AC21" i="1" s="1"/>
  <c r="O56" i="1"/>
  <c r="J56" i="1" s="1"/>
  <c r="O58" i="1"/>
  <c r="J58" i="1" s="1"/>
  <c r="AA22" i="1"/>
  <c r="Z22" i="1"/>
  <c r="X22" i="1"/>
  <c r="W22" i="1"/>
  <c r="AB22" i="1" l="1"/>
  <c r="AC22" i="1" s="1"/>
  <c r="O59" i="1"/>
  <c r="J59" i="1" s="1"/>
  <c r="AD22" i="1"/>
  <c r="AE22" i="1" s="1"/>
  <c r="O60" i="1"/>
  <c r="J60" i="1" s="1"/>
  <c r="O61" i="1"/>
  <c r="J61" i="1" s="1"/>
  <c r="AA23" i="1"/>
  <c r="Z23" i="1"/>
  <c r="X23" i="1"/>
  <c r="W23" i="1"/>
  <c r="O62" i="1" l="1"/>
  <c r="J62" i="1" s="1"/>
  <c r="AB23" i="1"/>
  <c r="AC23" i="1" s="1"/>
  <c r="AD23" i="1"/>
  <c r="AE23" i="1" s="1"/>
  <c r="O63" i="1"/>
  <c r="J63" i="1" s="1"/>
  <c r="AA24" i="1"/>
  <c r="O64" i="1"/>
  <c r="J64" i="1" s="1"/>
  <c r="Z24" i="1"/>
  <c r="X24" i="1"/>
  <c r="W24" i="1"/>
  <c r="O65" i="1" l="1"/>
  <c r="J65" i="1" s="1"/>
  <c r="AB24" i="1"/>
  <c r="AC24" i="1" s="1"/>
  <c r="AD24" i="1"/>
  <c r="AE24" i="1" s="1"/>
  <c r="O66" i="1"/>
  <c r="J66" i="1" s="1"/>
  <c r="AA25" i="1"/>
  <c r="O67" i="1"/>
  <c r="J67" i="1" s="1"/>
  <c r="Z25" i="1"/>
  <c r="W25" i="1"/>
  <c r="X25" i="1"/>
  <c r="AD25" i="1" l="1"/>
  <c r="AE25" i="1" s="1"/>
  <c r="O69" i="1"/>
  <c r="J69" i="1" s="1"/>
  <c r="O68" i="1"/>
  <c r="J68" i="1" s="1"/>
  <c r="AB25" i="1"/>
  <c r="AC25" i="1" s="1"/>
  <c r="O70" i="1"/>
  <c r="J70" i="1" s="1"/>
  <c r="AA26" i="1"/>
  <c r="Z26" i="1"/>
  <c r="W26" i="1"/>
  <c r="X26" i="1"/>
  <c r="O72" i="1" l="1"/>
  <c r="J72" i="1" s="1"/>
  <c r="AD26" i="1"/>
  <c r="AE26" i="1" s="1"/>
  <c r="AB26" i="1"/>
  <c r="AC26" i="1" s="1"/>
  <c r="O71" i="1"/>
  <c r="J71" i="1" s="1"/>
  <c r="O73" i="1"/>
  <c r="J73" i="1" s="1"/>
  <c r="AA27" i="1"/>
  <c r="Z27" i="1"/>
  <c r="X27" i="1"/>
  <c r="W27" i="1"/>
  <c r="AB27" i="1" l="1"/>
  <c r="AC27" i="1" s="1"/>
  <c r="O74" i="1"/>
  <c r="J74" i="1" s="1"/>
  <c r="O75" i="1"/>
  <c r="J75" i="1" s="1"/>
  <c r="AD27" i="1"/>
  <c r="AE27" i="1" s="1"/>
  <c r="O76" i="1"/>
  <c r="J76" i="1" s="1"/>
  <c r="AA28" i="1"/>
  <c r="Z28" i="1"/>
  <c r="W28" i="1"/>
  <c r="X28" i="1"/>
  <c r="AD28" i="1" l="1"/>
  <c r="AE28" i="1" s="1"/>
  <c r="O78" i="1"/>
  <c r="J78" i="1" s="1"/>
  <c r="O77" i="1"/>
  <c r="J77" i="1" s="1"/>
  <c r="AB28" i="1"/>
  <c r="AC28" i="1" s="1"/>
  <c r="AA29" i="1"/>
  <c r="O79" i="1"/>
  <c r="J79" i="1" s="1"/>
  <c r="Z29" i="1"/>
  <c r="X29" i="1"/>
  <c r="W29" i="1"/>
  <c r="AB29" i="1" l="1"/>
  <c r="AC29" i="1" s="1"/>
  <c r="O80" i="1"/>
  <c r="J80" i="1" s="1"/>
  <c r="O81" i="1"/>
  <c r="J81" i="1" s="1"/>
  <c r="AD29" i="1"/>
  <c r="AE29" i="1" s="1"/>
  <c r="O82" i="1"/>
  <c r="J82" i="1" s="1"/>
  <c r="AA30" i="1"/>
  <c r="Z30" i="1"/>
  <c r="W30" i="1"/>
  <c r="X30" i="1"/>
  <c r="O84" i="1" l="1"/>
  <c r="J84" i="1" s="1"/>
  <c r="AD30" i="1"/>
  <c r="AE30" i="1" s="1"/>
  <c r="AB30" i="1"/>
  <c r="AC30" i="1" s="1"/>
  <c r="O83" i="1"/>
  <c r="J83" i="1" s="1"/>
  <c r="O85" i="1"/>
  <c r="J85" i="1" s="1"/>
  <c r="AA31" i="1"/>
  <c r="Z31" i="1"/>
  <c r="X31" i="1"/>
  <c r="W31" i="1"/>
  <c r="O86" i="1" l="1"/>
  <c r="J86" i="1" s="1"/>
  <c r="AB31" i="1"/>
  <c r="AC31" i="1" s="1"/>
  <c r="AD31" i="1"/>
  <c r="AE31" i="1" s="1"/>
  <c r="O87" i="1"/>
  <c r="J87" i="1" s="1"/>
  <c r="AA32" i="1"/>
  <c r="O88" i="1"/>
  <c r="J88" i="1" s="1"/>
  <c r="Z32" i="1"/>
  <c r="W32" i="1"/>
  <c r="X32" i="1"/>
  <c r="O90" i="1" l="1"/>
  <c r="J90" i="1" s="1"/>
  <c r="AD32" i="1"/>
  <c r="AE32" i="1" s="1"/>
  <c r="O89" i="1"/>
  <c r="J89" i="1" s="1"/>
  <c r="AB32" i="1"/>
  <c r="AC32" i="1" s="1"/>
  <c r="AA33" i="1"/>
  <c r="O91" i="1"/>
  <c r="J91" i="1" s="1"/>
  <c r="Z33" i="1"/>
  <c r="X33" i="1"/>
  <c r="W33" i="1"/>
  <c r="O93" i="1" l="1"/>
  <c r="J93" i="1" s="1"/>
  <c r="AD33" i="1"/>
  <c r="AE33" i="1" s="1"/>
  <c r="AB33" i="1"/>
  <c r="AC33" i="1" s="1"/>
  <c r="O92" i="1"/>
  <c r="J92" i="1" s="1"/>
</calcChain>
</file>

<file path=xl/sharedStrings.xml><?xml version="1.0" encoding="utf-8"?>
<sst xmlns="http://schemas.openxmlformats.org/spreadsheetml/2006/main" count="410" uniqueCount="42">
  <si>
    <t>id</t>
  </si>
  <si>
    <t>int32</t>
  </si>
  <si>
    <t>编号</t>
  </si>
  <si>
    <t>int32</t>
    <phoneticPr fontId="1" type="noConversion"/>
  </si>
  <si>
    <t>string</t>
    <phoneticPr fontId="1" type="noConversion"/>
  </si>
  <si>
    <t>图标</t>
    <phoneticPr fontId="1" type="noConversion"/>
  </si>
  <si>
    <t>goods_type</t>
  </si>
  <si>
    <t>goods_param1</t>
  </si>
  <si>
    <r>
      <rPr>
        <sz val="11"/>
        <color theme="1"/>
        <rFont val="宋体"/>
        <family val="3"/>
        <charset val="134"/>
        <scheme val="minor"/>
      </rPr>
      <t>g</t>
    </r>
    <r>
      <rPr>
        <sz val="11"/>
        <color theme="1"/>
        <rFont val="宋体"/>
        <family val="3"/>
        <charset val="134"/>
        <scheme val="minor"/>
      </rPr>
      <t>oods</t>
    </r>
    <r>
      <rPr>
        <sz val="11"/>
        <color theme="1"/>
        <rFont val="宋体"/>
        <family val="3"/>
        <charset val="134"/>
        <scheme val="minor"/>
      </rPr>
      <t>_param2</t>
    </r>
  </si>
  <si>
    <r>
      <rPr>
        <sz val="11"/>
        <color theme="1"/>
        <rFont val="宋体"/>
        <family val="3"/>
        <charset val="134"/>
        <scheme val="minor"/>
      </rPr>
      <t>g</t>
    </r>
    <r>
      <rPr>
        <sz val="11"/>
        <color theme="1"/>
        <rFont val="宋体"/>
        <family val="3"/>
        <charset val="134"/>
        <scheme val="minor"/>
      </rPr>
      <t>oods</t>
    </r>
    <r>
      <rPr>
        <sz val="11"/>
        <color theme="1"/>
        <rFont val="宋体"/>
        <family val="3"/>
        <charset val="134"/>
        <scheme val="minor"/>
      </rPr>
      <t>_param3</t>
    </r>
  </si>
  <si>
    <r>
      <rPr>
        <sz val="11"/>
        <color theme="1"/>
        <rFont val="宋体"/>
        <family val="3"/>
        <charset val="134"/>
        <scheme val="minor"/>
      </rPr>
      <t>g</t>
    </r>
    <r>
      <rPr>
        <sz val="11"/>
        <color theme="1"/>
        <rFont val="宋体"/>
        <family val="3"/>
        <charset val="134"/>
        <scheme val="minor"/>
      </rPr>
      <t>oods</t>
    </r>
    <r>
      <rPr>
        <sz val="11"/>
        <color theme="1"/>
        <rFont val="宋体"/>
        <family val="3"/>
        <charset val="134"/>
        <scheme val="minor"/>
      </rPr>
      <t>_num</t>
    </r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</si>
  <si>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</si>
  <si>
    <t>奖励类型</t>
  </si>
  <si>
    <t>奖励参数</t>
  </si>
  <si>
    <t>奖励数量</t>
  </si>
  <si>
    <t>order_type</t>
    <phoneticPr fontId="1" type="noConversion"/>
  </si>
  <si>
    <t>icon</t>
    <phoneticPr fontId="1" type="noConversion"/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</si>
  <si>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  <phoneticPr fontId="1" type="noConversion"/>
  </si>
  <si>
    <t>价格</t>
    <phoneticPr fontId="1" type="noConversion"/>
  </si>
  <si>
    <t>guild_lv</t>
    <phoneticPr fontId="1" type="noConversion"/>
  </si>
  <si>
    <t>对应公会等级</t>
    <phoneticPr fontId="1" type="noConversion"/>
  </si>
  <si>
    <t>price</t>
    <phoneticPr fontId="1" type="noConversion"/>
  </si>
  <si>
    <t>低0中1高2</t>
    <phoneticPr fontId="1" type="noConversion"/>
  </si>
  <si>
    <t>0,0</t>
    <phoneticPr fontId="1" type="noConversion"/>
  </si>
  <si>
    <t>公会等级</t>
    <phoneticPr fontId="1" type="noConversion"/>
  </si>
  <si>
    <t>初级订单</t>
    <phoneticPr fontId="1" type="noConversion"/>
  </si>
  <si>
    <t>中级订单</t>
    <phoneticPr fontId="1" type="noConversion"/>
  </si>
  <si>
    <t>高级订单</t>
    <phoneticPr fontId="1" type="noConversion"/>
  </si>
  <si>
    <t>公会币数量</t>
    <phoneticPr fontId="1" type="noConversion"/>
  </si>
  <si>
    <t>公会经验</t>
    <phoneticPr fontId="1" type="noConversion"/>
  </si>
  <si>
    <t>公会币/天</t>
    <phoneticPr fontId="1" type="noConversion"/>
  </si>
  <si>
    <t>所需/天</t>
    <phoneticPr fontId="1" type="noConversion"/>
  </si>
  <si>
    <t>高级订单</t>
    <phoneticPr fontId="1" type="noConversion"/>
  </si>
  <si>
    <t>中级订单</t>
    <phoneticPr fontId="1" type="noConversion"/>
  </si>
  <si>
    <t>所需天</t>
    <phoneticPr fontId="1" type="noConversion"/>
  </si>
  <si>
    <t>钻石</t>
    <phoneticPr fontId="1" type="noConversion"/>
  </si>
  <si>
    <t>初级订单</t>
    <phoneticPr fontId="1" type="noConversion"/>
  </si>
  <si>
    <t>28,29</t>
  </si>
  <si>
    <t>五星明星传奇卡价格</t>
    <phoneticPr fontId="1" type="noConversion"/>
  </si>
  <si>
    <t>天</t>
    <phoneticPr fontId="1" type="noConversion"/>
  </si>
  <si>
    <t>升级经验</t>
    <phoneticPr fontId="1" type="noConversion"/>
  </si>
  <si>
    <t>预期满级时间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</si>
</sst>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0_);[Red]\(0.00\)"/>
  </numFmts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0" fontId="0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 applyAlignment="1"/>
    <xf numFmtId="0" fontId="3" fillId="0" borderId="0" xfId="0" applyNumberFormat="1" applyFont="1" applyFill="1" applyBorder="1" applyAlignment="1" applyProtection="1">
      <alignment horizontal="center" vertical="top" wrapText="1"/>
    </xf>
    <xf numFmtId="0" fontId="2" fillId="0" borderId="0" xfId="0" applyFont="1"/>
    <xf numFmtId="0" fontId="2" fillId="0" borderId="0" xfId="0" applyNumberFormat="1" applyFont="1" applyAlignme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93"/>
  <sheetViews>
    <sheetView tabSelected="1" topLeftCell="M1" workbookViewId="0">
      <selection activeCell="AG4" sqref="AG4"/>
    </sheetView>
  </sheetViews>
  <sheetFormatPr defaultColWidth="9" defaultRowHeight="13.5" x14ac:dyDescent="0.15"/>
  <cols>
    <col min="1" max="2" width="6.5" customWidth="1"/>
    <col min="3" max="3" width="16.625" customWidth="1"/>
    <col min="4" max="4" width="11.625" bestFit="1" customWidth="1"/>
    <col min="5" max="5" width="11.625" customWidth="1"/>
    <col min="6" max="6" width="12.75" style="1" bestFit="1" customWidth="1"/>
    <col min="7" max="9" width="13.875" bestFit="1" customWidth="1"/>
    <col min="10" max="10" width="12.75" bestFit="1" customWidth="1"/>
    <col min="20" max="20" width="9" style="8"/>
    <col min="26" max="26" width="11" bestFit="1" customWidth="1"/>
    <col min="35" max="35" width="13" bestFit="1" customWidth="1"/>
    <col min="36" max="36" width="9.5" bestFit="1" customWidth="1"/>
  </cols>
  <sheetData>
    <row r="1" spans="1:36" x14ac:dyDescent="0.15">
      <c r="A1" t="s">
        <v>0</v>
      </c>
      <c r="B1" t="s">
        <v>16</v>
      </c>
      <c r="C1" t="s">
        <v>19</v>
      </c>
      <c r="D1" t="s">
        <v>15</v>
      </c>
      <c r="E1" t="s">
        <v>21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Z1" s="6" t="s">
        <v>38</v>
      </c>
      <c r="AA1" s="5">
        <v>40000</v>
      </c>
    </row>
    <row r="2" spans="1:36" x14ac:dyDescent="0.15">
      <c r="A2" t="s">
        <v>1</v>
      </c>
      <c r="B2" t="s">
        <v>4</v>
      </c>
      <c r="C2" t="s">
        <v>1</v>
      </c>
      <c r="D2" t="s">
        <v>3</v>
      </c>
      <c r="E2" t="s">
        <v>3</v>
      </c>
      <c r="F2" s="4" t="s">
        <v>17</v>
      </c>
      <c r="G2" s="2" t="s">
        <v>11</v>
      </c>
      <c r="H2" s="2" t="s">
        <v>11</v>
      </c>
      <c r="I2" s="2" t="s">
        <v>11</v>
      </c>
      <c r="J2" s="2" t="s">
        <v>11</v>
      </c>
      <c r="V2">
        <v>1</v>
      </c>
      <c r="W2">
        <v>2</v>
      </c>
      <c r="X2">
        <v>3</v>
      </c>
      <c r="AA2" s="6" t="s">
        <v>36</v>
      </c>
      <c r="AB2" s="9" t="s">
        <v>33</v>
      </c>
      <c r="AC2" s="9"/>
      <c r="AD2" s="9" t="s">
        <v>32</v>
      </c>
      <c r="AE2" s="9"/>
    </row>
    <row r="3" spans="1:36" x14ac:dyDescent="0.15">
      <c r="A3" t="s">
        <v>2</v>
      </c>
      <c r="B3" t="s">
        <v>5</v>
      </c>
      <c r="C3" t="s">
        <v>20</v>
      </c>
      <c r="D3" t="s">
        <v>22</v>
      </c>
      <c r="E3" t="s">
        <v>18</v>
      </c>
      <c r="F3" s="2" t="s">
        <v>12</v>
      </c>
      <c r="G3" s="2" t="s">
        <v>13</v>
      </c>
      <c r="H3" s="2" t="s">
        <v>13</v>
      </c>
      <c r="I3" s="2" t="s">
        <v>13</v>
      </c>
      <c r="J3" s="2" t="s">
        <v>14</v>
      </c>
      <c r="O3" s="6" t="s">
        <v>28</v>
      </c>
      <c r="P3" s="6" t="s">
        <v>29</v>
      </c>
      <c r="U3" s="6" t="s">
        <v>24</v>
      </c>
      <c r="V3" s="6" t="s">
        <v>25</v>
      </c>
      <c r="W3" s="6" t="s">
        <v>26</v>
      </c>
      <c r="X3" s="6" t="s">
        <v>27</v>
      </c>
      <c r="Z3" s="6" t="s">
        <v>30</v>
      </c>
      <c r="AA3" s="6" t="s">
        <v>31</v>
      </c>
      <c r="AB3" s="6" t="s">
        <v>34</v>
      </c>
      <c r="AC3" s="6" t="s">
        <v>35</v>
      </c>
      <c r="AD3" s="6" t="s">
        <v>34</v>
      </c>
      <c r="AE3" s="6" t="s">
        <v>35</v>
      </c>
      <c r="AH3" s="6" t="s">
        <v>24</v>
      </c>
      <c r="AI3" s="6" t="s">
        <v>40</v>
      </c>
      <c r="AJ3" s="6" t="s">
        <v>39</v>
      </c>
    </row>
    <row r="4" spans="1:36" x14ac:dyDescent="0.15">
      <c r="A4">
        <v>1</v>
      </c>
      <c r="B4">
        <v>0</v>
      </c>
      <c r="C4">
        <f>ROUNDUP(A4/3,0)</f>
        <v>1</v>
      </c>
      <c r="D4">
        <v>0</v>
      </c>
      <c r="E4">
        <v>0</v>
      </c>
      <c r="F4" s="3" t="s">
        <v>37</v>
      </c>
      <c r="G4" s="4" t="s">
        <v>23</v>
      </c>
      <c r="H4" s="4" t="s">
        <v>23</v>
      </c>
      <c r="I4" s="4" t="s">
        <v>23</v>
      </c>
      <c r="J4" s="7" t="str">
        <f>O4&amp;","&amp;P4</f>
        <v>50,5</v>
      </c>
      <c r="O4">
        <f>INDEX($V$4:$V$33,MATCH($C4,$U$4:$U$33,0))</f>
        <v>50</v>
      </c>
      <c r="P4">
        <v>5</v>
      </c>
      <c r="S4">
        <f>50*(1+T4)</f>
        <v>50</v>
      </c>
      <c r="T4" s="5">
        <v>0</v>
      </c>
      <c r="U4">
        <v>1</v>
      </c>
      <c r="V4" s="8">
        <f>S4</f>
        <v>50</v>
      </c>
      <c r="W4" s="5">
        <f>V4*$W$2</f>
        <v>100</v>
      </c>
      <c r="X4" s="5">
        <f>V4*$X$2</f>
        <v>150</v>
      </c>
      <c r="Z4">
        <f t="shared" ref="Z4:Z33" si="0">V4+50</f>
        <v>100</v>
      </c>
      <c r="AA4">
        <f t="shared" ref="AA4:AA33" si="1">FLOOR($AA$1/(V4+50),1)</f>
        <v>400</v>
      </c>
      <c r="AB4">
        <f t="shared" ref="AB4:AB33" si="2">FLOOR($AA$1/(W4+50),1)</f>
        <v>266</v>
      </c>
      <c r="AC4">
        <f>AB4*30</f>
        <v>7980</v>
      </c>
      <c r="AD4">
        <f t="shared" ref="AD4:AD33" si="3">FLOOR($AA$1/(X4+50),1)</f>
        <v>200</v>
      </c>
      <c r="AE4">
        <f>AD4*50</f>
        <v>10000</v>
      </c>
      <c r="AG4">
        <v>21</v>
      </c>
      <c r="AH4">
        <v>1</v>
      </c>
      <c r="AI4">
        <v>450</v>
      </c>
      <c r="AJ4" s="10">
        <f>AI4/(AG4*70)</f>
        <v>0.30612244897959184</v>
      </c>
    </row>
    <row r="5" spans="1:36" x14ac:dyDescent="0.15">
      <c r="A5">
        <v>2</v>
      </c>
      <c r="B5">
        <v>0</v>
      </c>
      <c r="C5">
        <f t="shared" ref="C5:C68" si="4">ROUNDUP(A5/3,0)</f>
        <v>1</v>
      </c>
      <c r="D5">
        <v>1</v>
      </c>
      <c r="E5">
        <v>30</v>
      </c>
      <c r="F5" s="3" t="s">
        <v>37</v>
      </c>
      <c r="G5" s="4" t="s">
        <v>23</v>
      </c>
      <c r="H5" s="4" t="s">
        <v>23</v>
      </c>
      <c r="I5" s="4" t="s">
        <v>23</v>
      </c>
      <c r="J5" s="7" t="str">
        <f t="shared" ref="J5:J68" si="5">O5&amp;","&amp;P5</f>
        <v>100,10</v>
      </c>
      <c r="O5">
        <f>INDEX($W$4:$W$33,MATCH($C5,$U$4:$U$33,0))</f>
        <v>100</v>
      </c>
      <c r="P5">
        <v>10</v>
      </c>
      <c r="S5">
        <f t="shared" ref="S5:S33" si="6">50*(1+T5)</f>
        <v>100</v>
      </c>
      <c r="T5" s="8">
        <v>1</v>
      </c>
      <c r="U5">
        <v>2</v>
      </c>
      <c r="V5" s="8">
        <f t="shared" ref="V5:V33" si="7">S5</f>
        <v>100</v>
      </c>
      <c r="W5" s="5">
        <f>V5*$W$2</f>
        <v>200</v>
      </c>
      <c r="X5" s="5">
        <f>V5*$X$2</f>
        <v>300</v>
      </c>
      <c r="Y5" s="5"/>
      <c r="Z5">
        <f t="shared" si="0"/>
        <v>150</v>
      </c>
      <c r="AA5">
        <f t="shared" si="1"/>
        <v>266</v>
      </c>
      <c r="AB5">
        <f t="shared" si="2"/>
        <v>160</v>
      </c>
      <c r="AC5">
        <f t="shared" ref="AC5:AC33" si="8">AB5*30</f>
        <v>4800</v>
      </c>
      <c r="AD5">
        <f t="shared" si="3"/>
        <v>114</v>
      </c>
      <c r="AE5">
        <f t="shared" ref="AE5:AE33" si="9">AD5*50</f>
        <v>5700</v>
      </c>
      <c r="AG5">
        <v>22</v>
      </c>
      <c r="AH5">
        <v>2</v>
      </c>
      <c r="AI5">
        <v>1030</v>
      </c>
      <c r="AJ5" s="10">
        <f>AI5/(AG5*70)</f>
        <v>0.66883116883116878</v>
      </c>
    </row>
    <row r="6" spans="1:36" x14ac:dyDescent="0.15">
      <c r="A6">
        <v>3</v>
      </c>
      <c r="B6">
        <v>0</v>
      </c>
      <c r="C6">
        <f t="shared" si="4"/>
        <v>1</v>
      </c>
      <c r="D6">
        <v>2</v>
      </c>
      <c r="E6">
        <v>50</v>
      </c>
      <c r="F6" s="3" t="s">
        <v>37</v>
      </c>
      <c r="G6" s="4" t="s">
        <v>23</v>
      </c>
      <c r="H6" s="4" t="s">
        <v>23</v>
      </c>
      <c r="I6" s="4" t="s">
        <v>23</v>
      </c>
      <c r="J6" s="7" t="str">
        <f t="shared" si="5"/>
        <v>150,20</v>
      </c>
      <c r="O6">
        <f>INDEX($X$4:$X$33,MATCH($C6,$U$4:$U$33,0))</f>
        <v>150</v>
      </c>
      <c r="P6">
        <v>20</v>
      </c>
      <c r="S6">
        <f t="shared" si="6"/>
        <v>150</v>
      </c>
      <c r="T6" s="5">
        <v>2</v>
      </c>
      <c r="U6">
        <v>3</v>
      </c>
      <c r="V6" s="8">
        <f t="shared" si="7"/>
        <v>150</v>
      </c>
      <c r="W6" s="5">
        <f t="shared" ref="W6:W33" si="10">V6*$W$2</f>
        <v>300</v>
      </c>
      <c r="X6" s="5">
        <f t="shared" ref="X6:X33" si="11">V6*$X$2</f>
        <v>450</v>
      </c>
      <c r="Z6">
        <f t="shared" si="0"/>
        <v>200</v>
      </c>
      <c r="AA6">
        <f t="shared" si="1"/>
        <v>200</v>
      </c>
      <c r="AB6">
        <f t="shared" si="2"/>
        <v>114</v>
      </c>
      <c r="AC6">
        <f t="shared" si="8"/>
        <v>3420</v>
      </c>
      <c r="AD6">
        <f t="shared" si="3"/>
        <v>80</v>
      </c>
      <c r="AE6">
        <f t="shared" si="9"/>
        <v>4000</v>
      </c>
      <c r="AG6">
        <v>23</v>
      </c>
      <c r="AH6">
        <v>3</v>
      </c>
      <c r="AI6">
        <v>1720</v>
      </c>
      <c r="AJ6" s="10">
        <f>AI6/(AG6*70)</f>
        <v>1.0683229813664596</v>
      </c>
    </row>
    <row r="7" spans="1:36" x14ac:dyDescent="0.15">
      <c r="A7">
        <v>4</v>
      </c>
      <c r="B7">
        <v>0</v>
      </c>
      <c r="C7">
        <f t="shared" si="4"/>
        <v>2</v>
      </c>
      <c r="D7">
        <v>0</v>
      </c>
      <c r="E7">
        <v>0</v>
      </c>
      <c r="F7" s="3" t="s">
        <v>37</v>
      </c>
      <c r="G7" s="4" t="s">
        <v>23</v>
      </c>
      <c r="H7" s="4" t="s">
        <v>23</v>
      </c>
      <c r="I7" s="4" t="s">
        <v>23</v>
      </c>
      <c r="J7" s="7" t="str">
        <f t="shared" si="5"/>
        <v>100,5</v>
      </c>
      <c r="O7">
        <f t="shared" ref="O7" si="12">INDEX($V$4:$V$33,MATCH($C7,$U$4:$U$33,0))</f>
        <v>100</v>
      </c>
      <c r="P7">
        <v>5</v>
      </c>
      <c r="S7">
        <f t="shared" si="6"/>
        <v>200</v>
      </c>
      <c r="T7" s="8">
        <v>3</v>
      </c>
      <c r="U7">
        <v>4</v>
      </c>
      <c r="V7" s="8">
        <f t="shared" si="7"/>
        <v>200</v>
      </c>
      <c r="W7" s="5">
        <f t="shared" si="10"/>
        <v>400</v>
      </c>
      <c r="X7" s="5">
        <f t="shared" si="11"/>
        <v>600</v>
      </c>
      <c r="Z7">
        <f t="shared" si="0"/>
        <v>250</v>
      </c>
      <c r="AA7">
        <f t="shared" si="1"/>
        <v>160</v>
      </c>
      <c r="AB7">
        <f t="shared" si="2"/>
        <v>88</v>
      </c>
      <c r="AC7">
        <f t="shared" si="8"/>
        <v>2640</v>
      </c>
      <c r="AD7">
        <f t="shared" si="3"/>
        <v>61</v>
      </c>
      <c r="AE7">
        <f t="shared" si="9"/>
        <v>3050</v>
      </c>
      <c r="AG7">
        <v>24</v>
      </c>
      <c r="AH7">
        <v>4</v>
      </c>
      <c r="AI7">
        <v>2600</v>
      </c>
      <c r="AJ7" s="10">
        <f>AI7/(AG7*70)</f>
        <v>1.5476190476190477</v>
      </c>
    </row>
    <row r="8" spans="1:36" x14ac:dyDescent="0.15">
      <c r="A8">
        <v>5</v>
      </c>
      <c r="B8">
        <v>0</v>
      </c>
      <c r="C8">
        <f t="shared" si="4"/>
        <v>2</v>
      </c>
      <c r="D8">
        <v>1</v>
      </c>
      <c r="E8">
        <v>30</v>
      </c>
      <c r="F8" s="3" t="s">
        <v>37</v>
      </c>
      <c r="G8" s="4" t="s">
        <v>23</v>
      </c>
      <c r="H8" s="4" t="s">
        <v>23</v>
      </c>
      <c r="I8" s="4" t="s">
        <v>23</v>
      </c>
      <c r="J8" s="7" t="str">
        <f t="shared" si="5"/>
        <v>200,10</v>
      </c>
      <c r="O8">
        <f t="shared" ref="O8" si="13">INDEX($W$4:$W$33,MATCH($C8,$U$4:$U$33,0))</f>
        <v>200</v>
      </c>
      <c r="P8">
        <v>10</v>
      </c>
      <c r="S8">
        <f t="shared" si="6"/>
        <v>250</v>
      </c>
      <c r="T8" s="5">
        <v>4</v>
      </c>
      <c r="U8">
        <v>5</v>
      </c>
      <c r="V8" s="8">
        <f t="shared" si="7"/>
        <v>250</v>
      </c>
      <c r="W8" s="5">
        <f t="shared" si="10"/>
        <v>500</v>
      </c>
      <c r="X8" s="5">
        <f t="shared" si="11"/>
        <v>750</v>
      </c>
      <c r="Z8">
        <f t="shared" si="0"/>
        <v>300</v>
      </c>
      <c r="AA8">
        <f t="shared" si="1"/>
        <v>133</v>
      </c>
      <c r="AB8">
        <f t="shared" si="2"/>
        <v>72</v>
      </c>
      <c r="AC8">
        <f t="shared" si="8"/>
        <v>2160</v>
      </c>
      <c r="AD8">
        <f t="shared" si="3"/>
        <v>50</v>
      </c>
      <c r="AE8">
        <f t="shared" si="9"/>
        <v>2500</v>
      </c>
      <c r="AG8">
        <v>25</v>
      </c>
      <c r="AH8">
        <v>5</v>
      </c>
      <c r="AI8">
        <v>3660</v>
      </c>
      <c r="AJ8" s="10">
        <f>AI8/(AG8*70)</f>
        <v>2.0914285714285716</v>
      </c>
    </row>
    <row r="9" spans="1:36" x14ac:dyDescent="0.15">
      <c r="A9">
        <v>6</v>
      </c>
      <c r="B9">
        <v>0</v>
      </c>
      <c r="C9">
        <f t="shared" si="4"/>
        <v>2</v>
      </c>
      <c r="D9">
        <v>2</v>
      </c>
      <c r="E9">
        <v>50</v>
      </c>
      <c r="F9" s="3" t="s">
        <v>37</v>
      </c>
      <c r="G9" s="4" t="s">
        <v>23</v>
      </c>
      <c r="H9" s="4" t="s">
        <v>23</v>
      </c>
      <c r="I9" s="4" t="s">
        <v>23</v>
      </c>
      <c r="J9" s="7" t="str">
        <f t="shared" si="5"/>
        <v>300,20</v>
      </c>
      <c r="O9">
        <f t="shared" ref="O9" si="14">INDEX($X$4:$X$33,MATCH($C9,$U$4:$U$33,0))</f>
        <v>300</v>
      </c>
      <c r="P9">
        <v>20</v>
      </c>
      <c r="S9">
        <f t="shared" si="6"/>
        <v>300</v>
      </c>
      <c r="T9" s="8">
        <v>5</v>
      </c>
      <c r="U9">
        <v>6</v>
      </c>
      <c r="V9" s="8">
        <f t="shared" si="7"/>
        <v>300</v>
      </c>
      <c r="W9" s="5">
        <f t="shared" si="10"/>
        <v>600</v>
      </c>
      <c r="X9" s="5">
        <f t="shared" si="11"/>
        <v>900</v>
      </c>
      <c r="Z9">
        <f t="shared" si="0"/>
        <v>350</v>
      </c>
      <c r="AA9">
        <f t="shared" si="1"/>
        <v>114</v>
      </c>
      <c r="AB9">
        <f t="shared" si="2"/>
        <v>61</v>
      </c>
      <c r="AC9">
        <f t="shared" si="8"/>
        <v>1830</v>
      </c>
      <c r="AD9">
        <f t="shared" si="3"/>
        <v>42</v>
      </c>
      <c r="AE9">
        <f t="shared" si="9"/>
        <v>2100</v>
      </c>
      <c r="AG9">
        <v>26</v>
      </c>
      <c r="AH9">
        <v>6</v>
      </c>
      <c r="AI9">
        <v>5000</v>
      </c>
      <c r="AJ9" s="10">
        <f>AI9/(AG9*70)</f>
        <v>2.7472527472527473</v>
      </c>
    </row>
    <row r="10" spans="1:36" x14ac:dyDescent="0.15">
      <c r="A10">
        <v>7</v>
      </c>
      <c r="B10">
        <v>0</v>
      </c>
      <c r="C10">
        <f t="shared" si="4"/>
        <v>3</v>
      </c>
      <c r="D10">
        <v>0</v>
      </c>
      <c r="E10">
        <v>0</v>
      </c>
      <c r="F10" s="3" t="s">
        <v>37</v>
      </c>
      <c r="G10" s="4" t="s">
        <v>23</v>
      </c>
      <c r="H10" s="4" t="s">
        <v>23</v>
      </c>
      <c r="I10" s="4" t="s">
        <v>23</v>
      </c>
      <c r="J10" s="7" t="str">
        <f t="shared" si="5"/>
        <v>150,5</v>
      </c>
      <c r="O10">
        <f t="shared" ref="O10" si="15">INDEX($V$4:$V$33,MATCH($C10,$U$4:$U$33,0))</f>
        <v>150</v>
      </c>
      <c r="P10">
        <v>5</v>
      </c>
      <c r="S10">
        <f t="shared" si="6"/>
        <v>350</v>
      </c>
      <c r="T10" s="5">
        <v>6</v>
      </c>
      <c r="U10">
        <v>7</v>
      </c>
      <c r="V10" s="8">
        <f t="shared" si="7"/>
        <v>350</v>
      </c>
      <c r="W10" s="5">
        <f t="shared" si="10"/>
        <v>700</v>
      </c>
      <c r="X10" s="5">
        <f t="shared" si="11"/>
        <v>1050</v>
      </c>
      <c r="Z10">
        <f t="shared" si="0"/>
        <v>400</v>
      </c>
      <c r="AA10">
        <f t="shared" si="1"/>
        <v>100</v>
      </c>
      <c r="AB10">
        <f t="shared" si="2"/>
        <v>53</v>
      </c>
      <c r="AC10">
        <f t="shared" si="8"/>
        <v>1590</v>
      </c>
      <c r="AD10">
        <f t="shared" si="3"/>
        <v>36</v>
      </c>
      <c r="AE10">
        <f t="shared" si="9"/>
        <v>1800</v>
      </c>
      <c r="AG10">
        <v>27</v>
      </c>
      <c r="AH10">
        <v>7</v>
      </c>
      <c r="AI10">
        <v>6610</v>
      </c>
      <c r="AJ10" s="10">
        <f>AI10/(AG10*70)</f>
        <v>3.4973544973544972</v>
      </c>
    </row>
    <row r="11" spans="1:36" x14ac:dyDescent="0.15">
      <c r="A11">
        <v>8</v>
      </c>
      <c r="B11">
        <v>0</v>
      </c>
      <c r="C11">
        <f t="shared" si="4"/>
        <v>3</v>
      </c>
      <c r="D11">
        <v>1</v>
      </c>
      <c r="E11">
        <v>30</v>
      </c>
      <c r="F11" s="3" t="s">
        <v>37</v>
      </c>
      <c r="G11" s="4" t="s">
        <v>23</v>
      </c>
      <c r="H11" s="4" t="s">
        <v>23</v>
      </c>
      <c r="I11" s="4" t="s">
        <v>23</v>
      </c>
      <c r="J11" s="7" t="str">
        <f t="shared" si="5"/>
        <v>300,10</v>
      </c>
      <c r="O11">
        <f t="shared" ref="O11" si="16">INDEX($W$4:$W$33,MATCH($C11,$U$4:$U$33,0))</f>
        <v>300</v>
      </c>
      <c r="P11">
        <v>10</v>
      </c>
      <c r="S11">
        <f t="shared" si="6"/>
        <v>400</v>
      </c>
      <c r="T11" s="8">
        <v>7</v>
      </c>
      <c r="U11">
        <v>8</v>
      </c>
      <c r="V11" s="8">
        <f t="shared" si="7"/>
        <v>400</v>
      </c>
      <c r="W11" s="5">
        <f t="shared" si="10"/>
        <v>800</v>
      </c>
      <c r="X11" s="5">
        <f t="shared" si="11"/>
        <v>1200</v>
      </c>
      <c r="Z11">
        <f t="shared" si="0"/>
        <v>450</v>
      </c>
      <c r="AA11">
        <f t="shared" si="1"/>
        <v>88</v>
      </c>
      <c r="AB11">
        <f t="shared" si="2"/>
        <v>47</v>
      </c>
      <c r="AC11">
        <f t="shared" si="8"/>
        <v>1410</v>
      </c>
      <c r="AD11">
        <f t="shared" si="3"/>
        <v>32</v>
      </c>
      <c r="AE11">
        <f t="shared" si="9"/>
        <v>1600</v>
      </c>
      <c r="AG11">
        <v>28</v>
      </c>
      <c r="AH11">
        <v>8</v>
      </c>
      <c r="AI11">
        <v>8650</v>
      </c>
      <c r="AJ11" s="10">
        <f>AI11/(AG11*70)</f>
        <v>4.4132653061224492</v>
      </c>
    </row>
    <row r="12" spans="1:36" x14ac:dyDescent="0.15">
      <c r="A12">
        <v>9</v>
      </c>
      <c r="B12">
        <v>0</v>
      </c>
      <c r="C12">
        <f t="shared" si="4"/>
        <v>3</v>
      </c>
      <c r="D12">
        <v>2</v>
      </c>
      <c r="E12">
        <v>50</v>
      </c>
      <c r="F12" s="3" t="s">
        <v>37</v>
      </c>
      <c r="G12" s="4" t="s">
        <v>23</v>
      </c>
      <c r="H12" s="4" t="s">
        <v>23</v>
      </c>
      <c r="I12" s="4" t="s">
        <v>23</v>
      </c>
      <c r="J12" s="7" t="str">
        <f t="shared" si="5"/>
        <v>450,20</v>
      </c>
      <c r="O12">
        <f t="shared" ref="O12" si="17">INDEX($X$4:$X$33,MATCH($C12,$U$4:$U$33,0))</f>
        <v>450</v>
      </c>
      <c r="P12">
        <v>20</v>
      </c>
      <c r="S12">
        <f t="shared" si="6"/>
        <v>450</v>
      </c>
      <c r="T12" s="5">
        <v>8</v>
      </c>
      <c r="U12">
        <v>9</v>
      </c>
      <c r="V12" s="8">
        <f t="shared" si="7"/>
        <v>450</v>
      </c>
      <c r="W12" s="5">
        <f t="shared" si="10"/>
        <v>900</v>
      </c>
      <c r="X12" s="5">
        <f t="shared" si="11"/>
        <v>1350</v>
      </c>
      <c r="Z12">
        <f t="shared" si="0"/>
        <v>500</v>
      </c>
      <c r="AA12">
        <f t="shared" si="1"/>
        <v>80</v>
      </c>
      <c r="AB12">
        <f t="shared" si="2"/>
        <v>42</v>
      </c>
      <c r="AC12">
        <f t="shared" si="8"/>
        <v>1260</v>
      </c>
      <c r="AD12">
        <f t="shared" si="3"/>
        <v>28</v>
      </c>
      <c r="AE12">
        <f t="shared" si="9"/>
        <v>1400</v>
      </c>
      <c r="AG12">
        <v>29</v>
      </c>
      <c r="AH12">
        <v>9</v>
      </c>
      <c r="AI12">
        <v>11100</v>
      </c>
      <c r="AJ12" s="10">
        <f>AI12/(AG12*70)</f>
        <v>5.4679802955665027</v>
      </c>
    </row>
    <row r="13" spans="1:36" x14ac:dyDescent="0.15">
      <c r="A13">
        <v>10</v>
      </c>
      <c r="B13">
        <v>0</v>
      </c>
      <c r="C13">
        <f t="shared" si="4"/>
        <v>4</v>
      </c>
      <c r="D13">
        <v>0</v>
      </c>
      <c r="E13">
        <v>0</v>
      </c>
      <c r="F13" s="3" t="s">
        <v>37</v>
      </c>
      <c r="G13" s="4" t="s">
        <v>23</v>
      </c>
      <c r="H13" s="4" t="s">
        <v>23</v>
      </c>
      <c r="I13" s="4" t="s">
        <v>23</v>
      </c>
      <c r="J13" s="7" t="str">
        <f t="shared" si="5"/>
        <v>200,5</v>
      </c>
      <c r="O13">
        <f t="shared" ref="O13" si="18">INDEX($V$4:$V$33,MATCH($C13,$U$4:$U$33,0))</f>
        <v>200</v>
      </c>
      <c r="P13">
        <v>5</v>
      </c>
      <c r="S13">
        <f t="shared" si="6"/>
        <v>500</v>
      </c>
      <c r="T13" s="8">
        <v>9</v>
      </c>
      <c r="U13">
        <v>10</v>
      </c>
      <c r="V13" s="8">
        <f t="shared" si="7"/>
        <v>500</v>
      </c>
      <c r="W13" s="5">
        <f t="shared" si="10"/>
        <v>1000</v>
      </c>
      <c r="X13" s="5">
        <f t="shared" si="11"/>
        <v>1500</v>
      </c>
      <c r="Z13">
        <f t="shared" si="0"/>
        <v>550</v>
      </c>
      <c r="AA13">
        <f t="shared" si="1"/>
        <v>72</v>
      </c>
      <c r="AB13">
        <f t="shared" si="2"/>
        <v>38</v>
      </c>
      <c r="AC13">
        <f t="shared" si="8"/>
        <v>1140</v>
      </c>
      <c r="AD13">
        <f t="shared" si="3"/>
        <v>25</v>
      </c>
      <c r="AE13">
        <f t="shared" si="9"/>
        <v>1250</v>
      </c>
      <c r="AG13">
        <v>30</v>
      </c>
      <c r="AH13">
        <v>10</v>
      </c>
      <c r="AI13">
        <v>14200</v>
      </c>
      <c r="AJ13" s="10">
        <f>AI13/(AG13*70)</f>
        <v>6.7619047619047619</v>
      </c>
    </row>
    <row r="14" spans="1:36" x14ac:dyDescent="0.15">
      <c r="A14">
        <v>11</v>
      </c>
      <c r="B14">
        <v>0</v>
      </c>
      <c r="C14">
        <f t="shared" si="4"/>
        <v>4</v>
      </c>
      <c r="D14">
        <v>1</v>
      </c>
      <c r="E14">
        <v>30</v>
      </c>
      <c r="F14" s="3" t="s">
        <v>37</v>
      </c>
      <c r="G14" s="4" t="s">
        <v>23</v>
      </c>
      <c r="H14" s="4" t="s">
        <v>23</v>
      </c>
      <c r="I14" s="4" t="s">
        <v>23</v>
      </c>
      <c r="J14" s="7" t="str">
        <f t="shared" si="5"/>
        <v>400,10</v>
      </c>
      <c r="O14">
        <f t="shared" ref="O14" si="19">INDEX($W$4:$W$33,MATCH($C14,$U$4:$U$33,0))</f>
        <v>400</v>
      </c>
      <c r="P14">
        <v>10</v>
      </c>
      <c r="S14">
        <f t="shared" si="6"/>
        <v>550</v>
      </c>
      <c r="T14" s="5">
        <v>10</v>
      </c>
      <c r="U14">
        <v>11</v>
      </c>
      <c r="V14" s="8">
        <f t="shared" si="7"/>
        <v>550</v>
      </c>
      <c r="W14" s="5">
        <f t="shared" si="10"/>
        <v>1100</v>
      </c>
      <c r="X14" s="5">
        <f t="shared" si="11"/>
        <v>1650</v>
      </c>
      <c r="Z14">
        <f t="shared" si="0"/>
        <v>600</v>
      </c>
      <c r="AA14">
        <f t="shared" si="1"/>
        <v>66</v>
      </c>
      <c r="AB14">
        <f t="shared" si="2"/>
        <v>34</v>
      </c>
      <c r="AC14">
        <f t="shared" si="8"/>
        <v>1020</v>
      </c>
      <c r="AD14">
        <f t="shared" si="3"/>
        <v>23</v>
      </c>
      <c r="AE14">
        <f t="shared" si="9"/>
        <v>1150</v>
      </c>
      <c r="AG14">
        <v>31</v>
      </c>
      <c r="AH14">
        <v>11</v>
      </c>
      <c r="AI14">
        <v>17920</v>
      </c>
      <c r="AJ14" s="10">
        <f>AI14/(AG14*70)</f>
        <v>8.258064516129032</v>
      </c>
    </row>
    <row r="15" spans="1:36" x14ac:dyDescent="0.15">
      <c r="A15">
        <v>12</v>
      </c>
      <c r="B15">
        <v>0</v>
      </c>
      <c r="C15">
        <f t="shared" si="4"/>
        <v>4</v>
      </c>
      <c r="D15">
        <v>2</v>
      </c>
      <c r="E15">
        <v>50</v>
      </c>
      <c r="F15" s="3" t="s">
        <v>37</v>
      </c>
      <c r="G15" s="4" t="s">
        <v>23</v>
      </c>
      <c r="H15" s="4" t="s">
        <v>23</v>
      </c>
      <c r="I15" s="4" t="s">
        <v>23</v>
      </c>
      <c r="J15" s="7" t="str">
        <f t="shared" si="5"/>
        <v>600,20</v>
      </c>
      <c r="O15">
        <f t="shared" ref="O15" si="20">INDEX($X$4:$X$33,MATCH($C15,$U$4:$U$33,0))</f>
        <v>600</v>
      </c>
      <c r="P15">
        <v>20</v>
      </c>
      <c r="S15">
        <f t="shared" si="6"/>
        <v>600</v>
      </c>
      <c r="T15" s="8">
        <v>11</v>
      </c>
      <c r="U15">
        <v>12</v>
      </c>
      <c r="V15" s="8">
        <f t="shared" si="7"/>
        <v>600</v>
      </c>
      <c r="W15" s="5">
        <f t="shared" si="10"/>
        <v>1200</v>
      </c>
      <c r="X15" s="5">
        <f t="shared" si="11"/>
        <v>1800</v>
      </c>
      <c r="Z15">
        <f t="shared" si="0"/>
        <v>650</v>
      </c>
      <c r="AA15">
        <f t="shared" si="1"/>
        <v>61</v>
      </c>
      <c r="AB15">
        <f t="shared" si="2"/>
        <v>32</v>
      </c>
      <c r="AC15">
        <f t="shared" si="8"/>
        <v>960</v>
      </c>
      <c r="AD15">
        <f t="shared" si="3"/>
        <v>21</v>
      </c>
      <c r="AE15">
        <f t="shared" si="9"/>
        <v>1050</v>
      </c>
      <c r="AG15">
        <v>32</v>
      </c>
      <c r="AH15">
        <v>12</v>
      </c>
      <c r="AI15">
        <v>22600</v>
      </c>
      <c r="AJ15" s="10">
        <f>AI15/(AG15*70)</f>
        <v>10.089285714285714</v>
      </c>
    </row>
    <row r="16" spans="1:36" x14ac:dyDescent="0.15">
      <c r="A16">
        <v>13</v>
      </c>
      <c r="B16">
        <v>0</v>
      </c>
      <c r="C16">
        <f t="shared" si="4"/>
        <v>5</v>
      </c>
      <c r="D16">
        <v>0</v>
      </c>
      <c r="E16">
        <v>0</v>
      </c>
      <c r="F16" s="3" t="s">
        <v>37</v>
      </c>
      <c r="G16" s="4" t="s">
        <v>23</v>
      </c>
      <c r="H16" s="4" t="s">
        <v>23</v>
      </c>
      <c r="I16" s="4" t="s">
        <v>23</v>
      </c>
      <c r="J16" s="7" t="str">
        <f t="shared" si="5"/>
        <v>250,5</v>
      </c>
      <c r="O16">
        <f t="shared" ref="O16" si="21">INDEX($V$4:$V$33,MATCH($C16,$U$4:$U$33,0))</f>
        <v>250</v>
      </c>
      <c r="P16">
        <v>5</v>
      </c>
      <c r="S16">
        <f t="shared" si="6"/>
        <v>650</v>
      </c>
      <c r="T16" s="5">
        <v>12</v>
      </c>
      <c r="U16">
        <v>13</v>
      </c>
      <c r="V16" s="8">
        <f t="shared" si="7"/>
        <v>650</v>
      </c>
      <c r="W16" s="5">
        <f t="shared" si="10"/>
        <v>1300</v>
      </c>
      <c r="X16" s="5">
        <f t="shared" si="11"/>
        <v>1950</v>
      </c>
      <c r="Z16">
        <f t="shared" si="0"/>
        <v>700</v>
      </c>
      <c r="AA16">
        <f t="shared" si="1"/>
        <v>57</v>
      </c>
      <c r="AB16">
        <f t="shared" si="2"/>
        <v>29</v>
      </c>
      <c r="AC16">
        <f t="shared" si="8"/>
        <v>870</v>
      </c>
      <c r="AD16">
        <f t="shared" si="3"/>
        <v>20</v>
      </c>
      <c r="AE16">
        <f t="shared" si="9"/>
        <v>1000</v>
      </c>
      <c r="AG16">
        <v>33</v>
      </c>
      <c r="AH16">
        <v>13</v>
      </c>
      <c r="AI16">
        <v>28220</v>
      </c>
      <c r="AJ16" s="10">
        <f>AI16/(AG16*70)</f>
        <v>12.216450216450216</v>
      </c>
    </row>
    <row r="17" spans="1:36" x14ac:dyDescent="0.15">
      <c r="A17">
        <v>14</v>
      </c>
      <c r="B17">
        <v>0</v>
      </c>
      <c r="C17">
        <f t="shared" si="4"/>
        <v>5</v>
      </c>
      <c r="D17">
        <v>1</v>
      </c>
      <c r="E17">
        <v>30</v>
      </c>
      <c r="F17" s="3" t="s">
        <v>37</v>
      </c>
      <c r="G17" s="4" t="s">
        <v>23</v>
      </c>
      <c r="H17" s="4" t="s">
        <v>23</v>
      </c>
      <c r="I17" s="4" t="s">
        <v>23</v>
      </c>
      <c r="J17" s="7" t="str">
        <f t="shared" si="5"/>
        <v>500,10</v>
      </c>
      <c r="O17">
        <f t="shared" ref="O17" si="22">INDEX($W$4:$W$33,MATCH($C17,$U$4:$U$33,0))</f>
        <v>500</v>
      </c>
      <c r="P17">
        <v>10</v>
      </c>
      <c r="S17">
        <f t="shared" si="6"/>
        <v>700</v>
      </c>
      <c r="T17" s="8">
        <v>13</v>
      </c>
      <c r="U17">
        <v>14</v>
      </c>
      <c r="V17" s="8">
        <f t="shared" si="7"/>
        <v>700</v>
      </c>
      <c r="W17" s="5">
        <f t="shared" si="10"/>
        <v>1400</v>
      </c>
      <c r="X17" s="5">
        <f t="shared" si="11"/>
        <v>2100</v>
      </c>
      <c r="Z17">
        <f t="shared" si="0"/>
        <v>750</v>
      </c>
      <c r="AA17">
        <f t="shared" si="1"/>
        <v>53</v>
      </c>
      <c r="AB17">
        <f t="shared" si="2"/>
        <v>27</v>
      </c>
      <c r="AC17">
        <f t="shared" si="8"/>
        <v>810</v>
      </c>
      <c r="AD17">
        <f t="shared" si="3"/>
        <v>18</v>
      </c>
      <c r="AE17">
        <f t="shared" si="9"/>
        <v>900</v>
      </c>
      <c r="AG17">
        <v>34</v>
      </c>
      <c r="AH17">
        <v>14</v>
      </c>
      <c r="AI17">
        <v>35280</v>
      </c>
      <c r="AJ17" s="10">
        <f>AI17/(AG17*70)</f>
        <v>14.823529411764707</v>
      </c>
    </row>
    <row r="18" spans="1:36" x14ac:dyDescent="0.15">
      <c r="A18">
        <v>15</v>
      </c>
      <c r="B18">
        <v>0</v>
      </c>
      <c r="C18">
        <f t="shared" si="4"/>
        <v>5</v>
      </c>
      <c r="D18">
        <v>2</v>
      </c>
      <c r="E18">
        <v>50</v>
      </c>
      <c r="F18" s="3" t="s">
        <v>37</v>
      </c>
      <c r="G18" s="4" t="s">
        <v>23</v>
      </c>
      <c r="H18" s="4" t="s">
        <v>23</v>
      </c>
      <c r="I18" s="4" t="s">
        <v>23</v>
      </c>
      <c r="J18" s="7" t="str">
        <f t="shared" si="5"/>
        <v>750,20</v>
      </c>
      <c r="O18">
        <f t="shared" ref="O18" si="23">INDEX($X$4:$X$33,MATCH($C18,$U$4:$U$33,0))</f>
        <v>750</v>
      </c>
      <c r="P18">
        <v>20</v>
      </c>
      <c r="S18">
        <f t="shared" si="6"/>
        <v>750</v>
      </c>
      <c r="T18" s="5">
        <v>14</v>
      </c>
      <c r="U18">
        <v>15</v>
      </c>
      <c r="V18" s="8">
        <f t="shared" si="7"/>
        <v>750</v>
      </c>
      <c r="W18" s="5">
        <f t="shared" si="10"/>
        <v>1500</v>
      </c>
      <c r="X18" s="5">
        <f t="shared" si="11"/>
        <v>2250</v>
      </c>
      <c r="Z18">
        <f t="shared" si="0"/>
        <v>800</v>
      </c>
      <c r="AA18">
        <f t="shared" si="1"/>
        <v>50</v>
      </c>
      <c r="AB18">
        <f t="shared" si="2"/>
        <v>25</v>
      </c>
      <c r="AC18">
        <f t="shared" si="8"/>
        <v>750</v>
      </c>
      <c r="AD18">
        <f t="shared" si="3"/>
        <v>17</v>
      </c>
      <c r="AE18">
        <f t="shared" si="9"/>
        <v>850</v>
      </c>
      <c r="AG18">
        <v>35</v>
      </c>
      <c r="AH18">
        <v>15</v>
      </c>
      <c r="AI18">
        <v>43750</v>
      </c>
      <c r="AJ18" s="10">
        <f>AI18/(AG18*70)</f>
        <v>17.857142857142858</v>
      </c>
    </row>
    <row r="19" spans="1:36" x14ac:dyDescent="0.15">
      <c r="A19">
        <v>16</v>
      </c>
      <c r="B19">
        <v>0</v>
      </c>
      <c r="C19">
        <f t="shared" si="4"/>
        <v>6</v>
      </c>
      <c r="D19">
        <v>0</v>
      </c>
      <c r="E19">
        <v>0</v>
      </c>
      <c r="F19" s="3" t="s">
        <v>37</v>
      </c>
      <c r="G19" s="4" t="s">
        <v>23</v>
      </c>
      <c r="H19" s="4" t="s">
        <v>23</v>
      </c>
      <c r="I19" s="4" t="s">
        <v>23</v>
      </c>
      <c r="J19" s="7" t="str">
        <f t="shared" si="5"/>
        <v>300,5</v>
      </c>
      <c r="O19">
        <f t="shared" ref="O19" si="24">INDEX($V$4:$V$33,MATCH($C19,$U$4:$U$33,0))</f>
        <v>300</v>
      </c>
      <c r="P19">
        <v>5</v>
      </c>
      <c r="S19">
        <f t="shared" si="6"/>
        <v>800</v>
      </c>
      <c r="T19" s="8">
        <v>15</v>
      </c>
      <c r="U19">
        <v>16</v>
      </c>
      <c r="V19" s="8">
        <f t="shared" si="7"/>
        <v>800</v>
      </c>
      <c r="W19" s="5">
        <f t="shared" si="10"/>
        <v>1600</v>
      </c>
      <c r="X19" s="5">
        <f t="shared" si="11"/>
        <v>2400</v>
      </c>
      <c r="Z19">
        <f t="shared" si="0"/>
        <v>850</v>
      </c>
      <c r="AA19">
        <f t="shared" si="1"/>
        <v>47</v>
      </c>
      <c r="AB19">
        <f t="shared" si="2"/>
        <v>24</v>
      </c>
      <c r="AC19">
        <f t="shared" si="8"/>
        <v>720</v>
      </c>
      <c r="AD19">
        <f t="shared" si="3"/>
        <v>16</v>
      </c>
      <c r="AE19">
        <f t="shared" si="9"/>
        <v>800</v>
      </c>
      <c r="AG19">
        <v>36</v>
      </c>
      <c r="AH19">
        <v>16</v>
      </c>
      <c r="AI19">
        <v>54380</v>
      </c>
      <c r="AJ19" s="10">
        <f>AI19/(AG19*70)</f>
        <v>21.579365079365079</v>
      </c>
    </row>
    <row r="20" spans="1:36" x14ac:dyDescent="0.15">
      <c r="A20">
        <v>17</v>
      </c>
      <c r="B20">
        <v>0</v>
      </c>
      <c r="C20">
        <f t="shared" si="4"/>
        <v>6</v>
      </c>
      <c r="D20">
        <v>1</v>
      </c>
      <c r="E20">
        <v>30</v>
      </c>
      <c r="F20" s="3" t="s">
        <v>37</v>
      </c>
      <c r="G20" s="4" t="s">
        <v>23</v>
      </c>
      <c r="H20" s="4" t="s">
        <v>23</v>
      </c>
      <c r="I20" s="4" t="s">
        <v>23</v>
      </c>
      <c r="J20" s="7" t="str">
        <f t="shared" si="5"/>
        <v>600,10</v>
      </c>
      <c r="O20">
        <f t="shared" ref="O20" si="25">INDEX($W$4:$W$33,MATCH($C20,$U$4:$U$33,0))</f>
        <v>600</v>
      </c>
      <c r="P20">
        <v>10</v>
      </c>
      <c r="S20">
        <f t="shared" si="6"/>
        <v>850</v>
      </c>
      <c r="T20" s="5">
        <v>16</v>
      </c>
      <c r="U20">
        <v>17</v>
      </c>
      <c r="V20" s="8">
        <f t="shared" si="7"/>
        <v>850</v>
      </c>
      <c r="W20" s="5">
        <f t="shared" si="10"/>
        <v>1700</v>
      </c>
      <c r="X20" s="5">
        <f t="shared" si="11"/>
        <v>2550</v>
      </c>
      <c r="Z20">
        <f t="shared" si="0"/>
        <v>900</v>
      </c>
      <c r="AA20">
        <f t="shared" si="1"/>
        <v>44</v>
      </c>
      <c r="AB20">
        <f t="shared" si="2"/>
        <v>22</v>
      </c>
      <c r="AC20">
        <f t="shared" si="8"/>
        <v>660</v>
      </c>
      <c r="AD20">
        <f t="shared" si="3"/>
        <v>15</v>
      </c>
      <c r="AE20">
        <f t="shared" si="9"/>
        <v>750</v>
      </c>
      <c r="AG20">
        <v>37</v>
      </c>
      <c r="AH20">
        <v>17</v>
      </c>
      <c r="AI20">
        <v>67140</v>
      </c>
      <c r="AJ20" s="10">
        <f>AI20/(AG20*70)</f>
        <v>25.922779922779924</v>
      </c>
    </row>
    <row r="21" spans="1:36" x14ac:dyDescent="0.15">
      <c r="A21">
        <v>18</v>
      </c>
      <c r="B21">
        <v>0</v>
      </c>
      <c r="C21">
        <f t="shared" si="4"/>
        <v>6</v>
      </c>
      <c r="D21">
        <v>2</v>
      </c>
      <c r="E21">
        <v>50</v>
      </c>
      <c r="F21" s="3" t="s">
        <v>37</v>
      </c>
      <c r="G21" s="4" t="s">
        <v>23</v>
      </c>
      <c r="H21" s="4" t="s">
        <v>23</v>
      </c>
      <c r="I21" s="4" t="s">
        <v>23</v>
      </c>
      <c r="J21" s="7" t="str">
        <f t="shared" si="5"/>
        <v>900,20</v>
      </c>
      <c r="O21">
        <f t="shared" ref="O21" si="26">INDEX($X$4:$X$33,MATCH($C21,$U$4:$U$33,0))</f>
        <v>900</v>
      </c>
      <c r="P21">
        <v>20</v>
      </c>
      <c r="S21">
        <f t="shared" si="6"/>
        <v>900</v>
      </c>
      <c r="T21" s="8">
        <v>17</v>
      </c>
      <c r="U21">
        <v>18</v>
      </c>
      <c r="V21" s="8">
        <f t="shared" si="7"/>
        <v>900</v>
      </c>
      <c r="W21" s="5">
        <f t="shared" si="10"/>
        <v>1800</v>
      </c>
      <c r="X21" s="5">
        <f t="shared" si="11"/>
        <v>2700</v>
      </c>
      <c r="Z21">
        <f t="shared" si="0"/>
        <v>950</v>
      </c>
      <c r="AA21">
        <f t="shared" si="1"/>
        <v>42</v>
      </c>
      <c r="AB21">
        <f t="shared" si="2"/>
        <v>21</v>
      </c>
      <c r="AC21">
        <f t="shared" si="8"/>
        <v>630</v>
      </c>
      <c r="AD21">
        <f t="shared" si="3"/>
        <v>14</v>
      </c>
      <c r="AE21">
        <f t="shared" si="9"/>
        <v>700</v>
      </c>
      <c r="AG21">
        <v>38</v>
      </c>
      <c r="AH21">
        <v>18</v>
      </c>
      <c r="AI21">
        <v>83110</v>
      </c>
      <c r="AJ21" s="10">
        <f>AI21/(AG21*70)</f>
        <v>31.244360902255639</v>
      </c>
    </row>
    <row r="22" spans="1:36" x14ac:dyDescent="0.15">
      <c r="A22">
        <v>19</v>
      </c>
      <c r="B22">
        <v>0</v>
      </c>
      <c r="C22">
        <f t="shared" si="4"/>
        <v>7</v>
      </c>
      <c r="D22">
        <v>0</v>
      </c>
      <c r="E22">
        <v>0</v>
      </c>
      <c r="F22" s="3" t="s">
        <v>37</v>
      </c>
      <c r="G22" s="4" t="s">
        <v>23</v>
      </c>
      <c r="H22" s="4" t="s">
        <v>23</v>
      </c>
      <c r="I22" s="4" t="s">
        <v>23</v>
      </c>
      <c r="J22" s="7" t="str">
        <f t="shared" si="5"/>
        <v>350,5</v>
      </c>
      <c r="O22">
        <f t="shared" ref="O22" si="27">INDEX($V$4:$V$33,MATCH($C22,$U$4:$U$33,0))</f>
        <v>350</v>
      </c>
      <c r="P22">
        <v>5</v>
      </c>
      <c r="S22">
        <f t="shared" si="6"/>
        <v>950</v>
      </c>
      <c r="T22" s="5">
        <v>18</v>
      </c>
      <c r="U22">
        <v>19</v>
      </c>
      <c r="V22" s="8">
        <f t="shared" si="7"/>
        <v>950</v>
      </c>
      <c r="W22" s="5">
        <f t="shared" si="10"/>
        <v>1900</v>
      </c>
      <c r="X22" s="5">
        <f t="shared" si="11"/>
        <v>2850</v>
      </c>
      <c r="Z22">
        <f t="shared" si="0"/>
        <v>1000</v>
      </c>
      <c r="AA22">
        <f t="shared" si="1"/>
        <v>40</v>
      </c>
      <c r="AB22">
        <f t="shared" si="2"/>
        <v>20</v>
      </c>
      <c r="AC22">
        <f t="shared" si="8"/>
        <v>600</v>
      </c>
      <c r="AD22">
        <f t="shared" si="3"/>
        <v>13</v>
      </c>
      <c r="AE22">
        <f t="shared" si="9"/>
        <v>650</v>
      </c>
      <c r="AG22">
        <v>39</v>
      </c>
      <c r="AH22">
        <v>19</v>
      </c>
      <c r="AI22">
        <v>102280</v>
      </c>
      <c r="AJ22" s="10">
        <f>AI22/(AG22*70)</f>
        <v>37.465201465201467</v>
      </c>
    </row>
    <row r="23" spans="1:36" x14ac:dyDescent="0.15">
      <c r="A23">
        <v>20</v>
      </c>
      <c r="B23">
        <v>0</v>
      </c>
      <c r="C23">
        <f t="shared" si="4"/>
        <v>7</v>
      </c>
      <c r="D23">
        <v>1</v>
      </c>
      <c r="E23">
        <v>30</v>
      </c>
      <c r="F23" s="3" t="s">
        <v>37</v>
      </c>
      <c r="G23" s="4" t="s">
        <v>23</v>
      </c>
      <c r="H23" s="4" t="s">
        <v>23</v>
      </c>
      <c r="I23" s="4" t="s">
        <v>23</v>
      </c>
      <c r="J23" s="7" t="str">
        <f t="shared" si="5"/>
        <v>700,10</v>
      </c>
      <c r="O23">
        <f t="shared" ref="O23" si="28">INDEX($W$4:$W$33,MATCH($C23,$U$4:$U$33,0))</f>
        <v>700</v>
      </c>
      <c r="P23">
        <v>10</v>
      </c>
      <c r="S23">
        <f t="shared" si="6"/>
        <v>1000</v>
      </c>
      <c r="T23" s="8">
        <v>19</v>
      </c>
      <c r="U23">
        <v>20</v>
      </c>
      <c r="V23" s="8">
        <f t="shared" si="7"/>
        <v>1000</v>
      </c>
      <c r="W23" s="5">
        <f t="shared" si="10"/>
        <v>2000</v>
      </c>
      <c r="X23" s="5">
        <f t="shared" si="11"/>
        <v>3000</v>
      </c>
      <c r="Z23">
        <f t="shared" si="0"/>
        <v>1050</v>
      </c>
      <c r="AA23">
        <f t="shared" si="1"/>
        <v>38</v>
      </c>
      <c r="AB23">
        <f t="shared" si="2"/>
        <v>19</v>
      </c>
      <c r="AC23">
        <f t="shared" si="8"/>
        <v>570</v>
      </c>
      <c r="AD23">
        <f t="shared" si="3"/>
        <v>13</v>
      </c>
      <c r="AE23">
        <f t="shared" si="9"/>
        <v>650</v>
      </c>
      <c r="AG23">
        <v>40</v>
      </c>
      <c r="AH23">
        <v>20</v>
      </c>
      <c r="AI23">
        <v>126240</v>
      </c>
      <c r="AJ23" s="10">
        <f>AI23/(AG23*70)</f>
        <v>45.085714285714289</v>
      </c>
    </row>
    <row r="24" spans="1:36" x14ac:dyDescent="0.15">
      <c r="A24">
        <v>21</v>
      </c>
      <c r="B24">
        <v>0</v>
      </c>
      <c r="C24">
        <f t="shared" si="4"/>
        <v>7</v>
      </c>
      <c r="D24">
        <v>2</v>
      </c>
      <c r="E24">
        <v>50</v>
      </c>
      <c r="F24" s="3" t="s">
        <v>37</v>
      </c>
      <c r="G24" s="4" t="s">
        <v>23</v>
      </c>
      <c r="H24" s="4" t="s">
        <v>23</v>
      </c>
      <c r="I24" s="4" t="s">
        <v>23</v>
      </c>
      <c r="J24" s="7" t="str">
        <f t="shared" si="5"/>
        <v>1050,20</v>
      </c>
      <c r="O24">
        <f t="shared" ref="O24" si="29">INDEX($X$4:$X$33,MATCH($C24,$U$4:$U$33,0))</f>
        <v>1050</v>
      </c>
      <c r="P24">
        <v>20</v>
      </c>
      <c r="S24">
        <f t="shared" si="6"/>
        <v>1050</v>
      </c>
      <c r="T24" s="5">
        <v>20</v>
      </c>
      <c r="U24">
        <v>21</v>
      </c>
      <c r="V24" s="8">
        <f t="shared" si="7"/>
        <v>1050</v>
      </c>
      <c r="W24" s="5">
        <f t="shared" si="10"/>
        <v>2100</v>
      </c>
      <c r="X24" s="5">
        <f t="shared" si="11"/>
        <v>3150</v>
      </c>
      <c r="Z24">
        <f t="shared" si="0"/>
        <v>1100</v>
      </c>
      <c r="AA24">
        <f t="shared" si="1"/>
        <v>36</v>
      </c>
      <c r="AB24">
        <f t="shared" si="2"/>
        <v>18</v>
      </c>
      <c r="AC24">
        <f t="shared" si="8"/>
        <v>540</v>
      </c>
      <c r="AD24">
        <f t="shared" si="3"/>
        <v>12</v>
      </c>
      <c r="AE24">
        <f t="shared" si="9"/>
        <v>600</v>
      </c>
      <c r="AG24">
        <v>41</v>
      </c>
      <c r="AH24">
        <v>21</v>
      </c>
      <c r="AI24">
        <v>154990</v>
      </c>
      <c r="AJ24" s="10">
        <f>AI24/(AG24*70)</f>
        <v>54.00348432055749</v>
      </c>
    </row>
    <row r="25" spans="1:36" x14ac:dyDescent="0.15">
      <c r="A25">
        <v>22</v>
      </c>
      <c r="B25">
        <v>0</v>
      </c>
      <c r="C25">
        <f t="shared" si="4"/>
        <v>8</v>
      </c>
      <c r="D25">
        <v>0</v>
      </c>
      <c r="E25">
        <v>0</v>
      </c>
      <c r="F25" s="3" t="s">
        <v>37</v>
      </c>
      <c r="G25" s="4" t="s">
        <v>23</v>
      </c>
      <c r="H25" s="4" t="s">
        <v>23</v>
      </c>
      <c r="I25" s="4" t="s">
        <v>23</v>
      </c>
      <c r="J25" s="7" t="str">
        <f t="shared" si="5"/>
        <v>400,5</v>
      </c>
      <c r="O25">
        <f t="shared" ref="O25" si="30">INDEX($V$4:$V$33,MATCH($C25,$U$4:$U$33,0))</f>
        <v>400</v>
      </c>
      <c r="P25">
        <v>5</v>
      </c>
      <c r="S25">
        <f t="shared" si="6"/>
        <v>1100</v>
      </c>
      <c r="T25" s="8">
        <v>21</v>
      </c>
      <c r="U25">
        <v>22</v>
      </c>
      <c r="V25" s="8">
        <f t="shared" si="7"/>
        <v>1100</v>
      </c>
      <c r="W25" s="5">
        <f t="shared" si="10"/>
        <v>2200</v>
      </c>
      <c r="X25" s="5">
        <f t="shared" si="11"/>
        <v>3300</v>
      </c>
      <c r="Z25">
        <f t="shared" si="0"/>
        <v>1150</v>
      </c>
      <c r="AA25">
        <f t="shared" si="1"/>
        <v>34</v>
      </c>
      <c r="AB25">
        <f t="shared" si="2"/>
        <v>17</v>
      </c>
      <c r="AC25">
        <f t="shared" si="8"/>
        <v>510</v>
      </c>
      <c r="AD25">
        <f t="shared" si="3"/>
        <v>11</v>
      </c>
      <c r="AE25">
        <f t="shared" si="9"/>
        <v>550</v>
      </c>
      <c r="AG25">
        <v>42</v>
      </c>
      <c r="AH25">
        <v>22</v>
      </c>
      <c r="AI25">
        <v>190870</v>
      </c>
      <c r="AJ25" s="10">
        <f>AI25/(AG25*70)</f>
        <v>64.921768707482997</v>
      </c>
    </row>
    <row r="26" spans="1:36" x14ac:dyDescent="0.15">
      <c r="A26">
        <v>23</v>
      </c>
      <c r="B26">
        <v>0</v>
      </c>
      <c r="C26">
        <f t="shared" si="4"/>
        <v>8</v>
      </c>
      <c r="D26">
        <v>1</v>
      </c>
      <c r="E26">
        <v>30</v>
      </c>
      <c r="F26" s="3" t="s">
        <v>37</v>
      </c>
      <c r="G26" s="4" t="s">
        <v>23</v>
      </c>
      <c r="H26" s="4" t="s">
        <v>23</v>
      </c>
      <c r="I26" s="4" t="s">
        <v>23</v>
      </c>
      <c r="J26" s="7" t="str">
        <f t="shared" si="5"/>
        <v>800,10</v>
      </c>
      <c r="O26">
        <f t="shared" ref="O26" si="31">INDEX($W$4:$W$33,MATCH($C26,$U$4:$U$33,0))</f>
        <v>800</v>
      </c>
      <c r="P26">
        <v>10</v>
      </c>
      <c r="S26">
        <f t="shared" si="6"/>
        <v>1150</v>
      </c>
      <c r="T26" s="5">
        <v>22</v>
      </c>
      <c r="U26">
        <v>23</v>
      </c>
      <c r="V26" s="8">
        <f t="shared" si="7"/>
        <v>1150</v>
      </c>
      <c r="W26" s="5">
        <f t="shared" si="10"/>
        <v>2300</v>
      </c>
      <c r="X26" s="5">
        <f t="shared" si="11"/>
        <v>3450</v>
      </c>
      <c r="Z26">
        <f t="shared" si="0"/>
        <v>1200</v>
      </c>
      <c r="AA26">
        <f t="shared" si="1"/>
        <v>33</v>
      </c>
      <c r="AB26">
        <f t="shared" si="2"/>
        <v>17</v>
      </c>
      <c r="AC26">
        <f t="shared" si="8"/>
        <v>510</v>
      </c>
      <c r="AD26">
        <f t="shared" si="3"/>
        <v>11</v>
      </c>
      <c r="AE26">
        <f t="shared" si="9"/>
        <v>550</v>
      </c>
      <c r="AG26">
        <v>43</v>
      </c>
      <c r="AH26">
        <v>23</v>
      </c>
      <c r="AI26">
        <v>233930</v>
      </c>
      <c r="AJ26" s="10">
        <f>AI26/(AG26*70)</f>
        <v>77.71760797342192</v>
      </c>
    </row>
    <row r="27" spans="1:36" x14ac:dyDescent="0.15">
      <c r="A27">
        <v>24</v>
      </c>
      <c r="B27">
        <v>0</v>
      </c>
      <c r="C27">
        <f t="shared" si="4"/>
        <v>8</v>
      </c>
      <c r="D27">
        <v>2</v>
      </c>
      <c r="E27">
        <v>50</v>
      </c>
      <c r="F27" s="3" t="s">
        <v>37</v>
      </c>
      <c r="G27" s="4" t="s">
        <v>23</v>
      </c>
      <c r="H27" s="4" t="s">
        <v>23</v>
      </c>
      <c r="I27" s="4" t="s">
        <v>23</v>
      </c>
      <c r="J27" s="7" t="str">
        <f t="shared" si="5"/>
        <v>1200,20</v>
      </c>
      <c r="O27">
        <f t="shared" ref="O27" si="32">INDEX($X$4:$X$33,MATCH($C27,$U$4:$U$33,0))</f>
        <v>1200</v>
      </c>
      <c r="P27">
        <v>20</v>
      </c>
      <c r="S27">
        <f t="shared" si="6"/>
        <v>1200</v>
      </c>
      <c r="T27" s="8">
        <v>23</v>
      </c>
      <c r="U27">
        <v>24</v>
      </c>
      <c r="V27" s="8">
        <f t="shared" si="7"/>
        <v>1200</v>
      </c>
      <c r="W27" s="5">
        <f t="shared" si="10"/>
        <v>2400</v>
      </c>
      <c r="X27" s="5">
        <f t="shared" si="11"/>
        <v>3600</v>
      </c>
      <c r="Z27">
        <f t="shared" si="0"/>
        <v>1250</v>
      </c>
      <c r="AA27">
        <f t="shared" si="1"/>
        <v>32</v>
      </c>
      <c r="AB27">
        <f t="shared" si="2"/>
        <v>16</v>
      </c>
      <c r="AC27">
        <f t="shared" si="8"/>
        <v>480</v>
      </c>
      <c r="AD27">
        <f t="shared" si="3"/>
        <v>10</v>
      </c>
      <c r="AE27">
        <f t="shared" si="9"/>
        <v>500</v>
      </c>
      <c r="AG27">
        <v>44</v>
      </c>
      <c r="AH27">
        <v>24</v>
      </c>
      <c r="AI27">
        <v>287590</v>
      </c>
      <c r="AJ27" s="10">
        <f>AI27/(AG27*70)</f>
        <v>93.373376623376629</v>
      </c>
    </row>
    <row r="28" spans="1:36" x14ac:dyDescent="0.15">
      <c r="A28">
        <v>25</v>
      </c>
      <c r="B28">
        <v>0</v>
      </c>
      <c r="C28">
        <f t="shared" si="4"/>
        <v>9</v>
      </c>
      <c r="D28">
        <v>0</v>
      </c>
      <c r="E28">
        <v>0</v>
      </c>
      <c r="F28" s="3" t="s">
        <v>37</v>
      </c>
      <c r="G28" s="4" t="s">
        <v>23</v>
      </c>
      <c r="H28" s="4" t="s">
        <v>23</v>
      </c>
      <c r="I28" s="4" t="s">
        <v>23</v>
      </c>
      <c r="J28" s="7" t="str">
        <f t="shared" si="5"/>
        <v>450,5</v>
      </c>
      <c r="O28">
        <f t="shared" ref="O28" si="33">INDEX($V$4:$V$33,MATCH($C28,$U$4:$U$33,0))</f>
        <v>450</v>
      </c>
      <c r="P28">
        <v>5</v>
      </c>
      <c r="S28">
        <f t="shared" si="6"/>
        <v>1250</v>
      </c>
      <c r="T28" s="5">
        <v>24</v>
      </c>
      <c r="U28">
        <v>25</v>
      </c>
      <c r="V28" s="8">
        <f t="shared" si="7"/>
        <v>1250</v>
      </c>
      <c r="W28" s="5">
        <f t="shared" si="10"/>
        <v>2500</v>
      </c>
      <c r="X28" s="5">
        <f t="shared" si="11"/>
        <v>3750</v>
      </c>
      <c r="Z28">
        <f t="shared" si="0"/>
        <v>1300</v>
      </c>
      <c r="AA28">
        <f t="shared" si="1"/>
        <v>30</v>
      </c>
      <c r="AB28">
        <f t="shared" si="2"/>
        <v>15</v>
      </c>
      <c r="AC28">
        <f t="shared" si="8"/>
        <v>450</v>
      </c>
      <c r="AD28">
        <f t="shared" si="3"/>
        <v>10</v>
      </c>
      <c r="AE28">
        <f t="shared" si="9"/>
        <v>500</v>
      </c>
      <c r="AG28">
        <v>45</v>
      </c>
      <c r="AH28">
        <v>25</v>
      </c>
      <c r="AI28">
        <v>351980</v>
      </c>
      <c r="AJ28" s="10">
        <f>AI28/(AG28*70)</f>
        <v>111.73968253968253</v>
      </c>
    </row>
    <row r="29" spans="1:36" x14ac:dyDescent="0.15">
      <c r="A29">
        <v>26</v>
      </c>
      <c r="B29">
        <v>0</v>
      </c>
      <c r="C29">
        <f t="shared" si="4"/>
        <v>9</v>
      </c>
      <c r="D29">
        <v>1</v>
      </c>
      <c r="E29">
        <v>30</v>
      </c>
      <c r="F29" s="3" t="s">
        <v>37</v>
      </c>
      <c r="G29" s="4" t="s">
        <v>23</v>
      </c>
      <c r="H29" s="4" t="s">
        <v>23</v>
      </c>
      <c r="I29" s="4" t="s">
        <v>23</v>
      </c>
      <c r="J29" s="7" t="str">
        <f t="shared" si="5"/>
        <v>900,10</v>
      </c>
      <c r="O29">
        <f t="shared" ref="O29" si="34">INDEX($W$4:$W$33,MATCH($C29,$U$4:$U$33,0))</f>
        <v>900</v>
      </c>
      <c r="P29">
        <v>10</v>
      </c>
      <c r="S29">
        <f t="shared" si="6"/>
        <v>1300</v>
      </c>
      <c r="T29" s="8">
        <v>25</v>
      </c>
      <c r="U29">
        <v>26</v>
      </c>
      <c r="V29" s="8">
        <f t="shared" si="7"/>
        <v>1300</v>
      </c>
      <c r="W29" s="5">
        <f t="shared" si="10"/>
        <v>2600</v>
      </c>
      <c r="X29" s="5">
        <f t="shared" si="11"/>
        <v>3900</v>
      </c>
      <c r="Z29">
        <f t="shared" si="0"/>
        <v>1350</v>
      </c>
      <c r="AA29">
        <f t="shared" si="1"/>
        <v>29</v>
      </c>
      <c r="AB29">
        <f t="shared" si="2"/>
        <v>15</v>
      </c>
      <c r="AC29">
        <f t="shared" si="8"/>
        <v>450</v>
      </c>
      <c r="AD29">
        <f t="shared" si="3"/>
        <v>10</v>
      </c>
      <c r="AE29">
        <f t="shared" si="9"/>
        <v>500</v>
      </c>
      <c r="AG29">
        <v>46</v>
      </c>
      <c r="AH29">
        <v>26</v>
      </c>
      <c r="AI29">
        <v>432110</v>
      </c>
      <c r="AJ29" s="10">
        <f>AI29/(AG29*70)</f>
        <v>134.19565217391303</v>
      </c>
    </row>
    <row r="30" spans="1:36" x14ac:dyDescent="0.15">
      <c r="A30">
        <v>27</v>
      </c>
      <c r="B30">
        <v>0</v>
      </c>
      <c r="C30">
        <f t="shared" si="4"/>
        <v>9</v>
      </c>
      <c r="D30">
        <v>2</v>
      </c>
      <c r="E30">
        <v>50</v>
      </c>
      <c r="F30" s="3" t="s">
        <v>37</v>
      </c>
      <c r="G30" s="4" t="s">
        <v>23</v>
      </c>
      <c r="H30" s="4" t="s">
        <v>23</v>
      </c>
      <c r="I30" s="4" t="s">
        <v>23</v>
      </c>
      <c r="J30" s="7" t="str">
        <f t="shared" si="5"/>
        <v>1350,20</v>
      </c>
      <c r="O30">
        <f t="shared" ref="O30" si="35">INDEX($X$4:$X$33,MATCH($C30,$U$4:$U$33,0))</f>
        <v>1350</v>
      </c>
      <c r="P30">
        <v>20</v>
      </c>
      <c r="S30">
        <f t="shared" si="6"/>
        <v>1350</v>
      </c>
      <c r="T30" s="5">
        <v>26</v>
      </c>
      <c r="U30">
        <v>27</v>
      </c>
      <c r="V30" s="8">
        <f t="shared" si="7"/>
        <v>1350</v>
      </c>
      <c r="W30" s="5">
        <f t="shared" si="10"/>
        <v>2700</v>
      </c>
      <c r="X30" s="5">
        <f t="shared" si="11"/>
        <v>4050</v>
      </c>
      <c r="Z30">
        <f t="shared" si="0"/>
        <v>1400</v>
      </c>
      <c r="AA30">
        <f t="shared" si="1"/>
        <v>28</v>
      </c>
      <c r="AB30">
        <f t="shared" si="2"/>
        <v>14</v>
      </c>
      <c r="AC30">
        <f t="shared" si="8"/>
        <v>420</v>
      </c>
      <c r="AD30">
        <f t="shared" si="3"/>
        <v>9</v>
      </c>
      <c r="AE30">
        <f t="shared" si="9"/>
        <v>450</v>
      </c>
      <c r="AG30">
        <v>47</v>
      </c>
      <c r="AH30">
        <v>27</v>
      </c>
      <c r="AI30">
        <v>528270</v>
      </c>
      <c r="AJ30" s="10">
        <f>AI30/(AG30*70)</f>
        <v>160.56838905775075</v>
      </c>
    </row>
    <row r="31" spans="1:36" x14ac:dyDescent="0.15">
      <c r="A31">
        <v>28</v>
      </c>
      <c r="B31">
        <v>0</v>
      </c>
      <c r="C31">
        <f t="shared" si="4"/>
        <v>10</v>
      </c>
      <c r="D31">
        <v>0</v>
      </c>
      <c r="E31">
        <v>0</v>
      </c>
      <c r="F31" s="3" t="s">
        <v>37</v>
      </c>
      <c r="G31" s="4" t="s">
        <v>23</v>
      </c>
      <c r="H31" s="4" t="s">
        <v>23</v>
      </c>
      <c r="I31" s="4" t="s">
        <v>23</v>
      </c>
      <c r="J31" s="7" t="str">
        <f t="shared" si="5"/>
        <v>500,5</v>
      </c>
      <c r="O31">
        <f t="shared" ref="O31" si="36">INDEX($V$4:$V$33,MATCH($C31,$U$4:$U$33,0))</f>
        <v>500</v>
      </c>
      <c r="P31">
        <v>5</v>
      </c>
      <c r="S31">
        <f t="shared" si="6"/>
        <v>1400</v>
      </c>
      <c r="T31" s="8">
        <v>27</v>
      </c>
      <c r="U31">
        <v>28</v>
      </c>
      <c r="V31" s="8">
        <f t="shared" si="7"/>
        <v>1400</v>
      </c>
      <c r="W31" s="5">
        <f t="shared" si="10"/>
        <v>2800</v>
      </c>
      <c r="X31" s="5">
        <f t="shared" si="11"/>
        <v>4200</v>
      </c>
      <c r="Z31">
        <f t="shared" si="0"/>
        <v>1450</v>
      </c>
      <c r="AA31">
        <f t="shared" si="1"/>
        <v>27</v>
      </c>
      <c r="AB31">
        <f t="shared" si="2"/>
        <v>14</v>
      </c>
      <c r="AC31">
        <f t="shared" si="8"/>
        <v>420</v>
      </c>
      <c r="AD31">
        <f t="shared" si="3"/>
        <v>9</v>
      </c>
      <c r="AE31">
        <f t="shared" si="9"/>
        <v>450</v>
      </c>
      <c r="AG31">
        <v>48</v>
      </c>
      <c r="AH31">
        <v>28</v>
      </c>
      <c r="AI31">
        <v>647780</v>
      </c>
      <c r="AJ31" s="10">
        <f>AI31/(AG31*70)</f>
        <v>192.79166666666666</v>
      </c>
    </row>
    <row r="32" spans="1:36" x14ac:dyDescent="0.15">
      <c r="A32">
        <v>29</v>
      </c>
      <c r="B32">
        <v>0</v>
      </c>
      <c r="C32">
        <f t="shared" si="4"/>
        <v>10</v>
      </c>
      <c r="D32">
        <v>1</v>
      </c>
      <c r="E32">
        <v>30</v>
      </c>
      <c r="F32" s="3" t="s">
        <v>37</v>
      </c>
      <c r="G32" s="4" t="s">
        <v>23</v>
      </c>
      <c r="H32" s="4" t="s">
        <v>23</v>
      </c>
      <c r="I32" s="4" t="s">
        <v>23</v>
      </c>
      <c r="J32" s="7" t="str">
        <f t="shared" si="5"/>
        <v>1000,10</v>
      </c>
      <c r="O32">
        <f t="shared" ref="O32" si="37">INDEX($W$4:$W$33,MATCH($C32,$U$4:$U$33,0))</f>
        <v>1000</v>
      </c>
      <c r="P32">
        <v>10</v>
      </c>
      <c r="S32">
        <f t="shared" si="6"/>
        <v>1450</v>
      </c>
      <c r="T32" s="5">
        <v>28</v>
      </c>
      <c r="U32">
        <v>29</v>
      </c>
      <c r="V32" s="8">
        <f t="shared" si="7"/>
        <v>1450</v>
      </c>
      <c r="W32" s="5">
        <f t="shared" si="10"/>
        <v>2900</v>
      </c>
      <c r="X32" s="5">
        <f t="shared" si="11"/>
        <v>4350</v>
      </c>
      <c r="Z32">
        <f t="shared" si="0"/>
        <v>1500</v>
      </c>
      <c r="AA32">
        <f t="shared" si="1"/>
        <v>26</v>
      </c>
      <c r="AB32">
        <f t="shared" si="2"/>
        <v>13</v>
      </c>
      <c r="AC32">
        <f t="shared" si="8"/>
        <v>390</v>
      </c>
      <c r="AD32">
        <f t="shared" si="3"/>
        <v>9</v>
      </c>
      <c r="AE32">
        <f t="shared" si="9"/>
        <v>450</v>
      </c>
      <c r="AG32">
        <v>49</v>
      </c>
      <c r="AH32">
        <v>29</v>
      </c>
      <c r="AI32">
        <v>791190</v>
      </c>
      <c r="AJ32" s="10">
        <f>AI32/(AG32*70)</f>
        <v>230.66763848396502</v>
      </c>
    </row>
    <row r="33" spans="1:47" x14ac:dyDescent="0.15">
      <c r="A33">
        <v>30</v>
      </c>
      <c r="B33">
        <v>0</v>
      </c>
      <c r="C33">
        <f t="shared" si="4"/>
        <v>10</v>
      </c>
      <c r="D33">
        <v>2</v>
      </c>
      <c r="E33">
        <v>50</v>
      </c>
      <c r="F33" s="3" t="s">
        <v>37</v>
      </c>
      <c r="G33" s="4" t="s">
        <v>23</v>
      </c>
      <c r="H33" s="4" t="s">
        <v>23</v>
      </c>
      <c r="I33" s="4" t="s">
        <v>23</v>
      </c>
      <c r="J33" s="7" t="str">
        <f t="shared" si="5"/>
        <v>1500,20</v>
      </c>
      <c r="O33">
        <f t="shared" ref="O33" si="38">INDEX($X$4:$X$33,MATCH($C33,$U$4:$U$33,0))</f>
        <v>1500</v>
      </c>
      <c r="P33">
        <v>20</v>
      </c>
      <c r="S33">
        <f t="shared" si="6"/>
        <v>1500</v>
      </c>
      <c r="T33" s="8">
        <v>29</v>
      </c>
      <c r="U33">
        <v>30</v>
      </c>
      <c r="V33" s="8">
        <f t="shared" si="7"/>
        <v>1500</v>
      </c>
      <c r="W33" s="5">
        <f t="shared" si="10"/>
        <v>3000</v>
      </c>
      <c r="X33" s="5">
        <f t="shared" si="11"/>
        <v>4500</v>
      </c>
      <c r="Z33">
        <f t="shared" si="0"/>
        <v>1550</v>
      </c>
      <c r="AA33">
        <f t="shared" si="1"/>
        <v>25</v>
      </c>
      <c r="AB33">
        <f t="shared" si="2"/>
        <v>13</v>
      </c>
      <c r="AC33">
        <f t="shared" si="8"/>
        <v>390</v>
      </c>
      <c r="AD33">
        <f t="shared" si="3"/>
        <v>8</v>
      </c>
      <c r="AE33">
        <f t="shared" si="9"/>
        <v>400</v>
      </c>
      <c r="AG33">
        <v>50</v>
      </c>
      <c r="AH33">
        <v>30</v>
      </c>
      <c r="AI33" s="6" t="s">
        <v>41</v>
      </c>
      <c r="AJ33" s="10">
        <f>SUM(AJ4:AJ32)</f>
        <v>1373.0912427443318</v>
      </c>
    </row>
    <row r="34" spans="1:47" x14ac:dyDescent="0.15">
      <c r="A34">
        <v>31</v>
      </c>
      <c r="B34">
        <v>0</v>
      </c>
      <c r="C34">
        <f t="shared" si="4"/>
        <v>11</v>
      </c>
      <c r="D34">
        <v>0</v>
      </c>
      <c r="E34">
        <v>0</v>
      </c>
      <c r="F34" s="3" t="s">
        <v>37</v>
      </c>
      <c r="G34" s="4" t="s">
        <v>23</v>
      </c>
      <c r="H34" s="4" t="s">
        <v>23</v>
      </c>
      <c r="I34" s="4" t="s">
        <v>23</v>
      </c>
      <c r="J34" s="7" t="str">
        <f t="shared" si="5"/>
        <v>550,5</v>
      </c>
      <c r="O34">
        <f t="shared" ref="O34" si="39">INDEX($V$4:$V$33,MATCH($C34,$U$4:$U$33,0))</f>
        <v>550</v>
      </c>
      <c r="P34">
        <v>5</v>
      </c>
    </row>
    <row r="35" spans="1:47" x14ac:dyDescent="0.15">
      <c r="A35">
        <v>32</v>
      </c>
      <c r="B35">
        <v>0</v>
      </c>
      <c r="C35">
        <f t="shared" si="4"/>
        <v>11</v>
      </c>
      <c r="D35">
        <v>1</v>
      </c>
      <c r="E35">
        <v>30</v>
      </c>
      <c r="F35" s="3" t="s">
        <v>37</v>
      </c>
      <c r="G35" s="4" t="s">
        <v>23</v>
      </c>
      <c r="H35" s="4" t="s">
        <v>23</v>
      </c>
      <c r="I35" s="4" t="s">
        <v>23</v>
      </c>
      <c r="J35" s="7" t="str">
        <f t="shared" si="5"/>
        <v>1100,10</v>
      </c>
      <c r="O35">
        <f t="shared" ref="O35" si="40">INDEX($W$4:$W$33,MATCH($C35,$U$4:$U$33,0))</f>
        <v>1100</v>
      </c>
      <c r="P35">
        <v>10</v>
      </c>
    </row>
    <row r="36" spans="1:47" x14ac:dyDescent="0.15">
      <c r="A36">
        <v>33</v>
      </c>
      <c r="B36">
        <v>0</v>
      </c>
      <c r="C36">
        <f t="shared" si="4"/>
        <v>11</v>
      </c>
      <c r="D36">
        <v>2</v>
      </c>
      <c r="E36">
        <v>50</v>
      </c>
      <c r="F36" s="3" t="s">
        <v>37</v>
      </c>
      <c r="G36" s="4" t="s">
        <v>23</v>
      </c>
      <c r="H36" s="4" t="s">
        <v>23</v>
      </c>
      <c r="I36" s="4" t="s">
        <v>23</v>
      </c>
      <c r="J36" s="7" t="str">
        <f t="shared" si="5"/>
        <v>1650,20</v>
      </c>
      <c r="O36">
        <f t="shared" ref="O36" si="41">INDEX($X$4:$X$33,MATCH($C36,$U$4:$U$33,0))</f>
        <v>1650</v>
      </c>
      <c r="P36">
        <v>20</v>
      </c>
    </row>
    <row r="37" spans="1:47" x14ac:dyDescent="0.15">
      <c r="A37">
        <v>34</v>
      </c>
      <c r="B37">
        <v>0</v>
      </c>
      <c r="C37">
        <f t="shared" si="4"/>
        <v>12</v>
      </c>
      <c r="D37">
        <v>0</v>
      </c>
      <c r="E37">
        <v>0</v>
      </c>
      <c r="F37" s="3" t="s">
        <v>37</v>
      </c>
      <c r="G37" s="4" t="s">
        <v>23</v>
      </c>
      <c r="H37" s="4" t="s">
        <v>23</v>
      </c>
      <c r="I37" s="4" t="s">
        <v>23</v>
      </c>
      <c r="J37" s="7" t="str">
        <f t="shared" si="5"/>
        <v>600,5</v>
      </c>
      <c r="O37">
        <f t="shared" ref="O37" si="42">INDEX($V$4:$V$33,MATCH($C37,$U$4:$U$33,0))</f>
        <v>600</v>
      </c>
      <c r="P37">
        <v>5</v>
      </c>
    </row>
    <row r="38" spans="1:47" x14ac:dyDescent="0.15">
      <c r="A38">
        <v>35</v>
      </c>
      <c r="B38">
        <v>0</v>
      </c>
      <c r="C38">
        <f t="shared" si="4"/>
        <v>12</v>
      </c>
      <c r="D38">
        <v>1</v>
      </c>
      <c r="E38">
        <v>30</v>
      </c>
      <c r="F38" s="3" t="s">
        <v>37</v>
      </c>
      <c r="G38" s="4" t="s">
        <v>23</v>
      </c>
      <c r="H38" s="4" t="s">
        <v>23</v>
      </c>
      <c r="I38" s="4" t="s">
        <v>23</v>
      </c>
      <c r="J38" s="7" t="str">
        <f t="shared" si="5"/>
        <v>1200,10</v>
      </c>
      <c r="O38">
        <f t="shared" ref="O38" si="43">INDEX($W$4:$W$33,MATCH($C38,$U$4:$U$33,0))</f>
        <v>1200</v>
      </c>
      <c r="P38">
        <v>10</v>
      </c>
    </row>
    <row r="39" spans="1:47" x14ac:dyDescent="0.15">
      <c r="A39">
        <v>36</v>
      </c>
      <c r="B39">
        <v>0</v>
      </c>
      <c r="C39">
        <f t="shared" si="4"/>
        <v>12</v>
      </c>
      <c r="D39">
        <v>2</v>
      </c>
      <c r="E39">
        <v>50</v>
      </c>
      <c r="F39" s="3" t="s">
        <v>37</v>
      </c>
      <c r="G39" s="4" t="s">
        <v>23</v>
      </c>
      <c r="H39" s="4" t="s">
        <v>23</v>
      </c>
      <c r="I39" s="4" t="s">
        <v>23</v>
      </c>
      <c r="J39" s="7" t="str">
        <f t="shared" si="5"/>
        <v>1800,20</v>
      </c>
      <c r="O39">
        <f t="shared" ref="O39" si="44">INDEX($X$4:$X$33,MATCH($C39,$U$4:$U$33,0))</f>
        <v>1800</v>
      </c>
      <c r="P39">
        <v>20</v>
      </c>
    </row>
    <row r="40" spans="1:47" x14ac:dyDescent="0.15">
      <c r="A40">
        <v>37</v>
      </c>
      <c r="B40">
        <v>0</v>
      </c>
      <c r="C40">
        <f t="shared" si="4"/>
        <v>13</v>
      </c>
      <c r="D40">
        <v>0</v>
      </c>
      <c r="E40">
        <v>0</v>
      </c>
      <c r="F40" s="3" t="s">
        <v>37</v>
      </c>
      <c r="G40" s="4" t="s">
        <v>23</v>
      </c>
      <c r="H40" s="4" t="s">
        <v>23</v>
      </c>
      <c r="I40" s="4" t="s">
        <v>23</v>
      </c>
      <c r="J40" s="7" t="str">
        <f t="shared" si="5"/>
        <v>650,5</v>
      </c>
      <c r="O40">
        <f t="shared" ref="O40" si="45">INDEX($V$4:$V$33,MATCH($C40,$U$4:$U$33,0))</f>
        <v>650</v>
      </c>
      <c r="P40">
        <v>5</v>
      </c>
    </row>
    <row r="41" spans="1:47" x14ac:dyDescent="0.15">
      <c r="A41">
        <v>38</v>
      </c>
      <c r="B41">
        <v>0</v>
      </c>
      <c r="C41">
        <f t="shared" si="4"/>
        <v>13</v>
      </c>
      <c r="D41">
        <v>1</v>
      </c>
      <c r="E41">
        <v>30</v>
      </c>
      <c r="F41" s="3" t="s">
        <v>37</v>
      </c>
      <c r="G41" s="4" t="s">
        <v>23</v>
      </c>
      <c r="H41" s="4" t="s">
        <v>23</v>
      </c>
      <c r="I41" s="4" t="s">
        <v>23</v>
      </c>
      <c r="J41" s="7" t="str">
        <f t="shared" si="5"/>
        <v>1300,10</v>
      </c>
      <c r="O41">
        <f t="shared" ref="O41" si="46">INDEX($W$4:$W$33,MATCH($C41,$U$4:$U$33,0))</f>
        <v>1300</v>
      </c>
      <c r="P41">
        <v>10</v>
      </c>
    </row>
    <row r="42" spans="1:47" x14ac:dyDescent="0.15">
      <c r="A42">
        <v>39</v>
      </c>
      <c r="B42">
        <v>0</v>
      </c>
      <c r="C42">
        <f t="shared" si="4"/>
        <v>13</v>
      </c>
      <c r="D42">
        <v>2</v>
      </c>
      <c r="E42">
        <v>50</v>
      </c>
      <c r="F42" s="3" t="s">
        <v>37</v>
      </c>
      <c r="G42" s="4" t="s">
        <v>23</v>
      </c>
      <c r="H42" s="4" t="s">
        <v>23</v>
      </c>
      <c r="I42" s="4" t="s">
        <v>23</v>
      </c>
      <c r="J42" s="7" t="str">
        <f t="shared" si="5"/>
        <v>1950,20</v>
      </c>
      <c r="O42">
        <f t="shared" ref="O42" si="47">INDEX($X$4:$X$33,MATCH($C42,$U$4:$U$33,0))</f>
        <v>1950</v>
      </c>
      <c r="P42">
        <v>20</v>
      </c>
    </row>
    <row r="43" spans="1:47" x14ac:dyDescent="0.15">
      <c r="A43">
        <v>40</v>
      </c>
      <c r="B43">
        <v>0</v>
      </c>
      <c r="C43">
        <f t="shared" si="4"/>
        <v>14</v>
      </c>
      <c r="D43">
        <v>0</v>
      </c>
      <c r="E43">
        <v>0</v>
      </c>
      <c r="F43" s="3" t="s">
        <v>37</v>
      </c>
      <c r="G43" s="4" t="s">
        <v>23</v>
      </c>
      <c r="H43" s="4" t="s">
        <v>23</v>
      </c>
      <c r="I43" s="4" t="s">
        <v>23</v>
      </c>
      <c r="J43" s="7" t="str">
        <f t="shared" si="5"/>
        <v>700,5</v>
      </c>
      <c r="O43">
        <f t="shared" ref="O43" si="48">INDEX($V$4:$V$33,MATCH($C43,$U$4:$U$33,0))</f>
        <v>700</v>
      </c>
      <c r="P43">
        <v>5</v>
      </c>
    </row>
    <row r="44" spans="1:47" x14ac:dyDescent="0.15">
      <c r="A44">
        <v>41</v>
      </c>
      <c r="B44">
        <v>0</v>
      </c>
      <c r="C44">
        <f t="shared" si="4"/>
        <v>14</v>
      </c>
      <c r="D44">
        <v>1</v>
      </c>
      <c r="E44">
        <v>30</v>
      </c>
      <c r="F44" s="3" t="s">
        <v>37</v>
      </c>
      <c r="G44" s="4" t="s">
        <v>23</v>
      </c>
      <c r="H44" s="4" t="s">
        <v>23</v>
      </c>
      <c r="I44" s="4" t="s">
        <v>23</v>
      </c>
      <c r="J44" s="7" t="str">
        <f t="shared" si="5"/>
        <v>1400,10</v>
      </c>
      <c r="O44">
        <f t="shared" ref="O44" si="49">INDEX($W$4:$W$33,MATCH($C44,$U$4:$U$33,0))</f>
        <v>1400</v>
      </c>
      <c r="P44">
        <v>10</v>
      </c>
    </row>
    <row r="45" spans="1:47" x14ac:dyDescent="0.15">
      <c r="A45">
        <v>42</v>
      </c>
      <c r="B45">
        <v>0</v>
      </c>
      <c r="C45">
        <f t="shared" si="4"/>
        <v>14</v>
      </c>
      <c r="D45">
        <v>2</v>
      </c>
      <c r="E45">
        <v>50</v>
      </c>
      <c r="F45" s="3" t="s">
        <v>37</v>
      </c>
      <c r="G45" s="4" t="s">
        <v>23</v>
      </c>
      <c r="H45" s="4" t="s">
        <v>23</v>
      </c>
      <c r="I45" s="4" t="s">
        <v>23</v>
      </c>
      <c r="J45" s="7" t="str">
        <f t="shared" si="5"/>
        <v>2100,20</v>
      </c>
      <c r="O45">
        <f t="shared" ref="O45" si="50">INDEX($X$4:$X$33,MATCH($C45,$U$4:$U$33,0))</f>
        <v>2100</v>
      </c>
      <c r="P45">
        <v>20</v>
      </c>
    </row>
    <row r="46" spans="1:47" x14ac:dyDescent="0.15">
      <c r="A46">
        <v>43</v>
      </c>
      <c r="B46">
        <v>0</v>
      </c>
      <c r="C46">
        <f t="shared" si="4"/>
        <v>15</v>
      </c>
      <c r="D46">
        <v>0</v>
      </c>
      <c r="E46">
        <v>0</v>
      </c>
      <c r="F46" s="3" t="s">
        <v>37</v>
      </c>
      <c r="G46" s="4" t="s">
        <v>23</v>
      </c>
      <c r="H46" s="4" t="s">
        <v>23</v>
      </c>
      <c r="I46" s="4" t="s">
        <v>23</v>
      </c>
      <c r="J46" s="7" t="str">
        <f t="shared" si="5"/>
        <v>750,5</v>
      </c>
      <c r="O46">
        <f t="shared" ref="O46" si="51">INDEX($V$4:$V$33,MATCH($C46,$U$4:$U$33,0))</f>
        <v>750</v>
      </c>
      <c r="P46">
        <v>5</v>
      </c>
    </row>
    <row r="47" spans="1:47" x14ac:dyDescent="0.15">
      <c r="A47">
        <v>44</v>
      </c>
      <c r="B47">
        <v>0</v>
      </c>
      <c r="C47">
        <f t="shared" si="4"/>
        <v>15</v>
      </c>
      <c r="D47">
        <v>1</v>
      </c>
      <c r="E47">
        <v>30</v>
      </c>
      <c r="F47" s="3" t="s">
        <v>37</v>
      </c>
      <c r="G47" s="4" t="s">
        <v>23</v>
      </c>
      <c r="H47" s="4" t="s">
        <v>23</v>
      </c>
      <c r="I47" s="4" t="s">
        <v>23</v>
      </c>
      <c r="J47" s="7" t="str">
        <f t="shared" si="5"/>
        <v>1500,10</v>
      </c>
      <c r="O47">
        <f t="shared" ref="O47" si="52">INDEX($W$4:$W$33,MATCH($C47,$U$4:$U$33,0))</f>
        <v>1500</v>
      </c>
      <c r="P47">
        <v>10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</row>
    <row r="48" spans="1:47" x14ac:dyDescent="0.15">
      <c r="A48">
        <v>45</v>
      </c>
      <c r="B48">
        <v>0</v>
      </c>
      <c r="C48">
        <f t="shared" si="4"/>
        <v>15</v>
      </c>
      <c r="D48">
        <v>2</v>
      </c>
      <c r="E48">
        <v>50</v>
      </c>
      <c r="F48" s="3" t="s">
        <v>37</v>
      </c>
      <c r="G48" s="4" t="s">
        <v>23</v>
      </c>
      <c r="H48" s="4" t="s">
        <v>23</v>
      </c>
      <c r="I48" s="4" t="s">
        <v>23</v>
      </c>
      <c r="J48" s="7" t="str">
        <f t="shared" si="5"/>
        <v>2250,20</v>
      </c>
      <c r="O48">
        <f t="shared" ref="O48" si="53">INDEX($X$4:$X$33,MATCH($C48,$U$4:$U$33,0))</f>
        <v>2250</v>
      </c>
      <c r="P48">
        <v>20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</row>
    <row r="49" spans="1:47" x14ac:dyDescent="0.15">
      <c r="A49">
        <v>46</v>
      </c>
      <c r="B49">
        <v>0</v>
      </c>
      <c r="C49">
        <f t="shared" si="4"/>
        <v>16</v>
      </c>
      <c r="D49">
        <v>0</v>
      </c>
      <c r="E49">
        <v>0</v>
      </c>
      <c r="F49" s="3" t="s">
        <v>37</v>
      </c>
      <c r="G49" s="4" t="s">
        <v>23</v>
      </c>
      <c r="H49" s="4" t="s">
        <v>23</v>
      </c>
      <c r="I49" s="4" t="s">
        <v>23</v>
      </c>
      <c r="J49" s="7" t="str">
        <f t="shared" si="5"/>
        <v>800,5</v>
      </c>
      <c r="O49">
        <f t="shared" ref="O49" si="54">INDEX($V$4:$V$33,MATCH($C49,$U$4:$U$33,0))</f>
        <v>800</v>
      </c>
      <c r="P49">
        <v>5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</row>
    <row r="50" spans="1:47" x14ac:dyDescent="0.15">
      <c r="A50">
        <v>47</v>
      </c>
      <c r="B50">
        <v>0</v>
      </c>
      <c r="C50">
        <f t="shared" si="4"/>
        <v>16</v>
      </c>
      <c r="D50">
        <v>1</v>
      </c>
      <c r="E50">
        <v>30</v>
      </c>
      <c r="F50" s="3" t="s">
        <v>37</v>
      </c>
      <c r="G50" s="4" t="s">
        <v>23</v>
      </c>
      <c r="H50" s="4" t="s">
        <v>23</v>
      </c>
      <c r="I50" s="4" t="s">
        <v>23</v>
      </c>
      <c r="J50" s="7" t="str">
        <f t="shared" si="5"/>
        <v>1600,10</v>
      </c>
      <c r="O50">
        <f t="shared" ref="O50" si="55">INDEX($W$4:$W$33,MATCH($C50,$U$4:$U$33,0))</f>
        <v>1600</v>
      </c>
      <c r="P50">
        <v>10</v>
      </c>
    </row>
    <row r="51" spans="1:47" x14ac:dyDescent="0.15">
      <c r="A51">
        <v>48</v>
      </c>
      <c r="B51">
        <v>0</v>
      </c>
      <c r="C51">
        <f t="shared" si="4"/>
        <v>16</v>
      </c>
      <c r="D51">
        <v>2</v>
      </c>
      <c r="E51">
        <v>50</v>
      </c>
      <c r="F51" s="3" t="s">
        <v>37</v>
      </c>
      <c r="G51" s="4" t="s">
        <v>23</v>
      </c>
      <c r="H51" s="4" t="s">
        <v>23</v>
      </c>
      <c r="I51" s="4" t="s">
        <v>23</v>
      </c>
      <c r="J51" s="7" t="str">
        <f t="shared" si="5"/>
        <v>2400,20</v>
      </c>
      <c r="O51">
        <f t="shared" ref="O51" si="56">INDEX($X$4:$X$33,MATCH($C51,$U$4:$U$33,0))</f>
        <v>2400</v>
      </c>
      <c r="P51">
        <v>20</v>
      </c>
    </row>
    <row r="52" spans="1:47" x14ac:dyDescent="0.15">
      <c r="A52">
        <v>49</v>
      </c>
      <c r="B52">
        <v>0</v>
      </c>
      <c r="C52">
        <f t="shared" si="4"/>
        <v>17</v>
      </c>
      <c r="D52">
        <v>0</v>
      </c>
      <c r="E52">
        <v>0</v>
      </c>
      <c r="F52" s="3" t="s">
        <v>37</v>
      </c>
      <c r="G52" s="4" t="s">
        <v>23</v>
      </c>
      <c r="H52" s="4" t="s">
        <v>23</v>
      </c>
      <c r="I52" s="4" t="s">
        <v>23</v>
      </c>
      <c r="J52" s="7" t="str">
        <f t="shared" si="5"/>
        <v>850,5</v>
      </c>
      <c r="O52">
        <f t="shared" ref="O52" si="57">INDEX($V$4:$V$33,MATCH($C52,$U$4:$U$33,0))</f>
        <v>850</v>
      </c>
      <c r="P52">
        <v>5</v>
      </c>
    </row>
    <row r="53" spans="1:47" x14ac:dyDescent="0.15">
      <c r="A53">
        <v>50</v>
      </c>
      <c r="B53">
        <v>0</v>
      </c>
      <c r="C53">
        <f t="shared" si="4"/>
        <v>17</v>
      </c>
      <c r="D53">
        <v>1</v>
      </c>
      <c r="E53">
        <v>30</v>
      </c>
      <c r="F53" s="3" t="s">
        <v>37</v>
      </c>
      <c r="G53" s="4" t="s">
        <v>23</v>
      </c>
      <c r="H53" s="4" t="s">
        <v>23</v>
      </c>
      <c r="I53" s="4" t="s">
        <v>23</v>
      </c>
      <c r="J53" s="7" t="str">
        <f t="shared" si="5"/>
        <v>1700,10</v>
      </c>
      <c r="O53">
        <f t="shared" ref="O53" si="58">INDEX($W$4:$W$33,MATCH($C53,$U$4:$U$33,0))</f>
        <v>1700</v>
      </c>
      <c r="P53">
        <v>10</v>
      </c>
    </row>
    <row r="54" spans="1:47" x14ac:dyDescent="0.15">
      <c r="A54">
        <v>51</v>
      </c>
      <c r="B54">
        <v>0</v>
      </c>
      <c r="C54">
        <f t="shared" si="4"/>
        <v>17</v>
      </c>
      <c r="D54">
        <v>2</v>
      </c>
      <c r="E54">
        <v>50</v>
      </c>
      <c r="F54" s="3" t="s">
        <v>37</v>
      </c>
      <c r="G54" s="4" t="s">
        <v>23</v>
      </c>
      <c r="H54" s="4" t="s">
        <v>23</v>
      </c>
      <c r="I54" s="4" t="s">
        <v>23</v>
      </c>
      <c r="J54" s="7" t="str">
        <f t="shared" si="5"/>
        <v>2550,20</v>
      </c>
      <c r="O54">
        <f t="shared" ref="O54" si="59">INDEX($X$4:$X$33,MATCH($C54,$U$4:$U$33,0))</f>
        <v>2550</v>
      </c>
      <c r="P54">
        <v>20</v>
      </c>
    </row>
    <row r="55" spans="1:47" x14ac:dyDescent="0.15">
      <c r="A55">
        <v>52</v>
      </c>
      <c r="B55">
        <v>0</v>
      </c>
      <c r="C55">
        <f t="shared" si="4"/>
        <v>18</v>
      </c>
      <c r="D55">
        <v>0</v>
      </c>
      <c r="E55">
        <v>0</v>
      </c>
      <c r="F55" s="3" t="s">
        <v>37</v>
      </c>
      <c r="G55" s="4" t="s">
        <v>23</v>
      </c>
      <c r="H55" s="4" t="s">
        <v>23</v>
      </c>
      <c r="I55" s="4" t="s">
        <v>23</v>
      </c>
      <c r="J55" s="7" t="str">
        <f t="shared" si="5"/>
        <v>900,5</v>
      </c>
      <c r="O55">
        <f t="shared" ref="O55" si="60">INDEX($V$4:$V$33,MATCH($C55,$U$4:$U$33,0))</f>
        <v>900</v>
      </c>
      <c r="P55">
        <v>5</v>
      </c>
    </row>
    <row r="56" spans="1:47" x14ac:dyDescent="0.15">
      <c r="A56">
        <v>53</v>
      </c>
      <c r="B56">
        <v>0</v>
      </c>
      <c r="C56">
        <f t="shared" si="4"/>
        <v>18</v>
      </c>
      <c r="D56">
        <v>1</v>
      </c>
      <c r="E56">
        <v>30</v>
      </c>
      <c r="F56" s="3" t="s">
        <v>37</v>
      </c>
      <c r="G56" s="4" t="s">
        <v>23</v>
      </c>
      <c r="H56" s="4" t="s">
        <v>23</v>
      </c>
      <c r="I56" s="4" t="s">
        <v>23</v>
      </c>
      <c r="J56" s="7" t="str">
        <f t="shared" si="5"/>
        <v>1800,10</v>
      </c>
      <c r="O56">
        <f t="shared" ref="O56" si="61">INDEX($W$4:$W$33,MATCH($C56,$U$4:$U$33,0))</f>
        <v>1800</v>
      </c>
      <c r="P56">
        <v>10</v>
      </c>
    </row>
    <row r="57" spans="1:47" x14ac:dyDescent="0.15">
      <c r="A57">
        <v>54</v>
      </c>
      <c r="B57">
        <v>0</v>
      </c>
      <c r="C57">
        <f t="shared" si="4"/>
        <v>18</v>
      </c>
      <c r="D57">
        <v>2</v>
      </c>
      <c r="E57">
        <v>50</v>
      </c>
      <c r="F57" s="3" t="s">
        <v>37</v>
      </c>
      <c r="G57" s="4" t="s">
        <v>23</v>
      </c>
      <c r="H57" s="4" t="s">
        <v>23</v>
      </c>
      <c r="I57" s="4" t="s">
        <v>23</v>
      </c>
      <c r="J57" s="7" t="str">
        <f t="shared" si="5"/>
        <v>2700,20</v>
      </c>
      <c r="O57">
        <f t="shared" ref="O57" si="62">INDEX($X$4:$X$33,MATCH($C57,$U$4:$U$33,0))</f>
        <v>2700</v>
      </c>
      <c r="P57">
        <v>20</v>
      </c>
    </row>
    <row r="58" spans="1:47" x14ac:dyDescent="0.15">
      <c r="A58">
        <v>55</v>
      </c>
      <c r="B58">
        <v>0</v>
      </c>
      <c r="C58">
        <f t="shared" si="4"/>
        <v>19</v>
      </c>
      <c r="D58">
        <v>0</v>
      </c>
      <c r="E58">
        <v>0</v>
      </c>
      <c r="F58" s="3" t="s">
        <v>37</v>
      </c>
      <c r="G58" s="4" t="s">
        <v>23</v>
      </c>
      <c r="H58" s="4" t="s">
        <v>23</v>
      </c>
      <c r="I58" s="4" t="s">
        <v>23</v>
      </c>
      <c r="J58" s="7" t="str">
        <f t="shared" si="5"/>
        <v>950,5</v>
      </c>
      <c r="O58">
        <f t="shared" ref="O58" si="63">INDEX($V$4:$V$33,MATCH($C58,$U$4:$U$33,0))</f>
        <v>950</v>
      </c>
      <c r="P58">
        <v>5</v>
      </c>
    </row>
    <row r="59" spans="1:47" x14ac:dyDescent="0.15">
      <c r="A59">
        <v>56</v>
      </c>
      <c r="B59">
        <v>0</v>
      </c>
      <c r="C59">
        <f t="shared" si="4"/>
        <v>19</v>
      </c>
      <c r="D59">
        <v>1</v>
      </c>
      <c r="E59">
        <v>30</v>
      </c>
      <c r="F59" s="3" t="s">
        <v>37</v>
      </c>
      <c r="G59" s="4" t="s">
        <v>23</v>
      </c>
      <c r="H59" s="4" t="s">
        <v>23</v>
      </c>
      <c r="I59" s="4" t="s">
        <v>23</v>
      </c>
      <c r="J59" s="7" t="str">
        <f t="shared" si="5"/>
        <v>1900,10</v>
      </c>
      <c r="O59">
        <f t="shared" ref="O59" si="64">INDEX($W$4:$W$33,MATCH($C59,$U$4:$U$33,0))</f>
        <v>1900</v>
      </c>
      <c r="P59">
        <v>10</v>
      </c>
    </row>
    <row r="60" spans="1:47" x14ac:dyDescent="0.15">
      <c r="A60">
        <v>57</v>
      </c>
      <c r="B60">
        <v>0</v>
      </c>
      <c r="C60">
        <f t="shared" si="4"/>
        <v>19</v>
      </c>
      <c r="D60">
        <v>2</v>
      </c>
      <c r="E60">
        <v>50</v>
      </c>
      <c r="F60" s="3" t="s">
        <v>37</v>
      </c>
      <c r="G60" s="4" t="s">
        <v>23</v>
      </c>
      <c r="H60" s="4" t="s">
        <v>23</v>
      </c>
      <c r="I60" s="4" t="s">
        <v>23</v>
      </c>
      <c r="J60" s="7" t="str">
        <f t="shared" si="5"/>
        <v>2850,20</v>
      </c>
      <c r="O60">
        <f t="shared" ref="O60" si="65">INDEX($X$4:$X$33,MATCH($C60,$U$4:$U$33,0))</f>
        <v>2850</v>
      </c>
      <c r="P60">
        <v>20</v>
      </c>
    </row>
    <row r="61" spans="1:47" x14ac:dyDescent="0.15">
      <c r="A61">
        <v>58</v>
      </c>
      <c r="B61">
        <v>0</v>
      </c>
      <c r="C61">
        <f t="shared" si="4"/>
        <v>20</v>
      </c>
      <c r="D61">
        <v>0</v>
      </c>
      <c r="E61">
        <v>0</v>
      </c>
      <c r="F61" s="3" t="s">
        <v>37</v>
      </c>
      <c r="G61" s="4" t="s">
        <v>23</v>
      </c>
      <c r="H61" s="4" t="s">
        <v>23</v>
      </c>
      <c r="I61" s="4" t="s">
        <v>23</v>
      </c>
      <c r="J61" s="7" t="str">
        <f t="shared" si="5"/>
        <v>1000,5</v>
      </c>
      <c r="O61">
        <f t="shared" ref="O61" si="66">INDEX($V$4:$V$33,MATCH($C61,$U$4:$U$33,0))</f>
        <v>1000</v>
      </c>
      <c r="P61">
        <v>5</v>
      </c>
    </row>
    <row r="62" spans="1:47" x14ac:dyDescent="0.15">
      <c r="A62">
        <v>59</v>
      </c>
      <c r="B62">
        <v>0</v>
      </c>
      <c r="C62">
        <f t="shared" si="4"/>
        <v>20</v>
      </c>
      <c r="D62">
        <v>1</v>
      </c>
      <c r="E62">
        <v>30</v>
      </c>
      <c r="F62" s="3" t="s">
        <v>37</v>
      </c>
      <c r="G62" s="4" t="s">
        <v>23</v>
      </c>
      <c r="H62" s="4" t="s">
        <v>23</v>
      </c>
      <c r="I62" s="4" t="s">
        <v>23</v>
      </c>
      <c r="J62" s="7" t="str">
        <f t="shared" si="5"/>
        <v>2000,10</v>
      </c>
      <c r="O62">
        <f t="shared" ref="O62" si="67">INDEX($W$4:$W$33,MATCH($C62,$U$4:$U$33,0))</f>
        <v>2000</v>
      </c>
      <c r="P62">
        <v>10</v>
      </c>
    </row>
    <row r="63" spans="1:47" x14ac:dyDescent="0.15">
      <c r="A63">
        <v>60</v>
      </c>
      <c r="B63">
        <v>0</v>
      </c>
      <c r="C63">
        <f t="shared" si="4"/>
        <v>20</v>
      </c>
      <c r="D63">
        <v>2</v>
      </c>
      <c r="E63">
        <v>50</v>
      </c>
      <c r="F63" s="3" t="s">
        <v>37</v>
      </c>
      <c r="G63" s="4" t="s">
        <v>23</v>
      </c>
      <c r="H63" s="4" t="s">
        <v>23</v>
      </c>
      <c r="I63" s="4" t="s">
        <v>23</v>
      </c>
      <c r="J63" s="7" t="str">
        <f t="shared" si="5"/>
        <v>3000,20</v>
      </c>
      <c r="O63">
        <f t="shared" ref="O63" si="68">INDEX($X$4:$X$33,MATCH($C63,$U$4:$U$33,0))</f>
        <v>3000</v>
      </c>
      <c r="P63">
        <v>20</v>
      </c>
    </row>
    <row r="64" spans="1:47" x14ac:dyDescent="0.15">
      <c r="A64">
        <v>61</v>
      </c>
      <c r="B64">
        <v>0</v>
      </c>
      <c r="C64">
        <f t="shared" si="4"/>
        <v>21</v>
      </c>
      <c r="D64">
        <v>0</v>
      </c>
      <c r="E64">
        <v>0</v>
      </c>
      <c r="F64" s="3" t="s">
        <v>37</v>
      </c>
      <c r="G64" s="4" t="s">
        <v>23</v>
      </c>
      <c r="H64" s="4" t="s">
        <v>23</v>
      </c>
      <c r="I64" s="4" t="s">
        <v>23</v>
      </c>
      <c r="J64" s="7" t="str">
        <f t="shared" si="5"/>
        <v>1050,5</v>
      </c>
      <c r="O64">
        <f t="shared" ref="O64" si="69">INDEX($V$4:$V$33,MATCH($C64,$U$4:$U$33,0))</f>
        <v>1050</v>
      </c>
      <c r="P64">
        <v>5</v>
      </c>
    </row>
    <row r="65" spans="1:16" x14ac:dyDescent="0.15">
      <c r="A65">
        <v>62</v>
      </c>
      <c r="B65">
        <v>0</v>
      </c>
      <c r="C65">
        <f t="shared" si="4"/>
        <v>21</v>
      </c>
      <c r="D65">
        <v>1</v>
      </c>
      <c r="E65">
        <v>30</v>
      </c>
      <c r="F65" s="3" t="s">
        <v>37</v>
      </c>
      <c r="G65" s="4" t="s">
        <v>23</v>
      </c>
      <c r="H65" s="4" t="s">
        <v>23</v>
      </c>
      <c r="I65" s="4" t="s">
        <v>23</v>
      </c>
      <c r="J65" s="7" t="str">
        <f t="shared" si="5"/>
        <v>2100,10</v>
      </c>
      <c r="O65">
        <f t="shared" ref="O65" si="70">INDEX($W$4:$W$33,MATCH($C65,$U$4:$U$33,0))</f>
        <v>2100</v>
      </c>
      <c r="P65">
        <v>10</v>
      </c>
    </row>
    <row r="66" spans="1:16" x14ac:dyDescent="0.15">
      <c r="A66">
        <v>63</v>
      </c>
      <c r="B66">
        <v>0</v>
      </c>
      <c r="C66">
        <f t="shared" si="4"/>
        <v>21</v>
      </c>
      <c r="D66">
        <v>2</v>
      </c>
      <c r="E66">
        <v>50</v>
      </c>
      <c r="F66" s="3" t="s">
        <v>37</v>
      </c>
      <c r="G66" s="4" t="s">
        <v>23</v>
      </c>
      <c r="H66" s="4" t="s">
        <v>23</v>
      </c>
      <c r="I66" s="4" t="s">
        <v>23</v>
      </c>
      <c r="J66" s="7" t="str">
        <f t="shared" si="5"/>
        <v>3150,20</v>
      </c>
      <c r="O66">
        <f t="shared" ref="O66" si="71">INDEX($X$4:$X$33,MATCH($C66,$U$4:$U$33,0))</f>
        <v>3150</v>
      </c>
      <c r="P66">
        <v>20</v>
      </c>
    </row>
    <row r="67" spans="1:16" x14ac:dyDescent="0.15">
      <c r="A67">
        <v>64</v>
      </c>
      <c r="B67">
        <v>0</v>
      </c>
      <c r="C67">
        <f t="shared" si="4"/>
        <v>22</v>
      </c>
      <c r="D67">
        <v>0</v>
      </c>
      <c r="E67">
        <v>0</v>
      </c>
      <c r="F67" s="3" t="s">
        <v>37</v>
      </c>
      <c r="G67" s="4" t="s">
        <v>23</v>
      </c>
      <c r="H67" s="4" t="s">
        <v>23</v>
      </c>
      <c r="I67" s="4" t="s">
        <v>23</v>
      </c>
      <c r="J67" s="7" t="str">
        <f t="shared" si="5"/>
        <v>1100,5</v>
      </c>
      <c r="O67">
        <f t="shared" ref="O67" si="72">INDEX($V$4:$V$33,MATCH($C67,$U$4:$U$33,0))</f>
        <v>1100</v>
      </c>
      <c r="P67">
        <v>5</v>
      </c>
    </row>
    <row r="68" spans="1:16" x14ac:dyDescent="0.15">
      <c r="A68">
        <v>65</v>
      </c>
      <c r="B68">
        <v>0</v>
      </c>
      <c r="C68">
        <f t="shared" si="4"/>
        <v>22</v>
      </c>
      <c r="D68">
        <v>1</v>
      </c>
      <c r="E68">
        <v>30</v>
      </c>
      <c r="F68" s="3" t="s">
        <v>37</v>
      </c>
      <c r="G68" s="4" t="s">
        <v>23</v>
      </c>
      <c r="H68" s="4" t="s">
        <v>23</v>
      </c>
      <c r="I68" s="4" t="s">
        <v>23</v>
      </c>
      <c r="J68" s="7" t="str">
        <f t="shared" si="5"/>
        <v>2200,10</v>
      </c>
      <c r="O68">
        <f t="shared" ref="O68" si="73">INDEX($W$4:$W$33,MATCH($C68,$U$4:$U$33,0))</f>
        <v>2200</v>
      </c>
      <c r="P68">
        <v>10</v>
      </c>
    </row>
    <row r="69" spans="1:16" x14ac:dyDescent="0.15">
      <c r="A69">
        <v>66</v>
      </c>
      <c r="B69">
        <v>0</v>
      </c>
      <c r="C69">
        <f t="shared" ref="C69:C93" si="74">ROUNDUP(A69/3,0)</f>
        <v>22</v>
      </c>
      <c r="D69">
        <v>2</v>
      </c>
      <c r="E69">
        <v>50</v>
      </c>
      <c r="F69" s="3" t="s">
        <v>37</v>
      </c>
      <c r="G69" s="4" t="s">
        <v>23</v>
      </c>
      <c r="H69" s="4" t="s">
        <v>23</v>
      </c>
      <c r="I69" s="4" t="s">
        <v>23</v>
      </c>
      <c r="J69" s="7" t="str">
        <f t="shared" ref="J69:J93" si="75">O69&amp;","&amp;P69</f>
        <v>3300,20</v>
      </c>
      <c r="O69">
        <f t="shared" ref="O69" si="76">INDEX($X$4:$X$33,MATCH($C69,$U$4:$U$33,0))</f>
        <v>3300</v>
      </c>
      <c r="P69">
        <v>20</v>
      </c>
    </row>
    <row r="70" spans="1:16" x14ac:dyDescent="0.15">
      <c r="A70">
        <v>67</v>
      </c>
      <c r="B70">
        <v>0</v>
      </c>
      <c r="C70">
        <f t="shared" si="74"/>
        <v>23</v>
      </c>
      <c r="D70">
        <v>0</v>
      </c>
      <c r="E70">
        <v>0</v>
      </c>
      <c r="F70" s="3" t="s">
        <v>37</v>
      </c>
      <c r="G70" s="4" t="s">
        <v>23</v>
      </c>
      <c r="H70" s="4" t="s">
        <v>23</v>
      </c>
      <c r="I70" s="4" t="s">
        <v>23</v>
      </c>
      <c r="J70" s="7" t="str">
        <f t="shared" si="75"/>
        <v>1150,5</v>
      </c>
      <c r="O70">
        <f t="shared" ref="O70" si="77">INDEX($V$4:$V$33,MATCH($C70,$U$4:$U$33,0))</f>
        <v>1150</v>
      </c>
      <c r="P70">
        <v>5</v>
      </c>
    </row>
    <row r="71" spans="1:16" x14ac:dyDescent="0.15">
      <c r="A71">
        <v>68</v>
      </c>
      <c r="B71">
        <v>0</v>
      </c>
      <c r="C71">
        <f t="shared" si="74"/>
        <v>23</v>
      </c>
      <c r="D71">
        <v>1</v>
      </c>
      <c r="E71">
        <v>30</v>
      </c>
      <c r="F71" s="3" t="s">
        <v>37</v>
      </c>
      <c r="G71" s="4" t="s">
        <v>23</v>
      </c>
      <c r="H71" s="4" t="s">
        <v>23</v>
      </c>
      <c r="I71" s="4" t="s">
        <v>23</v>
      </c>
      <c r="J71" s="7" t="str">
        <f t="shared" si="75"/>
        <v>2300,10</v>
      </c>
      <c r="O71">
        <f t="shared" ref="O71" si="78">INDEX($W$4:$W$33,MATCH($C71,$U$4:$U$33,0))</f>
        <v>2300</v>
      </c>
      <c r="P71">
        <v>10</v>
      </c>
    </row>
    <row r="72" spans="1:16" x14ac:dyDescent="0.15">
      <c r="A72">
        <v>69</v>
      </c>
      <c r="B72">
        <v>0</v>
      </c>
      <c r="C72">
        <f t="shared" si="74"/>
        <v>23</v>
      </c>
      <c r="D72">
        <v>2</v>
      </c>
      <c r="E72">
        <v>50</v>
      </c>
      <c r="F72" s="3" t="s">
        <v>37</v>
      </c>
      <c r="G72" s="4" t="s">
        <v>23</v>
      </c>
      <c r="H72" s="4" t="s">
        <v>23</v>
      </c>
      <c r="I72" s="4" t="s">
        <v>23</v>
      </c>
      <c r="J72" s="7" t="str">
        <f t="shared" si="75"/>
        <v>3450,20</v>
      </c>
      <c r="O72">
        <f t="shared" ref="O72" si="79">INDEX($X$4:$X$33,MATCH($C72,$U$4:$U$33,0))</f>
        <v>3450</v>
      </c>
      <c r="P72">
        <v>20</v>
      </c>
    </row>
    <row r="73" spans="1:16" x14ac:dyDescent="0.15">
      <c r="A73">
        <v>70</v>
      </c>
      <c r="B73">
        <v>0</v>
      </c>
      <c r="C73">
        <f t="shared" si="74"/>
        <v>24</v>
      </c>
      <c r="D73">
        <v>0</v>
      </c>
      <c r="E73">
        <v>0</v>
      </c>
      <c r="F73" s="3" t="s">
        <v>37</v>
      </c>
      <c r="G73" s="4" t="s">
        <v>23</v>
      </c>
      <c r="H73" s="4" t="s">
        <v>23</v>
      </c>
      <c r="I73" s="4" t="s">
        <v>23</v>
      </c>
      <c r="J73" s="7" t="str">
        <f t="shared" si="75"/>
        <v>1200,5</v>
      </c>
      <c r="O73">
        <f t="shared" ref="O73" si="80">INDEX($V$4:$V$33,MATCH($C73,$U$4:$U$33,0))</f>
        <v>1200</v>
      </c>
      <c r="P73">
        <v>5</v>
      </c>
    </row>
    <row r="74" spans="1:16" x14ac:dyDescent="0.15">
      <c r="A74">
        <v>71</v>
      </c>
      <c r="B74">
        <v>0</v>
      </c>
      <c r="C74">
        <f t="shared" si="74"/>
        <v>24</v>
      </c>
      <c r="D74">
        <v>1</v>
      </c>
      <c r="E74">
        <v>30</v>
      </c>
      <c r="F74" s="3" t="s">
        <v>37</v>
      </c>
      <c r="G74" s="4" t="s">
        <v>23</v>
      </c>
      <c r="H74" s="4" t="s">
        <v>23</v>
      </c>
      <c r="I74" s="4" t="s">
        <v>23</v>
      </c>
      <c r="J74" s="7" t="str">
        <f t="shared" si="75"/>
        <v>2400,10</v>
      </c>
      <c r="O74">
        <f t="shared" ref="O74" si="81">INDEX($W$4:$W$33,MATCH($C74,$U$4:$U$33,0))</f>
        <v>2400</v>
      </c>
      <c r="P74">
        <v>10</v>
      </c>
    </row>
    <row r="75" spans="1:16" x14ac:dyDescent="0.15">
      <c r="A75">
        <v>72</v>
      </c>
      <c r="B75">
        <v>0</v>
      </c>
      <c r="C75">
        <f t="shared" si="74"/>
        <v>24</v>
      </c>
      <c r="D75">
        <v>2</v>
      </c>
      <c r="E75">
        <v>50</v>
      </c>
      <c r="F75" s="3" t="s">
        <v>37</v>
      </c>
      <c r="G75" s="4" t="s">
        <v>23</v>
      </c>
      <c r="H75" s="4" t="s">
        <v>23</v>
      </c>
      <c r="I75" s="4" t="s">
        <v>23</v>
      </c>
      <c r="J75" s="7" t="str">
        <f t="shared" si="75"/>
        <v>3600,20</v>
      </c>
      <c r="O75">
        <f t="shared" ref="O75" si="82">INDEX($X$4:$X$33,MATCH($C75,$U$4:$U$33,0))</f>
        <v>3600</v>
      </c>
      <c r="P75">
        <v>20</v>
      </c>
    </row>
    <row r="76" spans="1:16" x14ac:dyDescent="0.15">
      <c r="A76">
        <v>73</v>
      </c>
      <c r="B76">
        <v>0</v>
      </c>
      <c r="C76">
        <f t="shared" si="74"/>
        <v>25</v>
      </c>
      <c r="D76">
        <v>0</v>
      </c>
      <c r="E76">
        <v>0</v>
      </c>
      <c r="F76" s="3" t="s">
        <v>37</v>
      </c>
      <c r="G76" s="4" t="s">
        <v>23</v>
      </c>
      <c r="H76" s="4" t="s">
        <v>23</v>
      </c>
      <c r="I76" s="4" t="s">
        <v>23</v>
      </c>
      <c r="J76" s="7" t="str">
        <f t="shared" si="75"/>
        <v>1250,5</v>
      </c>
      <c r="O76">
        <f t="shared" ref="O76" si="83">INDEX($V$4:$V$33,MATCH($C76,$U$4:$U$33,0))</f>
        <v>1250</v>
      </c>
      <c r="P76">
        <v>5</v>
      </c>
    </row>
    <row r="77" spans="1:16" x14ac:dyDescent="0.15">
      <c r="A77">
        <v>74</v>
      </c>
      <c r="B77">
        <v>0</v>
      </c>
      <c r="C77">
        <f t="shared" si="74"/>
        <v>25</v>
      </c>
      <c r="D77">
        <v>1</v>
      </c>
      <c r="E77">
        <v>30</v>
      </c>
      <c r="F77" s="3" t="s">
        <v>37</v>
      </c>
      <c r="G77" s="4" t="s">
        <v>23</v>
      </c>
      <c r="H77" s="4" t="s">
        <v>23</v>
      </c>
      <c r="I77" s="4" t="s">
        <v>23</v>
      </c>
      <c r="J77" s="7" t="str">
        <f t="shared" si="75"/>
        <v>2500,10</v>
      </c>
      <c r="O77">
        <f t="shared" ref="O77" si="84">INDEX($W$4:$W$33,MATCH($C77,$U$4:$U$33,0))</f>
        <v>2500</v>
      </c>
      <c r="P77">
        <v>10</v>
      </c>
    </row>
    <row r="78" spans="1:16" x14ac:dyDescent="0.15">
      <c r="A78">
        <v>75</v>
      </c>
      <c r="B78">
        <v>0</v>
      </c>
      <c r="C78">
        <f t="shared" si="74"/>
        <v>25</v>
      </c>
      <c r="D78">
        <v>2</v>
      </c>
      <c r="E78">
        <v>50</v>
      </c>
      <c r="F78" s="3" t="s">
        <v>37</v>
      </c>
      <c r="G78" s="4" t="s">
        <v>23</v>
      </c>
      <c r="H78" s="4" t="s">
        <v>23</v>
      </c>
      <c r="I78" s="4" t="s">
        <v>23</v>
      </c>
      <c r="J78" s="7" t="str">
        <f t="shared" si="75"/>
        <v>3750,20</v>
      </c>
      <c r="O78">
        <f t="shared" ref="O78" si="85">INDEX($X$4:$X$33,MATCH($C78,$U$4:$U$33,0))</f>
        <v>3750</v>
      </c>
      <c r="P78">
        <v>20</v>
      </c>
    </row>
    <row r="79" spans="1:16" x14ac:dyDescent="0.15">
      <c r="A79">
        <v>76</v>
      </c>
      <c r="B79">
        <v>0</v>
      </c>
      <c r="C79">
        <f t="shared" si="74"/>
        <v>26</v>
      </c>
      <c r="D79">
        <v>0</v>
      </c>
      <c r="E79">
        <v>0</v>
      </c>
      <c r="F79" s="3" t="s">
        <v>37</v>
      </c>
      <c r="G79" s="4" t="s">
        <v>23</v>
      </c>
      <c r="H79" s="4" t="s">
        <v>23</v>
      </c>
      <c r="I79" s="4" t="s">
        <v>23</v>
      </c>
      <c r="J79" s="7" t="str">
        <f t="shared" si="75"/>
        <v>1300,5</v>
      </c>
      <c r="O79">
        <f t="shared" ref="O79" si="86">INDEX($V$4:$V$33,MATCH($C79,$U$4:$U$33,0))</f>
        <v>1300</v>
      </c>
      <c r="P79">
        <v>5</v>
      </c>
    </row>
    <row r="80" spans="1:16" x14ac:dyDescent="0.15">
      <c r="A80">
        <v>77</v>
      </c>
      <c r="B80">
        <v>0</v>
      </c>
      <c r="C80">
        <f t="shared" si="74"/>
        <v>26</v>
      </c>
      <c r="D80">
        <v>1</v>
      </c>
      <c r="E80">
        <v>30</v>
      </c>
      <c r="F80" s="3" t="s">
        <v>37</v>
      </c>
      <c r="G80" s="4" t="s">
        <v>23</v>
      </c>
      <c r="H80" s="4" t="s">
        <v>23</v>
      </c>
      <c r="I80" s="4" t="s">
        <v>23</v>
      </c>
      <c r="J80" s="7" t="str">
        <f t="shared" si="75"/>
        <v>2600,10</v>
      </c>
      <c r="O80">
        <f t="shared" ref="O80" si="87">INDEX($W$4:$W$33,MATCH($C80,$U$4:$U$33,0))</f>
        <v>2600</v>
      </c>
      <c r="P80">
        <v>10</v>
      </c>
    </row>
    <row r="81" spans="1:16" x14ac:dyDescent="0.15">
      <c r="A81">
        <v>78</v>
      </c>
      <c r="B81">
        <v>0</v>
      </c>
      <c r="C81">
        <f t="shared" si="74"/>
        <v>26</v>
      </c>
      <c r="D81">
        <v>2</v>
      </c>
      <c r="E81">
        <v>50</v>
      </c>
      <c r="F81" s="3" t="s">
        <v>37</v>
      </c>
      <c r="G81" s="4" t="s">
        <v>23</v>
      </c>
      <c r="H81" s="4" t="s">
        <v>23</v>
      </c>
      <c r="I81" s="4" t="s">
        <v>23</v>
      </c>
      <c r="J81" s="7" t="str">
        <f t="shared" si="75"/>
        <v>3900,20</v>
      </c>
      <c r="O81">
        <f t="shared" ref="O81" si="88">INDEX($X$4:$X$33,MATCH($C81,$U$4:$U$33,0))</f>
        <v>3900</v>
      </c>
      <c r="P81">
        <v>20</v>
      </c>
    </row>
    <row r="82" spans="1:16" x14ac:dyDescent="0.15">
      <c r="A82">
        <v>79</v>
      </c>
      <c r="B82">
        <v>0</v>
      </c>
      <c r="C82">
        <f t="shared" si="74"/>
        <v>27</v>
      </c>
      <c r="D82">
        <v>0</v>
      </c>
      <c r="E82">
        <v>0</v>
      </c>
      <c r="F82" s="3" t="s">
        <v>37</v>
      </c>
      <c r="G82" s="4" t="s">
        <v>23</v>
      </c>
      <c r="H82" s="4" t="s">
        <v>23</v>
      </c>
      <c r="I82" s="4" t="s">
        <v>23</v>
      </c>
      <c r="J82" s="7" t="str">
        <f t="shared" si="75"/>
        <v>1350,5</v>
      </c>
      <c r="O82">
        <f t="shared" ref="O82" si="89">INDEX($V$4:$V$33,MATCH($C82,$U$4:$U$33,0))</f>
        <v>1350</v>
      </c>
      <c r="P82">
        <v>5</v>
      </c>
    </row>
    <row r="83" spans="1:16" x14ac:dyDescent="0.15">
      <c r="A83">
        <v>80</v>
      </c>
      <c r="B83">
        <v>0</v>
      </c>
      <c r="C83">
        <f t="shared" si="74"/>
        <v>27</v>
      </c>
      <c r="D83">
        <v>1</v>
      </c>
      <c r="E83">
        <v>30</v>
      </c>
      <c r="F83" s="3" t="s">
        <v>37</v>
      </c>
      <c r="G83" s="4" t="s">
        <v>23</v>
      </c>
      <c r="H83" s="4" t="s">
        <v>23</v>
      </c>
      <c r="I83" s="4" t="s">
        <v>23</v>
      </c>
      <c r="J83" s="7" t="str">
        <f t="shared" si="75"/>
        <v>2700,10</v>
      </c>
      <c r="O83">
        <f t="shared" ref="O83" si="90">INDEX($W$4:$W$33,MATCH($C83,$U$4:$U$33,0))</f>
        <v>2700</v>
      </c>
      <c r="P83">
        <v>10</v>
      </c>
    </row>
    <row r="84" spans="1:16" x14ac:dyDescent="0.15">
      <c r="A84">
        <v>81</v>
      </c>
      <c r="B84">
        <v>0</v>
      </c>
      <c r="C84">
        <f t="shared" si="74"/>
        <v>27</v>
      </c>
      <c r="D84">
        <v>2</v>
      </c>
      <c r="E84">
        <v>50</v>
      </c>
      <c r="F84" s="3" t="s">
        <v>37</v>
      </c>
      <c r="G84" s="4" t="s">
        <v>23</v>
      </c>
      <c r="H84" s="4" t="s">
        <v>23</v>
      </c>
      <c r="I84" s="4" t="s">
        <v>23</v>
      </c>
      <c r="J84" s="7" t="str">
        <f t="shared" si="75"/>
        <v>4050,20</v>
      </c>
      <c r="O84">
        <f t="shared" ref="O84" si="91">INDEX($X$4:$X$33,MATCH($C84,$U$4:$U$33,0))</f>
        <v>4050</v>
      </c>
      <c r="P84">
        <v>20</v>
      </c>
    </row>
    <row r="85" spans="1:16" x14ac:dyDescent="0.15">
      <c r="A85">
        <v>82</v>
      </c>
      <c r="B85">
        <v>0</v>
      </c>
      <c r="C85">
        <f t="shared" si="74"/>
        <v>28</v>
      </c>
      <c r="D85">
        <v>0</v>
      </c>
      <c r="E85">
        <v>0</v>
      </c>
      <c r="F85" s="3" t="s">
        <v>37</v>
      </c>
      <c r="G85" s="4" t="s">
        <v>23</v>
      </c>
      <c r="H85" s="4" t="s">
        <v>23</v>
      </c>
      <c r="I85" s="4" t="s">
        <v>23</v>
      </c>
      <c r="J85" s="7" t="str">
        <f t="shared" si="75"/>
        <v>1400,5</v>
      </c>
      <c r="O85">
        <f t="shared" ref="O85" si="92">INDEX($V$4:$V$33,MATCH($C85,$U$4:$U$33,0))</f>
        <v>1400</v>
      </c>
      <c r="P85">
        <v>5</v>
      </c>
    </row>
    <row r="86" spans="1:16" x14ac:dyDescent="0.15">
      <c r="A86">
        <v>83</v>
      </c>
      <c r="B86">
        <v>0</v>
      </c>
      <c r="C86">
        <f t="shared" si="74"/>
        <v>28</v>
      </c>
      <c r="D86">
        <v>1</v>
      </c>
      <c r="E86">
        <v>30</v>
      </c>
      <c r="F86" s="3" t="s">
        <v>37</v>
      </c>
      <c r="G86" s="4" t="s">
        <v>23</v>
      </c>
      <c r="H86" s="4" t="s">
        <v>23</v>
      </c>
      <c r="I86" s="4" t="s">
        <v>23</v>
      </c>
      <c r="J86" s="7" t="str">
        <f t="shared" si="75"/>
        <v>2800,10</v>
      </c>
      <c r="O86">
        <f t="shared" ref="O86" si="93">INDEX($W$4:$W$33,MATCH($C86,$U$4:$U$33,0))</f>
        <v>2800</v>
      </c>
      <c r="P86">
        <v>10</v>
      </c>
    </row>
    <row r="87" spans="1:16" x14ac:dyDescent="0.15">
      <c r="A87">
        <v>84</v>
      </c>
      <c r="B87">
        <v>0</v>
      </c>
      <c r="C87">
        <f t="shared" si="74"/>
        <v>28</v>
      </c>
      <c r="D87">
        <v>2</v>
      </c>
      <c r="E87">
        <v>50</v>
      </c>
      <c r="F87" s="3" t="s">
        <v>37</v>
      </c>
      <c r="G87" s="4" t="s">
        <v>23</v>
      </c>
      <c r="H87" s="4" t="s">
        <v>23</v>
      </c>
      <c r="I87" s="4" t="s">
        <v>23</v>
      </c>
      <c r="J87" s="7" t="str">
        <f t="shared" si="75"/>
        <v>4200,20</v>
      </c>
      <c r="O87">
        <f t="shared" ref="O87" si="94">INDEX($X$4:$X$33,MATCH($C87,$U$4:$U$33,0))</f>
        <v>4200</v>
      </c>
      <c r="P87">
        <v>20</v>
      </c>
    </row>
    <row r="88" spans="1:16" x14ac:dyDescent="0.15">
      <c r="A88">
        <v>85</v>
      </c>
      <c r="B88">
        <v>0</v>
      </c>
      <c r="C88">
        <f t="shared" si="74"/>
        <v>29</v>
      </c>
      <c r="D88">
        <v>0</v>
      </c>
      <c r="E88">
        <v>0</v>
      </c>
      <c r="F88" s="3" t="s">
        <v>37</v>
      </c>
      <c r="G88" s="4" t="s">
        <v>23</v>
      </c>
      <c r="H88" s="4" t="s">
        <v>23</v>
      </c>
      <c r="I88" s="4" t="s">
        <v>23</v>
      </c>
      <c r="J88" s="7" t="str">
        <f t="shared" si="75"/>
        <v>1450,5</v>
      </c>
      <c r="O88">
        <f t="shared" ref="O88" si="95">INDEX($V$4:$V$33,MATCH($C88,$U$4:$U$33,0))</f>
        <v>1450</v>
      </c>
      <c r="P88">
        <v>5</v>
      </c>
    </row>
    <row r="89" spans="1:16" x14ac:dyDescent="0.15">
      <c r="A89">
        <v>86</v>
      </c>
      <c r="B89">
        <v>0</v>
      </c>
      <c r="C89">
        <f t="shared" si="74"/>
        <v>29</v>
      </c>
      <c r="D89">
        <v>1</v>
      </c>
      <c r="E89">
        <v>30</v>
      </c>
      <c r="F89" s="3" t="s">
        <v>37</v>
      </c>
      <c r="G89" s="4" t="s">
        <v>23</v>
      </c>
      <c r="H89" s="4" t="s">
        <v>23</v>
      </c>
      <c r="I89" s="4" t="s">
        <v>23</v>
      </c>
      <c r="J89" s="7" t="str">
        <f t="shared" si="75"/>
        <v>2900,10</v>
      </c>
      <c r="O89">
        <f t="shared" ref="O89" si="96">INDEX($W$4:$W$33,MATCH($C89,$U$4:$U$33,0))</f>
        <v>2900</v>
      </c>
      <c r="P89">
        <v>10</v>
      </c>
    </row>
    <row r="90" spans="1:16" x14ac:dyDescent="0.15">
      <c r="A90">
        <v>87</v>
      </c>
      <c r="B90">
        <v>0</v>
      </c>
      <c r="C90">
        <f t="shared" si="74"/>
        <v>29</v>
      </c>
      <c r="D90">
        <v>2</v>
      </c>
      <c r="E90">
        <v>50</v>
      </c>
      <c r="F90" s="3" t="s">
        <v>37</v>
      </c>
      <c r="G90" s="4" t="s">
        <v>23</v>
      </c>
      <c r="H90" s="4" t="s">
        <v>23</v>
      </c>
      <c r="I90" s="4" t="s">
        <v>23</v>
      </c>
      <c r="J90" s="7" t="str">
        <f t="shared" si="75"/>
        <v>4350,20</v>
      </c>
      <c r="O90">
        <f t="shared" ref="O90" si="97">INDEX($X$4:$X$33,MATCH($C90,$U$4:$U$33,0))</f>
        <v>4350</v>
      </c>
      <c r="P90">
        <v>20</v>
      </c>
    </row>
    <row r="91" spans="1:16" x14ac:dyDescent="0.15">
      <c r="A91">
        <v>88</v>
      </c>
      <c r="B91">
        <v>0</v>
      </c>
      <c r="C91">
        <f t="shared" si="74"/>
        <v>30</v>
      </c>
      <c r="D91">
        <v>0</v>
      </c>
      <c r="E91">
        <v>0</v>
      </c>
      <c r="F91" s="3" t="s">
        <v>37</v>
      </c>
      <c r="G91" s="4" t="s">
        <v>23</v>
      </c>
      <c r="H91" s="4" t="s">
        <v>23</v>
      </c>
      <c r="I91" s="4" t="s">
        <v>23</v>
      </c>
      <c r="J91" s="7" t="str">
        <f t="shared" si="75"/>
        <v>1500,5</v>
      </c>
      <c r="O91">
        <f t="shared" ref="O91" si="98">INDEX($V$4:$V$33,MATCH($C91,$U$4:$U$33,0))</f>
        <v>1500</v>
      </c>
      <c r="P91">
        <v>5</v>
      </c>
    </row>
    <row r="92" spans="1:16" x14ac:dyDescent="0.15">
      <c r="A92">
        <v>89</v>
      </c>
      <c r="B92">
        <v>0</v>
      </c>
      <c r="C92">
        <f t="shared" si="74"/>
        <v>30</v>
      </c>
      <c r="D92">
        <v>1</v>
      </c>
      <c r="E92">
        <v>30</v>
      </c>
      <c r="F92" s="3" t="s">
        <v>37</v>
      </c>
      <c r="G92" s="4" t="s">
        <v>23</v>
      </c>
      <c r="H92" s="4" t="s">
        <v>23</v>
      </c>
      <c r="I92" s="4" t="s">
        <v>23</v>
      </c>
      <c r="J92" s="7" t="str">
        <f t="shared" si="75"/>
        <v>3000,10</v>
      </c>
      <c r="O92">
        <f t="shared" ref="O92" si="99">INDEX($W$4:$W$33,MATCH($C92,$U$4:$U$33,0))</f>
        <v>3000</v>
      </c>
      <c r="P92">
        <v>10</v>
      </c>
    </row>
    <row r="93" spans="1:16" x14ac:dyDescent="0.15">
      <c r="A93">
        <v>90</v>
      </c>
      <c r="B93">
        <v>0</v>
      </c>
      <c r="C93">
        <f t="shared" si="74"/>
        <v>30</v>
      </c>
      <c r="D93">
        <v>2</v>
      </c>
      <c r="E93">
        <v>50</v>
      </c>
      <c r="F93" s="3" t="s">
        <v>37</v>
      </c>
      <c r="G93" s="4" t="s">
        <v>23</v>
      </c>
      <c r="H93" s="4" t="s">
        <v>23</v>
      </c>
      <c r="I93" s="4" t="s">
        <v>23</v>
      </c>
      <c r="J93" s="7" t="str">
        <f t="shared" si="75"/>
        <v>4500,20</v>
      </c>
      <c r="O93">
        <f t="shared" ref="O93" si="100">INDEX($X$4:$X$33,MATCH($C93,$U$4:$U$33,0))</f>
        <v>4500</v>
      </c>
      <c r="P93">
        <v>20</v>
      </c>
    </row>
  </sheetData>
  <mergeCells count="2">
    <mergeCell ref="AB2:AC2"/>
    <mergeCell ref="AD2:AE2"/>
  </mergeCells>
  <phoneticPr fontId="1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guildOrderData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 F</dc:creator>
  <cp:lastModifiedBy>pp</cp:lastModifiedBy>
  <dcterms:created xsi:type="dcterms:W3CDTF">2006-09-16T00:00:00Z</dcterms:created>
  <dcterms:modified xsi:type="dcterms:W3CDTF">2021-01-06T05:21:00Z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